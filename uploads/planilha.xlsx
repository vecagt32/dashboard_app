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GP\Downloads\"/>
    </mc:Choice>
  </mc:AlternateContent>
  <xr:revisionPtr revIDLastSave="0" documentId="13_ncr:1_{5B3070BD-9520-4CB7-97BA-7D21F17719CD}" xr6:coauthVersionLast="47" xr6:coauthVersionMax="47" xr10:uidLastSave="{00000000-0000-0000-0000-000000000000}"/>
  <bookViews>
    <workbookView xWindow="-120" yWindow="-120" windowWidth="29040" windowHeight="15720" xr2:uid="{E83F1D46-85C2-4BFD-A299-4AD7972ADEB9}"/>
  </bookViews>
  <sheets>
    <sheet name="Organograma" sheetId="1" r:id="rId1"/>
    <sheet name="AÇÕES" sheetId="3" r:id="rId2"/>
    <sheet name="INDICADORES" sheetId="5" r:id="rId3"/>
    <sheet name="NOTIFICAÇÕES" sheetId="7" r:id="rId4"/>
  </sheets>
  <definedNames>
    <definedName name="_xlnm._FilterDatabase" localSheetId="1" hidden="1">AÇÕES!$A$1:$K$647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411" i="7" l="1"/>
  <c r="M483" i="7"/>
  <c r="M999" i="7"/>
  <c r="M2577" i="7"/>
  <c r="M2576" i="7"/>
  <c r="M2575" i="7"/>
  <c r="M2574" i="7"/>
  <c r="M2573" i="7"/>
  <c r="M2572" i="7"/>
  <c r="M2571" i="7"/>
  <c r="M2570" i="7"/>
  <c r="M2569" i="7"/>
  <c r="M2566" i="7"/>
  <c r="M2565" i="7"/>
  <c r="M2564" i="7"/>
  <c r="M2563" i="7"/>
  <c r="M2562" i="7"/>
  <c r="M2561" i="7"/>
  <c r="M2560" i="7"/>
  <c r="M2559" i="7"/>
  <c r="M2558" i="7"/>
  <c r="M2555" i="7"/>
  <c r="M2551" i="7"/>
  <c r="M2550" i="7"/>
  <c r="M2549" i="7"/>
  <c r="M2548" i="7"/>
  <c r="M2547" i="7"/>
  <c r="M2546" i="7"/>
  <c r="M2545" i="7"/>
  <c r="M2541" i="7"/>
  <c r="M2540" i="7"/>
  <c r="M2526" i="7"/>
  <c r="M2524" i="7"/>
  <c r="M2523" i="7"/>
  <c r="M2516" i="7"/>
  <c r="M2515" i="7"/>
  <c r="M2514" i="7"/>
  <c r="M2513" i="7"/>
  <c r="M2512" i="7"/>
  <c r="M2511" i="7"/>
  <c r="M2510" i="7"/>
  <c r="M2507" i="7"/>
  <c r="M2506" i="7"/>
  <c r="M2505" i="7"/>
  <c r="M2504" i="7"/>
  <c r="M2502" i="7"/>
  <c r="M2499" i="7"/>
  <c r="M2498" i="7"/>
  <c r="M2497" i="7"/>
  <c r="M2496" i="7"/>
  <c r="M2488" i="7"/>
  <c r="M2482" i="7"/>
  <c r="M2481" i="7"/>
  <c r="M2479" i="7"/>
  <c r="M2467" i="7"/>
  <c r="M2465" i="7"/>
  <c r="M2464" i="7"/>
  <c r="M2457" i="7"/>
  <c r="M2455" i="7"/>
  <c r="M2454" i="7"/>
  <c r="M2439" i="7"/>
  <c r="M2438" i="7"/>
  <c r="M2430" i="7"/>
  <c r="M2427" i="7"/>
  <c r="M2423" i="7"/>
  <c r="M2413" i="7"/>
  <c r="M2410" i="7"/>
  <c r="M2409" i="7"/>
  <c r="M2408" i="7"/>
  <c r="M2407" i="7"/>
  <c r="M2395" i="7"/>
  <c r="M2394" i="7"/>
  <c r="M2393" i="7"/>
  <c r="M2392" i="7"/>
  <c r="M2390" i="7"/>
  <c r="M2389" i="7"/>
  <c r="M2387" i="7"/>
  <c r="M2376" i="7"/>
  <c r="M2370" i="7"/>
  <c r="M2369" i="7"/>
  <c r="M2365" i="7"/>
  <c r="M2356" i="7"/>
  <c r="M2343" i="7"/>
  <c r="M2334" i="7"/>
  <c r="M2333" i="7"/>
  <c r="M2315" i="7"/>
  <c r="M2314" i="7"/>
  <c r="M2313" i="7"/>
  <c r="M2308" i="7"/>
  <c r="M2302" i="7"/>
  <c r="M2300" i="7"/>
  <c r="M2295" i="7"/>
  <c r="M2292" i="7"/>
  <c r="M2289" i="7"/>
  <c r="M2283" i="7"/>
  <c r="M2277" i="7"/>
  <c r="M2272" i="7"/>
  <c r="M2269" i="7"/>
  <c r="M2256" i="7"/>
  <c r="M2242" i="7"/>
  <c r="M2229" i="7"/>
  <c r="M2225" i="7"/>
  <c r="M2214" i="7"/>
  <c r="M2213" i="7"/>
  <c r="M2212" i="7"/>
  <c r="M2211" i="7"/>
  <c r="M2195" i="7"/>
  <c r="M2194" i="7"/>
  <c r="M2187" i="7"/>
  <c r="M2186" i="7"/>
  <c r="M2185" i="7"/>
  <c r="M2184" i="7"/>
  <c r="M2183" i="7"/>
  <c r="M2182" i="7"/>
  <c r="M2181" i="7"/>
  <c r="M2180" i="7"/>
  <c r="M2179" i="7"/>
  <c r="M2178" i="7"/>
  <c r="M2177" i="7"/>
  <c r="M2176" i="7"/>
  <c r="M2175" i="7"/>
  <c r="M2174" i="7"/>
  <c r="M2173" i="7"/>
  <c r="M2172" i="7"/>
  <c r="M2171" i="7"/>
  <c r="M2170" i="7"/>
  <c r="M2169" i="7"/>
  <c r="M2168" i="7"/>
  <c r="M2167" i="7"/>
  <c r="M2166" i="7"/>
  <c r="M2165" i="7"/>
  <c r="M2164" i="7"/>
  <c r="M2163" i="7"/>
  <c r="M2162" i="7"/>
  <c r="M2161" i="7"/>
  <c r="M2160" i="7"/>
  <c r="M2159" i="7"/>
  <c r="M2158" i="7"/>
  <c r="M2157" i="7"/>
  <c r="M2156" i="7"/>
  <c r="M2155" i="7"/>
  <c r="M2154" i="7"/>
  <c r="M2153" i="7"/>
  <c r="M2152" i="7"/>
  <c r="M2151" i="7"/>
  <c r="M2150" i="7"/>
  <c r="M2149" i="7"/>
  <c r="M2148" i="7"/>
  <c r="M2147" i="7"/>
  <c r="M2146" i="7"/>
  <c r="M2145" i="7"/>
  <c r="M2144" i="7"/>
  <c r="M2143" i="7"/>
  <c r="M2142" i="7"/>
  <c r="M2141" i="7"/>
  <c r="M2140" i="7"/>
  <c r="M2139" i="7"/>
  <c r="M2138" i="7"/>
  <c r="M2137" i="7"/>
  <c r="M2136" i="7"/>
  <c r="M2135" i="7"/>
  <c r="M2134" i="7"/>
  <c r="M2133" i="7"/>
  <c r="M2132" i="7"/>
  <c r="M2131" i="7"/>
  <c r="M2130" i="7"/>
  <c r="M2129" i="7"/>
  <c r="M2128" i="7"/>
  <c r="M2127" i="7"/>
  <c r="M2126" i="7"/>
  <c r="M2125" i="7"/>
  <c r="M2124" i="7"/>
  <c r="M2123" i="7"/>
  <c r="M2122" i="7"/>
  <c r="M2121" i="7"/>
  <c r="M2120" i="7"/>
  <c r="M2119" i="7"/>
  <c r="M2118" i="7"/>
  <c r="M2117" i="7"/>
  <c r="M2116" i="7"/>
  <c r="M2115" i="7"/>
  <c r="M2114" i="7"/>
  <c r="M2113" i="7"/>
  <c r="M2112" i="7"/>
  <c r="M2111" i="7"/>
  <c r="M2110" i="7"/>
  <c r="M2109" i="7"/>
  <c r="M2108" i="7"/>
  <c r="M2107" i="7"/>
  <c r="M2106" i="7"/>
  <c r="M2105" i="7"/>
  <c r="M2104" i="7"/>
  <c r="M2103" i="7"/>
  <c r="M2102" i="7"/>
  <c r="M2101" i="7"/>
  <c r="M2100" i="7"/>
  <c r="M2099" i="7"/>
  <c r="M2098" i="7"/>
  <c r="M2097" i="7"/>
  <c r="M2096" i="7"/>
  <c r="M2095" i="7"/>
  <c r="M2094" i="7"/>
  <c r="M2093" i="7"/>
  <c r="M2092" i="7"/>
  <c r="M2091" i="7"/>
  <c r="M2090" i="7"/>
  <c r="M2089" i="7"/>
  <c r="M2088" i="7"/>
  <c r="M2087" i="7"/>
  <c r="M2086" i="7"/>
  <c r="M2085" i="7"/>
  <c r="M2084" i="7"/>
  <c r="M2083" i="7"/>
  <c r="M2082" i="7"/>
  <c r="M2081" i="7"/>
  <c r="M2080" i="7"/>
  <c r="M2079" i="7"/>
  <c r="M2078" i="7"/>
  <c r="M2077" i="7"/>
  <c r="M2076" i="7"/>
  <c r="M2075" i="7"/>
  <c r="M2074" i="7"/>
  <c r="M2073" i="7"/>
  <c r="M2072" i="7"/>
  <c r="M2071" i="7"/>
  <c r="M2070" i="7"/>
  <c r="M2069" i="7"/>
  <c r="M2068" i="7"/>
  <c r="M2067" i="7"/>
  <c r="M2066" i="7"/>
  <c r="M2065" i="7"/>
  <c r="M2064" i="7"/>
  <c r="M2063" i="7"/>
  <c r="M2062" i="7"/>
  <c r="M2061" i="7"/>
  <c r="M2060" i="7"/>
  <c r="M2059" i="7"/>
  <c r="M2058" i="7"/>
  <c r="M2057" i="7"/>
  <c r="M2056" i="7"/>
  <c r="M2055" i="7"/>
  <c r="M2054" i="7"/>
  <c r="M2053" i="7"/>
  <c r="M2052" i="7"/>
  <c r="M2051" i="7"/>
  <c r="M2050" i="7"/>
  <c r="M2049" i="7"/>
  <c r="M2048" i="7"/>
  <c r="M2047" i="7"/>
  <c r="M2046" i="7"/>
  <c r="M2045" i="7"/>
  <c r="M2044" i="7"/>
  <c r="M2043" i="7"/>
  <c r="M2042" i="7"/>
  <c r="M2041" i="7"/>
  <c r="M2040" i="7"/>
  <c r="M2039" i="7"/>
  <c r="M2038" i="7"/>
  <c r="M2037" i="7"/>
  <c r="M2036" i="7"/>
  <c r="M2035" i="7"/>
  <c r="M2034" i="7"/>
  <c r="M2033" i="7"/>
  <c r="M2032" i="7"/>
  <c r="M2031" i="7"/>
  <c r="M2030" i="7"/>
  <c r="M2029" i="7"/>
  <c r="M2028" i="7"/>
  <c r="M2027" i="7"/>
  <c r="M2026" i="7"/>
  <c r="M2025" i="7"/>
  <c r="M2024" i="7"/>
  <c r="M2023" i="7"/>
  <c r="M2022" i="7"/>
  <c r="M2021" i="7"/>
  <c r="M2020" i="7"/>
  <c r="M2019" i="7"/>
  <c r="M2018" i="7"/>
  <c r="M2017" i="7"/>
  <c r="M2016" i="7"/>
  <c r="M2015" i="7"/>
  <c r="M2014" i="7"/>
  <c r="M2013" i="7"/>
  <c r="M2012" i="7"/>
  <c r="M2011" i="7"/>
  <c r="M2010" i="7"/>
  <c r="M2009" i="7"/>
  <c r="M2008" i="7"/>
  <c r="M2007" i="7"/>
  <c r="M2006" i="7"/>
  <c r="M2005" i="7"/>
  <c r="M2004" i="7"/>
  <c r="M2003" i="7"/>
  <c r="M2002" i="7"/>
  <c r="M2001" i="7"/>
  <c r="M2000" i="7"/>
  <c r="M1999" i="7"/>
  <c r="M1998" i="7"/>
  <c r="M1997" i="7"/>
  <c r="M1996" i="7"/>
  <c r="M1995" i="7"/>
  <c r="M1994" i="7"/>
  <c r="M1993" i="7"/>
  <c r="M1992" i="7"/>
  <c r="M1991" i="7"/>
  <c r="M1990" i="7"/>
  <c r="M1989" i="7"/>
  <c r="M1988" i="7"/>
  <c r="M1987" i="7"/>
  <c r="M1986" i="7"/>
  <c r="M1985" i="7"/>
  <c r="M1984" i="7"/>
  <c r="M1983" i="7"/>
  <c r="M1982" i="7"/>
  <c r="M1981" i="7"/>
  <c r="M1980" i="7"/>
  <c r="M1979" i="7"/>
  <c r="M1978" i="7"/>
  <c r="M1977" i="7"/>
  <c r="M1976" i="7"/>
  <c r="M1975" i="7"/>
  <c r="M1974" i="7"/>
  <c r="M1973" i="7"/>
  <c r="M1972" i="7"/>
  <c r="M1971" i="7"/>
  <c r="M1970" i="7"/>
  <c r="M1969" i="7"/>
  <c r="M1968" i="7"/>
  <c r="M1967" i="7"/>
  <c r="M1966" i="7"/>
  <c r="M1965" i="7"/>
  <c r="M1964" i="7"/>
  <c r="M1963" i="7"/>
  <c r="M1962" i="7"/>
  <c r="M1961" i="7"/>
  <c r="M1960" i="7"/>
  <c r="M1959" i="7"/>
  <c r="M1958" i="7"/>
  <c r="M1957" i="7"/>
  <c r="M1956" i="7"/>
  <c r="M1955" i="7"/>
  <c r="M1954" i="7"/>
  <c r="M1953" i="7"/>
  <c r="M1952" i="7"/>
  <c r="M1951" i="7"/>
  <c r="M1950" i="7"/>
  <c r="M1949" i="7"/>
  <c r="M1948" i="7"/>
  <c r="M1947" i="7"/>
  <c r="M1946" i="7"/>
  <c r="M1945" i="7"/>
  <c r="M1944" i="7"/>
  <c r="M1943" i="7"/>
  <c r="M1942" i="7"/>
  <c r="M1941" i="7"/>
  <c r="M1940" i="7"/>
  <c r="M1939" i="7"/>
  <c r="M1938" i="7"/>
  <c r="M1937" i="7"/>
  <c r="M1936" i="7"/>
  <c r="M1935" i="7"/>
  <c r="M1934" i="7"/>
  <c r="M1933" i="7"/>
  <c r="M1932" i="7"/>
  <c r="M1931" i="7"/>
  <c r="M1930" i="7"/>
  <c r="M1929" i="7"/>
  <c r="M1928" i="7"/>
  <c r="M1927" i="7"/>
  <c r="M1926" i="7"/>
  <c r="M1924" i="7"/>
  <c r="M1898" i="7"/>
  <c r="M1897" i="7"/>
  <c r="M1892" i="7"/>
  <c r="M1891" i="7"/>
  <c r="M1890" i="7"/>
  <c r="M1887" i="7"/>
  <c r="M1886" i="7"/>
  <c r="M1885" i="7"/>
  <c r="M1883" i="7"/>
  <c r="M1882" i="7"/>
  <c r="M1878" i="7"/>
  <c r="M1873" i="7"/>
  <c r="M1865" i="7"/>
  <c r="M1864" i="7"/>
  <c r="M1863" i="7"/>
  <c r="M1861" i="7"/>
  <c r="M1860" i="7"/>
  <c r="M1855" i="7"/>
  <c r="M1854" i="7"/>
  <c r="M1851" i="7"/>
  <c r="M1848" i="7"/>
  <c r="M1847" i="7"/>
  <c r="M1846" i="7"/>
  <c r="M1845" i="7"/>
  <c r="M1843" i="7"/>
  <c r="M1842" i="7"/>
  <c r="M1840" i="7"/>
  <c r="M1834" i="7"/>
  <c r="M1833" i="7"/>
  <c r="M1832" i="7"/>
  <c r="M1830" i="7"/>
  <c r="M1829" i="7"/>
  <c r="M1758" i="7"/>
  <c r="M1757" i="7"/>
  <c r="M1756" i="7"/>
  <c r="M1755" i="7"/>
  <c r="M1754" i="7"/>
  <c r="M1753" i="7"/>
  <c r="M1752" i="7"/>
  <c r="M1751" i="7"/>
  <c r="M1750" i="7"/>
  <c r="M1749" i="7"/>
  <c r="M1748" i="7"/>
  <c r="M1747" i="7"/>
  <c r="M1746" i="7"/>
  <c r="M1745" i="7"/>
  <c r="M1744" i="7"/>
  <c r="M1743" i="7"/>
  <c r="M1742" i="7"/>
  <c r="M1741" i="7"/>
  <c r="M1740" i="7"/>
  <c r="M1739" i="7"/>
  <c r="M1738" i="7"/>
  <c r="M1737" i="7"/>
  <c r="M1736" i="7"/>
  <c r="M1735" i="7"/>
  <c r="M1734" i="7"/>
  <c r="M1733" i="7"/>
  <c r="M1732" i="7"/>
  <c r="M1731" i="7"/>
  <c r="M1730" i="7"/>
  <c r="M1729" i="7"/>
  <c r="M1728" i="7"/>
  <c r="M1727" i="7"/>
  <c r="M1726" i="7"/>
  <c r="M1725" i="7"/>
  <c r="M1724" i="7"/>
  <c r="M1723" i="7"/>
  <c r="M1722" i="7"/>
  <c r="M1721" i="7"/>
  <c r="M1720" i="7"/>
  <c r="M1719" i="7"/>
  <c r="M1718" i="7"/>
  <c r="M1717" i="7"/>
  <c r="M1716" i="7"/>
  <c r="M1715" i="7"/>
  <c r="M1714" i="7"/>
  <c r="M1713" i="7"/>
  <c r="M1712" i="7"/>
  <c r="M1711" i="7"/>
  <c r="M1710" i="7"/>
  <c r="M1709" i="7"/>
  <c r="M1708" i="7"/>
  <c r="M1707" i="7"/>
  <c r="M1706" i="7"/>
  <c r="M1705" i="7"/>
  <c r="M1704" i="7"/>
  <c r="M1703" i="7"/>
  <c r="M1702" i="7"/>
  <c r="M1701" i="7"/>
  <c r="M1700" i="7"/>
  <c r="M1699" i="7"/>
  <c r="M1698" i="7"/>
  <c r="M1697" i="7"/>
  <c r="M1696" i="7"/>
  <c r="M1695" i="7"/>
  <c r="M1694" i="7"/>
  <c r="M1693" i="7"/>
  <c r="M1692" i="7"/>
  <c r="M1691" i="7"/>
  <c r="M1690" i="7"/>
  <c r="M1689" i="7"/>
  <c r="M1688" i="7"/>
  <c r="M1687" i="7"/>
  <c r="M1686" i="7"/>
  <c r="M1685" i="7"/>
  <c r="M1684" i="7"/>
  <c r="M1683" i="7"/>
  <c r="M1682" i="7"/>
  <c r="M1681" i="7"/>
  <c r="M1680" i="7"/>
  <c r="M1679" i="7"/>
  <c r="M1678" i="7"/>
  <c r="M1677" i="7"/>
  <c r="M1676" i="7"/>
  <c r="M1675" i="7"/>
  <c r="M1674" i="7"/>
  <c r="M1673" i="7"/>
  <c r="M1672" i="7"/>
  <c r="M1671" i="7"/>
  <c r="M1670" i="7"/>
  <c r="M1669" i="7"/>
  <c r="M1668" i="7"/>
  <c r="M1667" i="7"/>
  <c r="M1666" i="7"/>
  <c r="M1665" i="7"/>
  <c r="M1664" i="7"/>
  <c r="M1663" i="7"/>
  <c r="M1662" i="7"/>
  <c r="M1661" i="7"/>
  <c r="M1660" i="7"/>
  <c r="M1659" i="7"/>
  <c r="M1658" i="7"/>
  <c r="M1657" i="7"/>
  <c r="M1656" i="7"/>
  <c r="M1655" i="7"/>
  <c r="M1654" i="7"/>
  <c r="M1653" i="7"/>
  <c r="M1652" i="7"/>
  <c r="M1651" i="7"/>
  <c r="M1650" i="7"/>
  <c r="M1649" i="7"/>
  <c r="M1648" i="7"/>
  <c r="M1647" i="7"/>
  <c r="M1646" i="7"/>
  <c r="M1645" i="7"/>
  <c r="M1644" i="7"/>
  <c r="M1643" i="7"/>
  <c r="M1642" i="7"/>
  <c r="M1641" i="7"/>
  <c r="M1640" i="7"/>
  <c r="M1639" i="7"/>
  <c r="M1638" i="7"/>
  <c r="M1637" i="7"/>
  <c r="M1636" i="7"/>
  <c r="M1635" i="7"/>
  <c r="M1634" i="7"/>
  <c r="M1633" i="7"/>
  <c r="M1632" i="7"/>
  <c r="M1631" i="7"/>
  <c r="M1630" i="7"/>
  <c r="M1629" i="7"/>
  <c r="M1628" i="7"/>
  <c r="M1627" i="7"/>
  <c r="M1626" i="7"/>
  <c r="M1625" i="7"/>
  <c r="D340" i="5"/>
  <c r="D593" i="5"/>
  <c r="D594" i="5"/>
  <c r="D595" i="5"/>
  <c r="D596" i="5"/>
  <c r="D597" i="5"/>
  <c r="D598" i="5"/>
  <c r="D599" i="5"/>
  <c r="D600" i="5"/>
  <c r="D601" i="5"/>
  <c r="D602" i="5"/>
  <c r="D603" i="5"/>
  <c r="D604" i="5"/>
  <c r="D605" i="5"/>
  <c r="D606" i="5"/>
  <c r="D607" i="5"/>
  <c r="D608" i="5"/>
  <c r="D609" i="5"/>
  <c r="D610" i="5"/>
  <c r="D611" i="5"/>
  <c r="D287" i="5"/>
  <c r="D330" i="5"/>
  <c r="D289" i="5"/>
  <c r="D290" i="5"/>
  <c r="D291" i="5"/>
  <c r="D292" i="5"/>
  <c r="D293" i="5"/>
  <c r="D294" i="5"/>
  <c r="D295" i="5"/>
  <c r="D288" i="5"/>
  <c r="D297" i="5"/>
  <c r="D298" i="5"/>
  <c r="D299" i="5"/>
  <c r="D300" i="5"/>
  <c r="D301" i="5"/>
  <c r="D303" i="5"/>
  <c r="D304" i="5"/>
  <c r="D305" i="5"/>
  <c r="D306" i="5"/>
  <c r="D307" i="5"/>
  <c r="D348" i="5"/>
  <c r="D309" i="5"/>
  <c r="D310" i="5"/>
  <c r="D311" i="5"/>
  <c r="D312" i="5"/>
  <c r="D313" i="5"/>
  <c r="D314" i="5"/>
  <c r="D315" i="5"/>
  <c r="D316" i="5"/>
  <c r="D317" i="5"/>
  <c r="D318" i="5"/>
  <c r="D319" i="5"/>
  <c r="D320" i="5"/>
  <c r="D321" i="5"/>
  <c r="D322" i="5"/>
  <c r="D323" i="5"/>
  <c r="D324" i="5"/>
  <c r="D325" i="5"/>
  <c r="D326" i="5"/>
  <c r="D327" i="5"/>
  <c r="D296" i="5"/>
  <c r="D329" i="5"/>
  <c r="D308" i="5"/>
  <c r="D331" i="5"/>
  <c r="D332" i="5"/>
  <c r="D333" i="5"/>
  <c r="D334" i="5"/>
  <c r="D335" i="5"/>
  <c r="D336" i="5"/>
  <c r="D337" i="5"/>
  <c r="D338" i="5"/>
  <c r="D339" i="5"/>
  <c r="D328" i="5"/>
  <c r="D341" i="5"/>
  <c r="D342" i="5"/>
  <c r="D343" i="5"/>
  <c r="D344" i="5"/>
  <c r="D345" i="5"/>
  <c r="D346" i="5"/>
  <c r="D347" i="5"/>
  <c r="D302"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4" i="5"/>
  <c r="D6" i="5"/>
  <c r="D2" i="5"/>
  <c r="D256" i="5"/>
  <c r="D258" i="5"/>
  <c r="D263" i="5"/>
  <c r="D254" i="5"/>
  <c r="D261" i="5"/>
  <c r="D92" i="5"/>
  <c r="D90" i="5"/>
  <c r="D212" i="5"/>
  <c r="D235" i="5"/>
  <c r="D95" i="5"/>
  <c r="D210" i="5"/>
  <c r="D208" i="5"/>
  <c r="D67" i="5"/>
  <c r="D69" i="5"/>
  <c r="D65" i="5"/>
  <c r="D71" i="5"/>
  <c r="D101" i="5"/>
  <c r="D104" i="5"/>
  <c r="D99" i="5"/>
  <c r="D158" i="5"/>
  <c r="D163" i="5"/>
  <c r="D160" i="5"/>
  <c r="D144" i="5"/>
  <c r="D146" i="5"/>
  <c r="D139" i="5"/>
  <c r="D147" i="5"/>
  <c r="D132" i="5"/>
  <c r="D133" i="5"/>
  <c r="D141" i="5"/>
  <c r="D135" i="5"/>
  <c r="D140" i="5"/>
  <c r="D216" i="5"/>
  <c r="D214" i="5"/>
  <c r="D220" i="5"/>
  <c r="D227" i="5"/>
  <c r="D222" i="5"/>
  <c r="D224" i="5"/>
  <c r="D217" i="5"/>
  <c r="D233" i="5"/>
  <c r="D225" i="5"/>
  <c r="D221" i="5"/>
  <c r="D13" i="5"/>
  <c r="D15" i="5"/>
  <c r="D17" i="5"/>
  <c r="D23" i="5"/>
  <c r="D19" i="5"/>
  <c r="D24" i="5"/>
  <c r="D22" i="5"/>
  <c r="D25" i="5"/>
  <c r="D241" i="5"/>
  <c r="D237" i="5"/>
  <c r="D243" i="5"/>
  <c r="D239" i="5"/>
  <c r="D244" i="5"/>
  <c r="D252" i="5"/>
  <c r="D253" i="5"/>
  <c r="D250" i="5"/>
  <c r="D246" i="5"/>
  <c r="D107" i="5"/>
  <c r="D109" i="5"/>
  <c r="D153" i="5"/>
  <c r="D150" i="5"/>
  <c r="D156" i="5"/>
  <c r="D155" i="5"/>
  <c r="D154" i="5"/>
  <c r="D200" i="5"/>
  <c r="D197" i="5"/>
  <c r="D46" i="5"/>
  <c r="D45" i="5"/>
  <c r="D51" i="5"/>
  <c r="D50" i="5"/>
  <c r="D48" i="5"/>
  <c r="D41" i="5"/>
  <c r="D81" i="5"/>
  <c r="D83" i="5"/>
  <c r="D85" i="5"/>
  <c r="D77" i="5"/>
  <c r="D73" i="5"/>
  <c r="D84" i="5"/>
  <c r="D170" i="5"/>
  <c r="D166" i="5"/>
  <c r="D168" i="5"/>
  <c r="D183" i="5"/>
  <c r="D178" i="5"/>
  <c r="D180" i="5"/>
  <c r="D275" i="5"/>
  <c r="D272" i="5"/>
  <c r="D267" i="5"/>
  <c r="D270" i="5"/>
  <c r="D273" i="5"/>
  <c r="D111" i="5"/>
  <c r="D116" i="5"/>
  <c r="D12" i="5"/>
  <c r="D33" i="5"/>
  <c r="D53" i="5"/>
  <c r="D62" i="5"/>
  <c r="D56" i="5"/>
  <c r="D58" i="5"/>
  <c r="D64" i="5"/>
  <c r="D60" i="5"/>
  <c r="D126" i="5"/>
  <c r="D39" i="5"/>
  <c r="D37" i="5"/>
  <c r="D34" i="5"/>
  <c r="D8" i="5"/>
  <c r="D5" i="5"/>
  <c r="D7" i="5"/>
  <c r="D3" i="5"/>
  <c r="D176" i="5"/>
  <c r="D174" i="5"/>
  <c r="D175" i="5"/>
  <c r="D171" i="5"/>
  <c r="D173" i="5"/>
  <c r="D172" i="5"/>
  <c r="D257" i="5"/>
  <c r="D259" i="5"/>
  <c r="D260" i="5"/>
  <c r="D255" i="5"/>
  <c r="D262" i="5"/>
  <c r="D93" i="5"/>
  <c r="D91" i="5"/>
  <c r="D94" i="5"/>
  <c r="D236" i="5"/>
  <c r="D121" i="5"/>
  <c r="D120" i="5"/>
  <c r="D122" i="5"/>
  <c r="D123" i="5"/>
  <c r="D119" i="5"/>
  <c r="D213" i="5"/>
  <c r="D97" i="5"/>
  <c r="D96" i="5"/>
  <c r="D124" i="5"/>
  <c r="D211" i="5"/>
  <c r="D209" i="5"/>
  <c r="D207" i="5"/>
  <c r="D68" i="5"/>
  <c r="D70" i="5"/>
  <c r="D66" i="5"/>
  <c r="D72" i="5"/>
  <c r="D98" i="5"/>
  <c r="D102" i="5"/>
  <c r="D105" i="5"/>
  <c r="D100" i="5"/>
  <c r="D103" i="5"/>
  <c r="D159" i="5"/>
  <c r="D161" i="5"/>
  <c r="D162" i="5"/>
  <c r="D131" i="5"/>
  <c r="D138" i="5"/>
  <c r="D148" i="5"/>
  <c r="D145" i="5"/>
  <c r="D134" i="5"/>
  <c r="D142" i="5"/>
  <c r="D136" i="5"/>
  <c r="D143" i="5"/>
  <c r="D137" i="5"/>
  <c r="D130" i="5"/>
  <c r="D229" i="5"/>
  <c r="D215" i="5"/>
  <c r="D230" i="5"/>
  <c r="D228" i="5"/>
  <c r="D223" i="5"/>
  <c r="D232" i="5"/>
  <c r="D218" i="5"/>
  <c r="D219" i="5"/>
  <c r="D234" i="5"/>
  <c r="D226" i="5"/>
  <c r="D231" i="5"/>
  <c r="D191" i="5"/>
  <c r="D186" i="5"/>
  <c r="D189" i="5"/>
  <c r="D190" i="5"/>
  <c r="D188" i="5"/>
  <c r="D187" i="5"/>
  <c r="D192" i="5"/>
  <c r="D14" i="5"/>
  <c r="D16" i="5"/>
  <c r="D18" i="5"/>
  <c r="D29" i="5"/>
  <c r="D20" i="5"/>
  <c r="D21" i="5"/>
  <c r="D27" i="5"/>
  <c r="D26" i="5"/>
  <c r="D242" i="5"/>
  <c r="D238" i="5"/>
  <c r="D249" i="5"/>
  <c r="D240" i="5"/>
  <c r="D245" i="5"/>
  <c r="D28" i="5"/>
  <c r="D248" i="5"/>
  <c r="D251" i="5"/>
  <c r="D247" i="5"/>
  <c r="D108" i="5"/>
  <c r="D106" i="5"/>
  <c r="D110" i="5"/>
  <c r="D149" i="5"/>
  <c r="D151" i="5"/>
  <c r="D157" i="5"/>
  <c r="D152" i="5"/>
  <c r="D195" i="5"/>
  <c r="D203" i="5"/>
  <c r="D202" i="5"/>
  <c r="D201" i="5"/>
  <c r="D206" i="5"/>
  <c r="D204" i="5"/>
  <c r="D205" i="5"/>
  <c r="D196" i="5"/>
  <c r="D199" i="5"/>
  <c r="D198" i="5"/>
  <c r="D47" i="5"/>
  <c r="D52" i="5"/>
  <c r="D44" i="5"/>
  <c r="D43" i="5"/>
  <c r="D40" i="5"/>
  <c r="D42" i="5"/>
  <c r="D49" i="5"/>
  <c r="D82" i="5"/>
  <c r="D75" i="5"/>
  <c r="D76" i="5"/>
  <c r="D80" i="5"/>
  <c r="D78" i="5"/>
  <c r="D74" i="5"/>
  <c r="D79" i="5"/>
  <c r="D164" i="5"/>
  <c r="D165" i="5"/>
  <c r="D167" i="5"/>
  <c r="D169" i="5"/>
  <c r="D182" i="5"/>
  <c r="D179" i="5"/>
  <c r="D181" i="5"/>
  <c r="D177" i="5"/>
  <c r="D269" i="5"/>
  <c r="D276" i="5"/>
  <c r="D268" i="5"/>
  <c r="D271" i="5"/>
  <c r="D274" i="5"/>
  <c r="D10" i="5"/>
  <c r="D9" i="5"/>
  <c r="D86" i="5"/>
  <c r="D88" i="5"/>
  <c r="D89" i="5"/>
  <c r="D87" i="5"/>
  <c r="D194" i="5"/>
  <c r="D193" i="5"/>
  <c r="D118" i="5"/>
  <c r="D113" i="5"/>
  <c r="D112" i="5"/>
  <c r="D114" i="5"/>
  <c r="D117" i="5"/>
  <c r="D115" i="5"/>
  <c r="D11" i="5"/>
  <c r="D30" i="5"/>
  <c r="D32" i="5"/>
  <c r="D31" i="5"/>
  <c r="D61" i="5"/>
  <c r="D55" i="5"/>
  <c r="D54" i="5"/>
  <c r="D63" i="5"/>
  <c r="D57" i="5"/>
  <c r="D59" i="5"/>
  <c r="D280" i="5"/>
  <c r="D277" i="5"/>
  <c r="D279" i="5"/>
  <c r="D278" i="5"/>
  <c r="D285" i="5"/>
  <c r="D286" i="5"/>
  <c r="D284" i="5"/>
  <c r="D185" i="5"/>
  <c r="D184" i="5"/>
  <c r="D283" i="5"/>
  <c r="D281" i="5"/>
  <c r="D282" i="5"/>
  <c r="D266" i="5"/>
  <c r="D264" i="5"/>
  <c r="D265" i="5"/>
  <c r="D129" i="5"/>
  <c r="D125" i="5"/>
  <c r="D128" i="5"/>
  <c r="D127" i="5"/>
  <c r="D36" i="5"/>
  <c r="D38" i="5"/>
  <c r="D35" i="5"/>
  <c r="D181" i="3"/>
  <c r="D182" i="3"/>
  <c r="D542" i="3"/>
  <c r="D543" i="3"/>
  <c r="D183" i="3"/>
  <c r="D184" i="3"/>
  <c r="D244" i="3"/>
  <c r="D245" i="3"/>
  <c r="D286" i="3"/>
  <c r="D185" i="3"/>
  <c r="D186" i="3"/>
  <c r="D187" i="3"/>
  <c r="D544" i="3"/>
  <c r="D494" i="3"/>
  <c r="D545" i="3"/>
  <c r="D188" i="3"/>
  <c r="D489" i="3"/>
  <c r="D546" i="3"/>
  <c r="D490" i="3"/>
  <c r="D491" i="3"/>
  <c r="D492" i="3"/>
  <c r="D547" i="3"/>
  <c r="D548" i="3"/>
  <c r="D549" i="3"/>
  <c r="D189" i="3"/>
  <c r="D190" i="3"/>
  <c r="D296" i="3"/>
  <c r="D287" i="3"/>
  <c r="D288" i="3"/>
  <c r="D289" i="3"/>
  <c r="D297" i="3"/>
  <c r="D550" i="3"/>
  <c r="D551" i="3"/>
  <c r="D537" i="3"/>
  <c r="D159" i="3"/>
  <c r="D538" i="3"/>
  <c r="D539" i="3"/>
  <c r="D540" i="3"/>
  <c r="D350" i="3"/>
  <c r="D351" i="3"/>
  <c r="D352" i="3"/>
  <c r="D353" i="3"/>
  <c r="D354" i="3"/>
  <c r="D355" i="3"/>
  <c r="D298" i="3"/>
  <c r="D299" i="3"/>
  <c r="D300" i="3"/>
  <c r="D301" i="3"/>
  <c r="D302" i="3"/>
  <c r="D303" i="3"/>
  <c r="D304" i="3"/>
  <c r="D305" i="3"/>
  <c r="D306" i="3"/>
  <c r="D307" i="3"/>
  <c r="D495" i="3"/>
  <c r="D496" i="3"/>
  <c r="D497" i="3"/>
  <c r="D498" i="3"/>
  <c r="D499" i="3"/>
  <c r="D500" i="3"/>
  <c r="D493" i="3"/>
  <c r="D501" i="3"/>
  <c r="D502" i="3"/>
  <c r="D503" i="3"/>
  <c r="D504"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505" i="3"/>
  <c r="D506" i="3"/>
  <c r="D507" i="3"/>
  <c r="D508" i="3"/>
  <c r="D509" i="3"/>
  <c r="D510" i="3"/>
  <c r="D511" i="3"/>
  <c r="D512" i="3"/>
  <c r="D513" i="3"/>
  <c r="D514" i="3"/>
  <c r="D515" i="3"/>
  <c r="D516" i="3"/>
  <c r="D517" i="3"/>
  <c r="D518" i="3"/>
  <c r="D356" i="3"/>
  <c r="D519" i="3"/>
  <c r="D520" i="3"/>
  <c r="D521" i="3"/>
  <c r="D522" i="3"/>
  <c r="D523" i="3"/>
  <c r="D524" i="3"/>
  <c r="D525" i="3"/>
  <c r="D526" i="3"/>
  <c r="D527" i="3"/>
  <c r="D528" i="3"/>
  <c r="D529" i="3"/>
  <c r="D530" i="3"/>
  <c r="D531" i="3"/>
  <c r="D532" i="3"/>
  <c r="D533" i="3"/>
  <c r="D534" i="3"/>
  <c r="D535" i="3"/>
  <c r="D536" i="3"/>
  <c r="D160" i="3"/>
  <c r="D161" i="3"/>
  <c r="D162" i="3"/>
  <c r="D163" i="3"/>
  <c r="D164" i="3"/>
  <c r="D165" i="3"/>
  <c r="D166" i="3"/>
  <c r="D167" i="3"/>
  <c r="D308" i="3"/>
  <c r="D309" i="3"/>
  <c r="D645" i="3"/>
  <c r="D168" i="3"/>
  <c r="D646" i="3"/>
  <c r="D541" i="3"/>
  <c r="D310" i="3"/>
  <c r="D311" i="3"/>
  <c r="D169" i="3"/>
  <c r="D170" i="3"/>
  <c r="D171" i="3"/>
  <c r="D172" i="3"/>
  <c r="D173" i="3"/>
  <c r="D312" i="3"/>
  <c r="D174" i="3"/>
  <c r="D313" i="3"/>
  <c r="D647" i="3"/>
  <c r="D175" i="3"/>
  <c r="D314" i="3"/>
  <c r="D176" i="3"/>
  <c r="D177" i="3"/>
  <c r="D315" i="3"/>
  <c r="D316" i="3"/>
  <c r="D178" i="3"/>
  <c r="D179" i="3"/>
  <c r="D317" i="3"/>
  <c r="D180" i="3"/>
  <c r="D318" i="3"/>
  <c r="D69" i="3"/>
  <c r="D70" i="3"/>
  <c r="D71" i="3"/>
  <c r="D72" i="3"/>
  <c r="D73" i="3"/>
  <c r="D74" i="3"/>
  <c r="D319" i="3"/>
  <c r="D320" i="3"/>
  <c r="D321" i="3"/>
  <c r="D322" i="3"/>
  <c r="D323" i="3"/>
  <c r="D324" i="3"/>
  <c r="D325" i="3"/>
  <c r="D326" i="3"/>
  <c r="D327" i="3"/>
  <c r="D328" i="3"/>
  <c r="D329" i="3"/>
  <c r="D121" i="3"/>
  <c r="D122" i="3"/>
  <c r="D123" i="3"/>
  <c r="D124" i="3"/>
  <c r="D125" i="3"/>
  <c r="D126" i="3"/>
  <c r="D127" i="3"/>
  <c r="D330" i="3"/>
  <c r="D331" i="3"/>
  <c r="D332" i="3"/>
  <c r="D333" i="3"/>
  <c r="D334" i="3"/>
  <c r="D335" i="3"/>
  <c r="D336" i="3"/>
  <c r="D337" i="3"/>
  <c r="D338" i="3"/>
  <c r="D339" i="3"/>
  <c r="D340" i="3"/>
  <c r="D341" i="3"/>
  <c r="D191" i="3"/>
  <c r="D192" i="3"/>
  <c r="D193" i="3"/>
  <c r="D194" i="3"/>
  <c r="D195" i="3"/>
  <c r="D196" i="3"/>
  <c r="D197" i="3"/>
  <c r="D198" i="3"/>
  <c r="D199" i="3"/>
  <c r="D200" i="3"/>
  <c r="D201" i="3"/>
  <c r="D202" i="3"/>
  <c r="D203" i="3"/>
  <c r="D204"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357" i="3"/>
  <c r="D358" i="3"/>
  <c r="D359" i="3"/>
  <c r="D360" i="3"/>
  <c r="D361" i="3"/>
  <c r="D362" i="3"/>
  <c r="D363" i="3"/>
  <c r="D364" i="3"/>
  <c r="D365" i="3"/>
  <c r="D366" i="3"/>
  <c r="D367" i="3"/>
  <c r="D368" i="3"/>
  <c r="D369" i="3"/>
  <c r="D370" i="3"/>
  <c r="D371" i="3"/>
  <c r="D372" i="3"/>
  <c r="D373" i="3"/>
  <c r="D374" i="3"/>
  <c r="D375" i="3"/>
  <c r="D376" i="3"/>
  <c r="D377" i="3"/>
  <c r="D378" i="3"/>
  <c r="D379" i="3"/>
  <c r="D342" i="3"/>
  <c r="D343" i="3"/>
  <c r="D344" i="3"/>
  <c r="D345" i="3"/>
  <c r="D346" i="3"/>
  <c r="D347" i="3"/>
  <c r="D348" i="3"/>
  <c r="D34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33" i="3"/>
  <c r="D234" i="3"/>
  <c r="D235" i="3"/>
  <c r="D236" i="3"/>
  <c r="D237" i="3"/>
  <c r="D238" i="3"/>
  <c r="D239" i="3"/>
  <c r="D240" i="3"/>
  <c r="D450" i="3"/>
  <c r="D451" i="3"/>
  <c r="D241" i="3"/>
  <c r="D242" i="3"/>
  <c r="D281" i="3"/>
  <c r="D282" i="3"/>
  <c r="D283" i="3"/>
  <c r="D284" i="3"/>
  <c r="D285" i="3"/>
  <c r="D246" i="3"/>
  <c r="D247" i="3"/>
  <c r="D248" i="3"/>
  <c r="D249" i="3"/>
  <c r="D250" i="3"/>
  <c r="D251" i="3"/>
  <c r="D252" i="3"/>
  <c r="D253" i="3"/>
  <c r="D477" i="3"/>
  <c r="D478" i="3"/>
  <c r="D479" i="3"/>
  <c r="D480" i="3"/>
  <c r="D481" i="3"/>
  <c r="D482" i="3"/>
  <c r="D483" i="3"/>
  <c r="D484" i="3"/>
  <c r="D485" i="3"/>
  <c r="D486" i="3"/>
  <c r="D487" i="3"/>
  <c r="D488" i="3"/>
  <c r="D23" i="3"/>
  <c r="D24" i="3"/>
  <c r="D25" i="3"/>
  <c r="D26" i="3"/>
  <c r="D27" i="3"/>
  <c r="D243" i="3"/>
  <c r="D28" i="3"/>
  <c r="D29" i="3"/>
  <c r="D30" i="3"/>
  <c r="D31" i="3"/>
  <c r="D32" i="3"/>
  <c r="D33" i="3"/>
  <c r="D34" i="3"/>
  <c r="D35" i="3"/>
  <c r="D36" i="3"/>
  <c r="D37" i="3"/>
  <c r="D38" i="3"/>
  <c r="D39" i="3"/>
  <c r="D40" i="3"/>
  <c r="D41" i="3"/>
  <c r="D290" i="3"/>
  <c r="D291" i="3"/>
  <c r="D292" i="3"/>
  <c r="D293" i="3"/>
  <c r="D294" i="3"/>
  <c r="D295" i="3"/>
  <c r="D42" i="3"/>
  <c r="D43" i="3"/>
  <c r="D44" i="3"/>
  <c r="D45" i="3"/>
  <c r="D46" i="3"/>
  <c r="D47" i="3"/>
  <c r="D48" i="3"/>
  <c r="D49" i="3"/>
  <c r="D50" i="3"/>
  <c r="D51" i="3"/>
  <c r="D52" i="3"/>
  <c r="D53" i="3"/>
  <c r="D54" i="3"/>
  <c r="D55" i="3"/>
  <c r="D56" i="3"/>
  <c r="D57" i="3"/>
  <c r="D58" i="3"/>
  <c r="D59" i="3"/>
  <c r="D60" i="3"/>
  <c r="D61" i="3"/>
  <c r="D62" i="3"/>
  <c r="D63" i="3"/>
  <c r="D64" i="3"/>
  <c r="D65" i="3"/>
  <c r="D66" i="3"/>
  <c r="D67" i="3"/>
  <c r="D68"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2" i="3"/>
  <c r="D3" i="3"/>
  <c r="D4" i="3"/>
  <c r="D5" i="3"/>
  <c r="D6" i="3"/>
  <c r="D7" i="3"/>
  <c r="D8" i="3"/>
  <c r="D9" i="3"/>
  <c r="D10" i="3"/>
  <c r="D11" i="3"/>
  <c r="D12" i="3"/>
  <c r="D13" i="3"/>
  <c r="D14" i="3"/>
  <c r="D15" i="3"/>
  <c r="D16" i="3"/>
  <c r="D17" i="3"/>
  <c r="D18" i="3"/>
  <c r="D19" i="3"/>
  <c r="D20" i="3"/>
  <c r="D21" i="3"/>
  <c r="D22" i="3"/>
</calcChain>
</file>

<file path=xl/sharedStrings.xml><?xml version="1.0" encoding="utf-8"?>
<sst xmlns="http://schemas.openxmlformats.org/spreadsheetml/2006/main" count="48613" uniqueCount="9346">
  <si>
    <t>Diretoria</t>
  </si>
  <si>
    <t>GERÊNCIA OU COORDENAÇÃO</t>
  </si>
  <si>
    <t>Responsavel pela gerência ou coordenação</t>
  </si>
  <si>
    <t>SETOR</t>
  </si>
  <si>
    <t>Responsável pelo Setor</t>
  </si>
  <si>
    <t>Dir. Administrativa/Financeira</t>
  </si>
  <si>
    <t>Coordenação de Gestão Financeira</t>
  </si>
  <si>
    <t>Aislan Azevedo Santos</t>
  </si>
  <si>
    <t>CONT - Contratos</t>
  </si>
  <si>
    <t>Coordenação de Facilities</t>
  </si>
  <si>
    <t>Gustavo Cintra Silva</t>
  </si>
  <si>
    <t>SND - Serviço de Nutrição e Dietética</t>
  </si>
  <si>
    <t>Ana Luiza Timoteo Costa</t>
  </si>
  <si>
    <t>Coordenação de Apoio Logístico</t>
  </si>
  <si>
    <t>Gleyce Kelly Damaceno Barros Cavalcante</t>
  </si>
  <si>
    <t>Antonio Carlos Martins de Sousa Junior</t>
  </si>
  <si>
    <t>Aryadna Pinheiro Pereira</t>
  </si>
  <si>
    <t>Coordenação de Gestão de Pessoas</t>
  </si>
  <si>
    <t>Natália Patriny da Silva Lima</t>
  </si>
  <si>
    <t>NEP - Núcleo de Educação Permanente</t>
  </si>
  <si>
    <t>Cleudimara Pereira Maciel Souza</t>
  </si>
  <si>
    <t>Danielle Barroso de Aguiar dos Reis</t>
  </si>
  <si>
    <t>DAF - Diretoria Administrativa/Financeira</t>
  </si>
  <si>
    <t>SHL - Setor de Higienização e Limpeza</t>
  </si>
  <si>
    <t>SPR - Setor de Processamento de Roupas</t>
  </si>
  <si>
    <t>Coordenação de Pessoal</t>
  </si>
  <si>
    <t>Lucineide de Oliveira</t>
  </si>
  <si>
    <t>Madson de Souza Santos</t>
  </si>
  <si>
    <t>Mariana Feitosa Silva</t>
  </si>
  <si>
    <t>Ligado direto a diretoria</t>
  </si>
  <si>
    <t>Michelle Nayara Almeida Sandes</t>
  </si>
  <si>
    <t>OPME - Órtese Prótese e Materiais Especiais</t>
  </si>
  <si>
    <t xml:space="preserve"> Coordenação de Farmácia</t>
  </si>
  <si>
    <t>Nadiane Dantas Carvalho</t>
  </si>
  <si>
    <t>SESMT - Serviço Especializado em Segurança e Medicina do Trabalho</t>
  </si>
  <si>
    <t>Samilly dos Santos Gurgel</t>
  </si>
  <si>
    <t>Diretoria Geral</t>
  </si>
  <si>
    <t>Andrew Silva de Lima</t>
  </si>
  <si>
    <t>TI - Serviço de Tecnologia de Informação</t>
  </si>
  <si>
    <t>Cintia Kelciane Gomes de Oliveira</t>
  </si>
  <si>
    <t>CEP - Centro de Ensino e Pesquisa</t>
  </si>
  <si>
    <t>Mylena Justino da Silva Brito</t>
  </si>
  <si>
    <t>APGQ - Assessoria de Planejamento e Gestão da Qualidade</t>
  </si>
  <si>
    <t>NSP - Núcleo de Segurança do Paciente</t>
  </si>
  <si>
    <t>Rafaela Braga Simões</t>
  </si>
  <si>
    <t>Regia Carla da Silva Conceicao</t>
  </si>
  <si>
    <t>OUV - Ouvidoria</t>
  </si>
  <si>
    <t>Rita De Cassia Rotterdan Lisboa</t>
  </si>
  <si>
    <t>Yuri Amorim Braga</t>
  </si>
  <si>
    <t>Diretoria Técnica</t>
  </si>
  <si>
    <t>Equipe Multiprofissional</t>
  </si>
  <si>
    <t>Alfredo Gomes Barbosa</t>
  </si>
  <si>
    <t>FIS - Fisioterapia</t>
  </si>
  <si>
    <t>Aliny Lopes Coelho</t>
  </si>
  <si>
    <t>GRSS - Gerenciamento de Resíduos de Serviço de Saúde</t>
  </si>
  <si>
    <t>NVEH - Núcleo de Vigilância Epidemiológica Hospitalar</t>
  </si>
  <si>
    <t>Gerência Ambulatorial e do Apoio Diagnóstico</t>
  </si>
  <si>
    <t>Camila Amanda Cardoso dos Santos</t>
  </si>
  <si>
    <t>AMB - Unidade Ambulatorial</t>
  </si>
  <si>
    <t>AT - Agência Transfusional</t>
  </si>
  <si>
    <t>CTI - Centro de Terapia Infusional</t>
  </si>
  <si>
    <t>LAB - Unidade de Análises Clínicas</t>
  </si>
  <si>
    <t>Clariane Acário Martins</t>
  </si>
  <si>
    <t>Gerência de Cuidado Materno/Infantil</t>
  </si>
  <si>
    <t>Camila Nascimento Santos Santana</t>
  </si>
  <si>
    <t>Daniella Gomes De Oliveira Costa</t>
  </si>
  <si>
    <t>Gerência de Cuidados Cirúrgicos</t>
  </si>
  <si>
    <t>Evila Ellen Sa De Moraes Matias</t>
  </si>
  <si>
    <t>Debora De Oliveira Alvarenga</t>
  </si>
  <si>
    <t>CC - Centro Cirúrgico</t>
  </si>
  <si>
    <t>BLH - Banco de Leite Humano</t>
  </si>
  <si>
    <t>Flavia de Souza Moura</t>
  </si>
  <si>
    <t>Nutrição Clínica</t>
  </si>
  <si>
    <t>Coordenação de Internação</t>
  </si>
  <si>
    <t>Janaina Bernardes Ayer</t>
  </si>
  <si>
    <t>CA - Controle de Acesso</t>
  </si>
  <si>
    <t>REC - Recepção</t>
  </si>
  <si>
    <t>SPP - Serviço de Prontuário do Paciente</t>
  </si>
  <si>
    <t>STP - Serviço de Transporte De Paciente</t>
  </si>
  <si>
    <t>Larissa Talita da Silva</t>
  </si>
  <si>
    <t>CPN - Centro de Parto Normal</t>
  </si>
  <si>
    <t>Lorena do Nascimento Barreto</t>
  </si>
  <si>
    <t>PAM - Pronto Atendimento Materno</t>
  </si>
  <si>
    <t>Luciane dos Santos Silva Rocha</t>
  </si>
  <si>
    <t>SS - Serviço Social</t>
  </si>
  <si>
    <t>Marcelo Lopes Ribeiro</t>
  </si>
  <si>
    <t>Mariana Lopes de Almeida</t>
  </si>
  <si>
    <t>PSICC- Psicologia Clínica</t>
  </si>
  <si>
    <t>Gerência de Cuidados Clínicos Intensivos</t>
  </si>
  <si>
    <t>Mayara Soares Honório</t>
  </si>
  <si>
    <t>Marisol Luise Vilhene da Silva</t>
  </si>
  <si>
    <t>P.S - Pronto Socorro</t>
  </si>
  <si>
    <t>UTI - Unidade Terapia Intensiva Adulto</t>
  </si>
  <si>
    <t>SADT - Unidade de Diagnóstico Por Imagem</t>
  </si>
  <si>
    <t>Nadja Keilane Dantas Espinola</t>
  </si>
  <si>
    <t>CME - Centro de Material e Esterilização</t>
  </si>
  <si>
    <t>Olivia Alves dos Santos</t>
  </si>
  <si>
    <t>Webete da Silva Costa</t>
  </si>
  <si>
    <t>FONO - Fonoaudiologia</t>
  </si>
  <si>
    <t>Nº diretoria</t>
  </si>
  <si>
    <t>Nº da Gerência</t>
  </si>
  <si>
    <t>Nº do setor</t>
  </si>
  <si>
    <t>3.1</t>
  </si>
  <si>
    <t>3.1.1</t>
  </si>
  <si>
    <t>3.1.1.1</t>
  </si>
  <si>
    <t>3.1.1.2</t>
  </si>
  <si>
    <t>SUP - Suprimentos</t>
  </si>
  <si>
    <t>ALM - Almoxarifado</t>
  </si>
  <si>
    <t>PAT - Patrimônio</t>
  </si>
  <si>
    <t>3.1.1.3</t>
  </si>
  <si>
    <t>3.1.2</t>
  </si>
  <si>
    <t>3.1.3</t>
  </si>
  <si>
    <t>3.1.4</t>
  </si>
  <si>
    <t>3.1.5</t>
  </si>
  <si>
    <t>3.1.6</t>
  </si>
  <si>
    <t>3.1.8</t>
  </si>
  <si>
    <t>3.1.7</t>
  </si>
  <si>
    <t>3.1.2.1</t>
  </si>
  <si>
    <t>3.1.4.1</t>
  </si>
  <si>
    <t>3.1.5.1</t>
  </si>
  <si>
    <t>3.1.6.1</t>
  </si>
  <si>
    <t>3.1.2.3</t>
  </si>
  <si>
    <t>3.1.2.4</t>
  </si>
  <si>
    <t>3.1.4.4</t>
  </si>
  <si>
    <t>ENG - Núcleo de Engenharia Clínica</t>
  </si>
  <si>
    <t>MANU - Núcleo de Manutenção Geral</t>
  </si>
  <si>
    <t>3.1.2.2.1</t>
  </si>
  <si>
    <t>3.1.2.2.2</t>
  </si>
  <si>
    <t>SPAD - Setor de Provimento e Avaliação de Desempenho</t>
  </si>
  <si>
    <t>NBSC - Núcleo de Bem-Estar e Saúde do Colaborador</t>
  </si>
  <si>
    <t>3.1.4.2</t>
  </si>
  <si>
    <t>3.1.5.2</t>
  </si>
  <si>
    <t>3.1.4.3</t>
  </si>
  <si>
    <t>3.1.5.3</t>
  </si>
  <si>
    <t>FAT - Faturamento</t>
  </si>
  <si>
    <t>FIN - Setor de Execução Financeira e Custos</t>
  </si>
  <si>
    <t>SRFP - Setor de Registro e Folha de Ponto</t>
  </si>
  <si>
    <t>1.1</t>
  </si>
  <si>
    <t>1.1.1</t>
  </si>
  <si>
    <t>1.1.9</t>
  </si>
  <si>
    <t>1.1.3</t>
  </si>
  <si>
    <t>1.1.7</t>
  </si>
  <si>
    <t>1.1.6</t>
  </si>
  <si>
    <t>1.1.8</t>
  </si>
  <si>
    <t>AC - Assessoria de Comunicação</t>
  </si>
  <si>
    <t>1.1.10</t>
  </si>
  <si>
    <t>1.1.5</t>
  </si>
  <si>
    <t>2.1</t>
  </si>
  <si>
    <t>2.1.8</t>
  </si>
  <si>
    <t>2.1.37</t>
  </si>
  <si>
    <t>2.1.34</t>
  </si>
  <si>
    <t>2.1.33</t>
  </si>
  <si>
    <t>2.1.35</t>
  </si>
  <si>
    <t>2.1.36</t>
  </si>
  <si>
    <t>2.1.8.5</t>
  </si>
  <si>
    <t>2.1.8.6</t>
  </si>
  <si>
    <t>2.1.8.7</t>
  </si>
  <si>
    <t>2.1.8.8</t>
  </si>
  <si>
    <t>2.1.8.9</t>
  </si>
  <si>
    <t>2.1.37.1</t>
  </si>
  <si>
    <t>2.1.37.3</t>
  </si>
  <si>
    <t>2.1.37.4</t>
  </si>
  <si>
    <t>2.1.37.5</t>
  </si>
  <si>
    <t>2.1.37.2</t>
  </si>
  <si>
    <t>2.1.34.1</t>
  </si>
  <si>
    <t>2.1.34.5</t>
  </si>
  <si>
    <t>2.1.34.2</t>
  </si>
  <si>
    <t>2.1.34.4</t>
  </si>
  <si>
    <t>2.1.34.3</t>
  </si>
  <si>
    <t>2.1.33.1</t>
  </si>
  <si>
    <t>2.1.33.2</t>
  </si>
  <si>
    <t>2.1.33.5</t>
  </si>
  <si>
    <t>2.1.33.6</t>
  </si>
  <si>
    <t>2.1.33.3</t>
  </si>
  <si>
    <t>2.1.33.4</t>
  </si>
  <si>
    <t>2.1.35.1</t>
  </si>
  <si>
    <t>2.1.35.2</t>
  </si>
  <si>
    <t>2.1.35.3</t>
  </si>
  <si>
    <t>2.1.35.4</t>
  </si>
  <si>
    <t>2.1.36.1</t>
  </si>
  <si>
    <t>2.1.36.2</t>
  </si>
  <si>
    <t>2.1.36.3</t>
  </si>
  <si>
    <t>2.1.36.4</t>
  </si>
  <si>
    <t>2.1.14</t>
  </si>
  <si>
    <t>2.1.18</t>
  </si>
  <si>
    <t>2.1.25</t>
  </si>
  <si>
    <t>2.1.13</t>
  </si>
  <si>
    <t>GA - Gerência Assistencial</t>
  </si>
  <si>
    <t>2.1.11</t>
  </si>
  <si>
    <t>000</t>
  </si>
  <si>
    <t>00</t>
  </si>
  <si>
    <t>Setor</t>
  </si>
  <si>
    <t>n/d</t>
  </si>
  <si>
    <t>NIR - Núcleo Interno de Regulação</t>
  </si>
  <si>
    <t>UIO - Unidade de Internação Ortopédica</t>
  </si>
  <si>
    <t>PED - Unidade de Internação Pediátrica</t>
  </si>
  <si>
    <t>UCI - Unidade de Cuidados Intensivos Neonatal</t>
  </si>
  <si>
    <t>UICC - Unidade de Internação Cirúrgica</t>
  </si>
  <si>
    <t>Status</t>
  </si>
  <si>
    <t>Quantidade de Itens Solicitados (Estrutura)</t>
  </si>
  <si>
    <t>Perda Por Validade E Avarias (Resultado)</t>
  </si>
  <si>
    <t>Percentual de Acurácia de Alto Custo - Almoxarifado (Resultado)</t>
  </si>
  <si>
    <t>Quantidade de Ordens de Serviços Solicitados (Estrurua)</t>
  </si>
  <si>
    <t>Quantidade de Bens Movimentados (Estrutura)</t>
  </si>
  <si>
    <t>Quantidade de Bens Recuperados de Depósito (Resultado)</t>
  </si>
  <si>
    <t>Ordens de Serviço Aberta x Finalizadas (Processo)</t>
  </si>
  <si>
    <t>Percentual de Tempo de Atendimento (Processo)</t>
  </si>
  <si>
    <t>Percentual de de Resolutividade (Resultado)</t>
  </si>
  <si>
    <r>
      <rPr>
        <b/>
        <sz val="10"/>
        <rFont val="Arial"/>
        <family val="2"/>
      </rPr>
      <t>Título</t>
    </r>
  </si>
  <si>
    <r>
      <rPr>
        <b/>
        <sz val="10"/>
        <rFont val="Arial"/>
        <family val="2"/>
      </rPr>
      <t>Plano de Ação</t>
    </r>
  </si>
  <si>
    <r>
      <rPr>
        <b/>
        <sz val="10"/>
        <rFont val="Arial"/>
        <family val="2"/>
      </rPr>
      <t>Responsável</t>
    </r>
  </si>
  <si>
    <r>
      <rPr>
        <b/>
        <sz val="10"/>
        <rFont val="Arial"/>
        <family val="2"/>
      </rPr>
      <t>Início</t>
    </r>
    <r>
      <rPr>
        <b/>
        <sz val="10"/>
        <rFont val="Arial"/>
        <family val="2"/>
      </rPr>
      <t xml:space="preserve"> Previsto</t>
    </r>
  </si>
  <si>
    <r>
      <t>Início</t>
    </r>
    <r>
      <rPr>
        <b/>
        <sz val="10"/>
        <rFont val="Arial"/>
        <family val="2"/>
      </rPr>
      <t xml:space="preserve"> Realizado</t>
    </r>
  </si>
  <si>
    <r>
      <rPr>
        <b/>
        <sz val="10"/>
        <rFont val="Arial"/>
        <family val="2"/>
      </rPr>
      <t>Fim</t>
    </r>
    <r>
      <rPr>
        <b/>
        <sz val="10"/>
        <rFont val="Arial"/>
        <family val="2"/>
      </rPr>
      <t xml:space="preserve"> Previsto</t>
    </r>
  </si>
  <si>
    <t>Fim Realizado</t>
  </si>
  <si>
    <r>
      <rPr>
        <b/>
        <sz val="10"/>
        <rFont val="Arial"/>
        <family val="2"/>
      </rPr>
      <t>Progresso</t>
    </r>
  </si>
  <si>
    <r>
      <rPr>
        <sz val="10"/>
        <rFont val="Arial MT"/>
        <family val="2"/>
      </rPr>
      <t>Implementar controle mensal do orçamento (orçado x realizado).</t>
    </r>
  </si>
  <si>
    <r>
      <rPr>
        <sz val="10"/>
        <rFont val="Arial MT"/>
        <family val="2"/>
      </rPr>
      <t>Plano de Ação PE: Implantar metodologia de controle financeiro rigoroso</t>
    </r>
  </si>
  <si>
    <t>Planejamento Estratégico</t>
  </si>
  <si>
    <r>
      <rPr>
        <sz val="10"/>
        <rFont val="Arial MT"/>
        <family val="2"/>
      </rPr>
      <t>Danielle Barroso de Aguiar dos Reis</t>
    </r>
  </si>
  <si>
    <r>
      <rPr>
        <sz val="10"/>
        <rFont val="Arial MT"/>
        <family val="2"/>
      </rPr>
      <t>Revisar contratos de serviços terceirizados</t>
    </r>
  </si>
  <si>
    <r>
      <rPr>
        <sz val="10"/>
        <rFont val="Arial MT"/>
        <family val="2"/>
      </rPr>
      <t>Aumentar produção de procedimentos eletivos associado a novos recursos</t>
    </r>
  </si>
  <si>
    <r>
      <rPr>
        <sz val="10"/>
        <rFont val="Arial MT"/>
        <family val="2"/>
      </rPr>
      <t>Yuri Amorim Braga</t>
    </r>
  </si>
  <si>
    <r>
      <rPr>
        <sz val="10"/>
        <rFont val="Arial MT"/>
        <family val="2"/>
      </rPr>
      <t>Monitorar regularidade de repasse</t>
    </r>
  </si>
  <si>
    <r>
      <rPr>
        <sz val="10"/>
        <rFont val="Arial MT"/>
        <family val="2"/>
      </rPr>
      <t>Implantar centros de custo bem definidos</t>
    </r>
  </si>
  <si>
    <r>
      <rPr>
        <sz val="10"/>
        <rFont val="Arial MT"/>
        <family val="2"/>
      </rPr>
      <t xml:space="preserve">Plano de Ação PE:
</t>
    </r>
    <r>
      <rPr>
        <sz val="10"/>
        <rFont val="Arial MT"/>
        <family val="2"/>
      </rPr>
      <t>Desdobramento Gestão de Custos</t>
    </r>
  </si>
  <si>
    <r>
      <rPr>
        <sz val="10"/>
        <rFont val="Arial MT"/>
        <family val="2"/>
      </rPr>
      <t>Implantar estratégia de controle e redução de horas extras desnecessárias</t>
    </r>
  </si>
  <si>
    <r>
      <rPr>
        <sz val="10"/>
        <rFont val="Arial MT"/>
        <family val="2"/>
      </rPr>
      <t>Monitorar rigorosamente compras de emergência e seu impacto</t>
    </r>
  </si>
  <si>
    <r>
      <rPr>
        <sz val="10"/>
        <rFont val="Arial MT"/>
        <family val="2"/>
      </rPr>
      <t>Gleyce Kelly Damaceno Barros Cavalcante</t>
    </r>
  </si>
  <si>
    <r>
      <rPr>
        <sz val="10"/>
        <rFont val="Arial MT"/>
        <family val="2"/>
      </rPr>
      <t>Monitorar giro de leito</t>
    </r>
  </si>
  <si>
    <r>
      <rPr>
        <sz val="10"/>
        <rFont val="Arial MT"/>
        <family val="2"/>
      </rPr>
      <t>Janaina Bernardes Ayer</t>
    </r>
  </si>
  <si>
    <r>
      <rPr>
        <sz val="10"/>
        <rFont val="Arial MT"/>
        <family val="2"/>
      </rPr>
      <t>Reduzir índice de glosas</t>
    </r>
  </si>
  <si>
    <r>
      <rPr>
        <sz val="10"/>
        <rFont val="Arial MT"/>
        <family val="2"/>
      </rPr>
      <t xml:space="preserve">Plano de Ação PE:
</t>
    </r>
    <r>
      <rPr>
        <sz val="10"/>
        <rFont val="Arial MT"/>
        <family val="2"/>
      </rPr>
      <t>Desdobramento eficiência no processo de faturamento</t>
    </r>
  </si>
  <si>
    <r>
      <rPr>
        <sz val="10"/>
        <rFont val="Arial MT"/>
        <family val="2"/>
      </rPr>
      <t>Mitigar Subfaturamento</t>
    </r>
  </si>
  <si>
    <r>
      <rPr>
        <sz val="10"/>
        <rFont val="Arial MT"/>
        <family val="2"/>
      </rPr>
      <t>Agilizar fechamento de contas</t>
    </r>
  </si>
  <si>
    <r>
      <rPr>
        <sz val="10"/>
        <rFont val="Arial MT"/>
        <family val="2"/>
      </rPr>
      <t>Treinamento contínuo sobre uso responsável do recurso público</t>
    </r>
  </si>
  <si>
    <r>
      <rPr>
        <sz val="10"/>
        <rFont val="Arial MT"/>
        <family val="2"/>
      </rPr>
      <t>Plano de Ação PE: Uso responsável do Recurso Público</t>
    </r>
  </si>
  <si>
    <r>
      <rPr>
        <sz val="10"/>
        <rFont val="Arial MT"/>
        <family val="2"/>
      </rPr>
      <t>Estimular denúncias internas  (canal seguro)</t>
    </r>
  </si>
  <si>
    <r>
      <rPr>
        <sz val="10"/>
        <rFont val="Arial MT"/>
        <family val="2"/>
      </rPr>
      <t>Natália Patriny da Silva Lima</t>
    </r>
  </si>
  <si>
    <r>
      <rPr>
        <sz val="10"/>
        <rFont val="Arial MT"/>
        <family val="2"/>
      </rPr>
      <t>Fiscalização ativa da execução contratual</t>
    </r>
  </si>
  <si>
    <r>
      <rPr>
        <sz val="10"/>
        <rFont val="Arial MT"/>
        <family val="2"/>
      </rPr>
      <t>Avaliar desempenho de fornecedores</t>
    </r>
  </si>
  <si>
    <r>
      <rPr>
        <sz val="10"/>
        <rFont val="Arial MT"/>
        <family val="2"/>
      </rPr>
      <t>Levantar todas as exigências dos órgãos competentes (VISA, AVCB, CNES, PGRSS, NR'S, ALVÁRA, CONSELHOS DE CLASSE)</t>
    </r>
  </si>
  <si>
    <r>
      <rPr>
        <sz val="10"/>
        <rFont val="Arial MT"/>
        <family val="2"/>
      </rPr>
      <t xml:space="preserve">Plano de Ação PE:
</t>
    </r>
    <r>
      <rPr>
        <sz val="10"/>
        <rFont val="Arial MT"/>
        <family val="2"/>
      </rPr>
      <t>Desdobramento Regularidade Legal</t>
    </r>
  </si>
  <si>
    <r>
      <rPr>
        <sz val="10"/>
        <rFont val="Arial MT"/>
        <family val="2"/>
      </rPr>
      <t>Natacha Flora Alves de Moraes</t>
    </r>
  </si>
  <si>
    <r>
      <rPr>
        <sz val="10"/>
        <rFont val="Arial MT"/>
        <family val="2"/>
      </rPr>
      <t>Designar responsável pelo monitoramento e condução das atualizações</t>
    </r>
  </si>
  <si>
    <r>
      <rPr>
        <sz val="10"/>
        <rFont val="Arial MT"/>
        <family val="2"/>
      </rPr>
      <t>Criar cronograma de sustentabilidade do processo junto a Diretoria Geral e envolvidos</t>
    </r>
  </si>
  <si>
    <r>
      <rPr>
        <sz val="10"/>
        <rFont val="Arial MT"/>
        <family val="2"/>
      </rPr>
      <t>Criar arquivo digital e físico padronizado para guarda dos documentos legais</t>
    </r>
  </si>
  <si>
    <r>
      <rPr>
        <sz val="10"/>
        <rFont val="Arial MT"/>
        <family val="2"/>
      </rPr>
      <t>Descrever diretriz do fluxo completo de monitoramento e revalidação dos documentos legais</t>
    </r>
  </si>
  <si>
    <r>
      <rPr>
        <sz val="10"/>
        <rFont val="Arial MT"/>
        <family val="2"/>
      </rPr>
      <t>Publicar uma portaria contendo requisitos de atuação eficiente</t>
    </r>
  </si>
  <si>
    <r>
      <rPr>
        <sz val="10"/>
        <rFont val="Arial MT"/>
        <family val="2"/>
      </rPr>
      <t xml:space="preserve">Plano de Ação PE:
</t>
    </r>
    <r>
      <rPr>
        <sz val="10"/>
        <rFont val="Arial MT"/>
        <family val="2"/>
      </rPr>
      <t>Desdobramento Compliance e sua efetividade</t>
    </r>
  </si>
  <si>
    <r>
      <rPr>
        <sz val="10"/>
        <rFont val="Arial MT"/>
        <family val="2"/>
      </rPr>
      <t>Criar cronograma de sustentabilidade do processo</t>
    </r>
  </si>
  <si>
    <r>
      <rPr>
        <sz val="10"/>
        <rFont val="Arial MT"/>
        <family val="2"/>
      </rPr>
      <t>Identificar e gerenciar os processos mais críticos relacionados a Compliance</t>
    </r>
  </si>
  <si>
    <r>
      <rPr>
        <sz val="10"/>
        <rFont val="Arial MT"/>
        <family val="2"/>
      </rPr>
      <t>Realizar Obra de Novo Pronto Socorro e Maternidade</t>
    </r>
  </si>
  <si>
    <r>
      <rPr>
        <sz val="10"/>
        <rFont val="Arial MT"/>
        <family val="2"/>
      </rPr>
      <t xml:space="preserve">Plano de Ação PE:
</t>
    </r>
    <r>
      <rPr>
        <sz val="10"/>
        <rFont val="Arial MT"/>
        <family val="2"/>
      </rPr>
      <t>Desdobramento Obras e Reformas</t>
    </r>
  </si>
  <si>
    <r>
      <rPr>
        <sz val="10"/>
        <rFont val="Arial MT"/>
        <family val="2"/>
      </rPr>
      <t>Reforma do prédio conforme adequações legais (HGP)</t>
    </r>
  </si>
  <si>
    <r>
      <rPr>
        <sz val="10"/>
        <rFont val="Arial MT"/>
        <family val="2"/>
      </rPr>
      <t>Criar canal direto NIR ? Regulação ? UPA (tempo real) e monitorar possíveis falhas na comunicação</t>
    </r>
  </si>
  <si>
    <r>
      <rPr>
        <sz val="10"/>
        <rFont val="Arial MT"/>
        <family val="2"/>
      </rPr>
      <t xml:space="preserve">Plano de Ação PE:
</t>
    </r>
    <r>
      <rPr>
        <sz val="10"/>
        <rFont val="Arial MT"/>
        <family val="2"/>
      </rPr>
      <t>Desdobramento Garantir Saúde Populacional</t>
    </r>
  </si>
  <si>
    <r>
      <rPr>
        <sz val="10"/>
        <rFont val="Arial MT"/>
        <family val="2"/>
      </rPr>
      <t>Marcelo Lopes Ribeiro</t>
    </r>
  </si>
  <si>
    <r>
      <rPr>
        <sz val="10"/>
        <rFont val="Arial MT"/>
        <family val="2"/>
      </rPr>
      <t>Encaminhar periodicamente relação de pacientes com previsibilidade de alta para equipe APS (Intuito equipe APS visitar o paciente antes da alta)</t>
    </r>
  </si>
  <si>
    <r>
      <rPr>
        <sz val="10"/>
        <rFont val="Arial MT"/>
        <family val="2"/>
      </rPr>
      <t>Criar metodologia de compartilhamento de mapa de leitos compartilhado com a regulação para acompanhamento em tempo real.</t>
    </r>
  </si>
  <si>
    <r>
      <rPr>
        <sz val="10"/>
        <rFont val="Arial MT"/>
        <family val="2"/>
      </rPr>
      <t>Realizar reunião semanal curta de gestão com a rede (30 min) - Pauta fixa: Pacientes retidos, internações sociais, Fluxos que falharam na semana.</t>
    </r>
  </si>
  <si>
    <r>
      <rPr>
        <sz val="10"/>
        <rFont val="Arial MT"/>
        <family val="2"/>
      </rPr>
      <t>Implementar Protocolo de Cuidados para pacientes crônicos e idosos com foco na alta segura e evitar reinternações.</t>
    </r>
  </si>
  <si>
    <r>
      <rPr>
        <sz val="10"/>
        <rFont val="Arial MT"/>
        <family val="2"/>
      </rPr>
      <t>Elaborar diretriz e publicar e capacitar equipe.</t>
    </r>
  </si>
  <si>
    <r>
      <rPr>
        <sz val="10"/>
        <rFont val="Arial MT"/>
        <family val="2"/>
      </rPr>
      <t xml:space="preserve">Plano de Ação PE:
</t>
    </r>
    <r>
      <rPr>
        <sz val="10"/>
        <rFont val="Arial MT"/>
        <family val="2"/>
      </rPr>
      <t>Desdobramento Implantar Política de Acolhimento</t>
    </r>
  </si>
  <si>
    <r>
      <rPr>
        <sz val="10"/>
        <rFont val="Arial MT"/>
        <family val="2"/>
      </rPr>
      <t>Promover ações de melhorias em cima dos relatórios de satisfação do paciente gerados mensalmente</t>
    </r>
  </si>
  <si>
    <r>
      <rPr>
        <sz val="10"/>
        <rFont val="Arial MT"/>
        <family val="2"/>
      </rPr>
      <t>Adequar a comunicação visual interna na instituição</t>
    </r>
  </si>
  <si>
    <r>
      <rPr>
        <sz val="10"/>
        <rFont val="Arial MT"/>
        <family val="2"/>
      </rPr>
      <t>Rita De Cassia Rotterdan Lisboa</t>
    </r>
  </si>
  <si>
    <r>
      <rPr>
        <sz val="10"/>
        <rFont val="Arial MT"/>
        <family val="2"/>
      </rPr>
      <t>Implantar meios de comunicação clara e eficiente com os usuários (Orientações pré, intra e pós cuidado).</t>
    </r>
  </si>
  <si>
    <r>
      <rPr>
        <sz val="10"/>
        <rFont val="Arial MT"/>
        <family val="2"/>
      </rPr>
      <t>Clariane Acário Martins</t>
    </r>
  </si>
  <si>
    <r>
      <rPr>
        <sz val="10"/>
        <rFont val="Arial MT"/>
        <family val="2"/>
      </rPr>
      <t>Criar a Rotina de divulgação de Boas Notícias (Divulgação Semanal: Quantos atendimentos foram realizados, cirugias realizadas, Casos de sucesso</t>
    </r>
  </si>
  <si>
    <r>
      <rPr>
        <sz val="10"/>
        <rFont val="Arial MT"/>
        <family val="2"/>
      </rPr>
      <t xml:space="preserve">Plano de Ação PE:
</t>
    </r>
    <r>
      <rPr>
        <sz val="10"/>
        <rFont val="Arial MT"/>
        <family val="2"/>
      </rPr>
      <t>Desdobramento Fortalecer Mídia Positiva</t>
    </r>
  </si>
  <si>
    <r>
      <rPr>
        <sz val="10"/>
        <rFont val="Arial MT"/>
        <family val="2"/>
      </rPr>
      <t>Fortalecer relacionamento com os canais de mídia local (Antecipar a imprensa antes do problema)</t>
    </r>
  </si>
  <si>
    <r>
      <rPr>
        <sz val="10"/>
        <rFont val="Arial MT"/>
        <family val="2"/>
      </rPr>
      <t>Criar o "Relatório Mensal do Hospital para a Comunidade" para  divulgação interna, tornando os colaboradores disseminadores de mídia positiva.</t>
    </r>
  </si>
  <si>
    <r>
      <rPr>
        <sz val="10"/>
        <rFont val="Arial MT"/>
        <family val="2"/>
      </rPr>
      <t>Fortalecer cultura de notificação com foco na cultura justa</t>
    </r>
  </si>
  <si>
    <r>
      <rPr>
        <sz val="10"/>
        <rFont val="Arial MT"/>
        <family val="2"/>
      </rPr>
      <t xml:space="preserve">Plano de Ação PE:
</t>
    </r>
    <r>
      <rPr>
        <sz val="10"/>
        <rFont val="Arial MT"/>
        <family val="2"/>
      </rPr>
      <t>Desdobramento Estabelecer Metodologia Para Monitorar de Eventos Adversos.</t>
    </r>
  </si>
  <si>
    <r>
      <rPr>
        <sz val="10"/>
        <rFont val="Arial MT"/>
        <family val="2"/>
      </rPr>
      <t>Mylena Justino da Silva Brito</t>
    </r>
  </si>
  <si>
    <r>
      <rPr>
        <sz val="10"/>
        <rFont val="Arial MT"/>
        <family val="2"/>
      </rPr>
      <t>Capacitar equipes quanto aos tipos e meios para notificar</t>
    </r>
  </si>
  <si>
    <r>
      <rPr>
        <sz val="10"/>
        <rFont val="Arial MT"/>
        <family val="2"/>
      </rPr>
      <t>Aumentar o número de notificação tratadas no prazo</t>
    </r>
  </si>
  <si>
    <r>
      <rPr>
        <sz val="10"/>
        <rFont val="Arial MT"/>
        <family val="2"/>
      </rPr>
      <t>Monitorar eficácia das ações propostas nas análises dos EA</t>
    </r>
  </si>
  <si>
    <r>
      <rPr>
        <sz val="10"/>
        <rFont val="Arial MT"/>
        <family val="2"/>
      </rPr>
      <t>Reestruturar equipe NIR com foco no monitoramento de liberação de leitos.</t>
    </r>
  </si>
  <si>
    <r>
      <rPr>
        <sz val="10"/>
        <rFont val="Arial MT"/>
        <family val="2"/>
      </rPr>
      <t xml:space="preserve">Plano de Ação PE:
</t>
    </r>
    <r>
      <rPr>
        <sz val="10"/>
        <rFont val="Arial MT"/>
        <family val="2"/>
      </rPr>
      <t>Desdobramento Garantir Efetividade Na Gestão De Leitos</t>
    </r>
  </si>
  <si>
    <r>
      <rPr>
        <sz val="10"/>
        <rFont val="Arial MT"/>
        <family val="2"/>
      </rPr>
      <t>Implementar controle de Tempo Médio de Permanência por unidade.</t>
    </r>
  </si>
  <si>
    <r>
      <rPr>
        <sz val="10"/>
        <rFont val="Arial MT"/>
        <family val="2"/>
      </rPr>
      <t>Criar a lista oficial de patologias mais prevalentes da unidade (Perfil epidemiológico)</t>
    </r>
  </si>
  <si>
    <r>
      <rPr>
        <sz val="10"/>
        <rFont val="Arial MT"/>
        <family val="2"/>
      </rPr>
      <t xml:space="preserve">Plano de Ação PE:
</t>
    </r>
    <r>
      <rPr>
        <sz val="10"/>
        <rFont val="Arial MT"/>
        <family val="2"/>
      </rPr>
      <t>Desdobramento Implementar Atendimento Adequado Ao Tipo De Patologia Por Criticidade</t>
    </r>
  </si>
  <si>
    <r>
      <rPr>
        <sz val="10"/>
        <rFont val="Arial MT"/>
        <family val="2"/>
      </rPr>
      <t>Elaborar diretriz (Protocolos clínicos) conforme descrito no perfil epidemiológico</t>
    </r>
  </si>
  <si>
    <r>
      <rPr>
        <sz val="10"/>
        <rFont val="Arial MT"/>
        <family val="2"/>
      </rPr>
      <t>Definir metodologia de verificação de conformidade de cada protocolo clínico (Periodicidade e método)</t>
    </r>
  </si>
  <si>
    <r>
      <rPr>
        <sz val="10"/>
        <rFont val="Arial MT"/>
        <family val="2"/>
      </rPr>
      <t>Apresentar e discutir dados mensalmente com envolvimento da alta gestão para tomada de decisão (Indicadores com análise crítica)</t>
    </r>
  </si>
  <si>
    <r>
      <rPr>
        <sz val="10"/>
        <rFont val="Arial MT"/>
        <family val="2"/>
      </rPr>
      <t>Implementar Protocolo de Classificação de risco (MANCHESTER)</t>
    </r>
  </si>
  <si>
    <r>
      <rPr>
        <sz val="10"/>
        <rFont val="Arial MT"/>
        <family val="2"/>
      </rPr>
      <t xml:space="preserve">Plano de Ação PE:
</t>
    </r>
    <r>
      <rPr>
        <sz val="10"/>
        <rFont val="Arial MT"/>
        <family val="2"/>
      </rPr>
      <t>Desdobramento Implantar Protocolo De Classificação De Risco Efetivo</t>
    </r>
  </si>
  <si>
    <r>
      <rPr>
        <sz val="10"/>
        <rFont val="Arial MT"/>
        <family val="2"/>
      </rPr>
      <t>Capacitar equipe médica e de enfermagem para uso da ferramenta padrão para classificação de risco (MANCHESTER)</t>
    </r>
  </si>
  <si>
    <r>
      <rPr>
        <sz val="10"/>
        <rFont val="Arial MT"/>
        <family val="2"/>
      </rPr>
      <t>Parametrizar sistema operacional para uso eficaz da ferramenta de Classificação de risco</t>
    </r>
  </si>
  <si>
    <r>
      <rPr>
        <sz val="10"/>
        <rFont val="Arial MT"/>
        <family val="2"/>
      </rPr>
      <t>Definir e capacitar auditores para verificação da assertividade (MANCHESTER)</t>
    </r>
  </si>
  <si>
    <r>
      <rPr>
        <sz val="10"/>
        <rFont val="Arial MT"/>
        <family val="2"/>
      </rPr>
      <t>Implementar metodologia de verificação da assertividade e criação de plano de ação conforme não conformidades encontradas</t>
    </r>
  </si>
  <si>
    <r>
      <rPr>
        <sz val="10"/>
        <rFont val="Arial MT"/>
        <family val="2"/>
      </rPr>
      <t xml:space="preserve">Implementar indicadores de monitoramento de tempo de atendimento por etapas no fluxo do
</t>
    </r>
    <r>
      <rPr>
        <sz val="10"/>
        <rFont val="Arial MT"/>
        <family val="2"/>
      </rPr>
      <t>P.S (NEDOCS)</t>
    </r>
  </si>
  <si>
    <r>
      <rPr>
        <sz val="10"/>
        <rFont val="Arial MT"/>
        <family val="2"/>
      </rPr>
      <t>Implementar Ambientação Por Categoaria Com Foco No Desenvolvimento Profissional E Atendimento Seguro (Projeto Guia)</t>
    </r>
  </si>
  <si>
    <r>
      <rPr>
        <sz val="10"/>
        <rFont val="Arial MT"/>
        <family val="2"/>
      </rPr>
      <t xml:space="preserve">Plano de Ação PE:
</t>
    </r>
    <r>
      <rPr>
        <sz val="10"/>
        <rFont val="Arial MT"/>
        <family val="2"/>
      </rPr>
      <t>Desdobramento Implantar Programa De Capacitação E Desenvolviment o Contínuo</t>
    </r>
  </si>
  <si>
    <r>
      <rPr>
        <sz val="10"/>
        <rFont val="Arial MT"/>
        <family val="2"/>
      </rPr>
      <t>Implantar Programa De Reconhecimento E Valorização Profissional</t>
    </r>
  </si>
  <si>
    <r>
      <rPr>
        <sz val="10"/>
        <rFont val="Arial MT"/>
        <family val="2"/>
      </rPr>
      <t>Implantar Programa De Desenvolvimento De Liderança</t>
    </r>
  </si>
  <si>
    <r>
      <rPr>
        <sz val="10"/>
        <rFont val="Arial MT"/>
        <family val="2"/>
      </rPr>
      <t>Estrututar Processo De PDI</t>
    </r>
  </si>
  <si>
    <r>
      <rPr>
        <sz val="10"/>
        <rFont val="Arial MT"/>
        <family val="2"/>
      </rPr>
      <t>Implantar NEAS - Núcleo Educação Assistencial</t>
    </r>
  </si>
  <si>
    <r>
      <rPr>
        <sz val="10"/>
        <rFont val="Arial MT"/>
        <family val="2"/>
      </rPr>
      <t>Criar Canal De Escuta Interna</t>
    </r>
  </si>
  <si>
    <r>
      <rPr>
        <sz val="10"/>
        <rFont val="Arial MT"/>
        <family val="2"/>
      </rPr>
      <t xml:space="preserve">Plano de Ação PE:
</t>
    </r>
    <r>
      <rPr>
        <sz val="10"/>
        <rFont val="Arial MT"/>
        <family val="2"/>
      </rPr>
      <t>Desdobramento Garantir Clima Organizacional Favorável</t>
    </r>
  </si>
  <si>
    <r>
      <rPr>
        <sz val="10"/>
        <rFont val="Arial MT"/>
        <family val="2"/>
      </rPr>
      <t>Implantar Projeto Ronda Da Direção (Visita Da Alta Gestão Nas Áreas Semanalmente)</t>
    </r>
  </si>
  <si>
    <r>
      <rPr>
        <sz val="10"/>
        <rFont val="Arial MT"/>
        <family val="2"/>
      </rPr>
      <t>Implantar Projeto Institucional De Comemorações Internas (Aniversariantes Do Mês/ Dia Do Profissional/ Elogiados/ Colaborador Detaque)</t>
    </r>
  </si>
  <si>
    <r>
      <rPr>
        <sz val="10"/>
        <rFont val="Arial MT"/>
        <family val="2"/>
      </rPr>
      <t>Disponibilizar Uniformes Para Todas As Categorias</t>
    </r>
  </si>
  <si>
    <r>
      <rPr>
        <sz val="10"/>
        <rFont val="Arial MT"/>
        <family val="2"/>
      </rPr>
      <t>Implantar Benefício Day-Off De Aniversário</t>
    </r>
  </si>
  <si>
    <r>
      <rPr>
        <sz val="10"/>
        <rFont val="Arial MT"/>
        <family val="2"/>
      </rPr>
      <t>Aplicar Pesquisa De Clima Anualmente E Analisar Resultado Com Ações De Melhoria</t>
    </r>
  </si>
  <si>
    <r>
      <rPr>
        <sz val="10"/>
        <rFont val="Arial MT"/>
        <family val="2"/>
      </rPr>
      <t>Nível 1 - 1.1.1.1 Requisito: Analisar o Contexto da Organização</t>
    </r>
  </si>
  <si>
    <r>
      <rPr>
        <sz val="10"/>
        <rFont val="Arial MT"/>
        <family val="2"/>
      </rPr>
      <t xml:space="preserve">ONA 2026:
</t>
    </r>
    <r>
      <rPr>
        <sz val="10"/>
        <rFont val="Arial MT"/>
        <family val="2"/>
      </rPr>
      <t>Subseção 1.1 - Liderança Organizacional</t>
    </r>
  </si>
  <si>
    <t>ONA</t>
  </si>
  <si>
    <r>
      <rPr>
        <sz val="10"/>
        <rFont val="Arial MT"/>
        <family val="2"/>
      </rPr>
      <t>Nível 1 - 1.1.1.2 Requisito: Estabelecer a Identidade Organizacional</t>
    </r>
  </si>
  <si>
    <r>
      <rPr>
        <sz val="10"/>
        <rFont val="Arial MT"/>
        <family val="2"/>
      </rPr>
      <t>Nível 1 - 1.1.1.3 Requisito: Estabelecer a Estratégia Organizacional (Requisito CORE)</t>
    </r>
  </si>
  <si>
    <r>
      <rPr>
        <sz val="10"/>
        <rFont val="Arial MT"/>
        <family val="2"/>
      </rPr>
      <t>Nível 2 - 1.1.1.4 Requisito: Desdobrar a Estratégia Organizacional</t>
    </r>
  </si>
  <si>
    <r>
      <rPr>
        <sz val="10"/>
        <rFont val="Arial MT"/>
        <family val="2"/>
      </rPr>
      <t>Nível 2 - 1.1.1.5 Requisito: Apresentar sistemática de acompanhamento da estratégia (Requisito CORE)</t>
    </r>
  </si>
  <si>
    <r>
      <rPr>
        <sz val="10"/>
        <rFont val="Arial MT"/>
        <family val="2"/>
      </rPr>
      <t>Nível 3 - 1.1.1.6 Requisito: Demonstrar as melhorias alcançadas com a estratégia organizacional implementada e a efetividade das ações decorrentes</t>
    </r>
  </si>
  <si>
    <r>
      <rPr>
        <sz val="10"/>
        <rFont val="Arial MT"/>
        <family val="2"/>
      </rPr>
      <t>Nível 1 - 1.1.2.1 Requisito: Estabelecer e implementar diretriz documentada de Gestão da Qualidade e Riscos. (Requisito CORE)</t>
    </r>
  </si>
  <si>
    <r>
      <rPr>
        <sz val="10"/>
        <rFont val="Arial MT"/>
        <family val="2"/>
      </rPr>
      <t>Nível 1 - 1.1.2.2 Requisito: Estabelecer diretriz documentada para a segurança do paciente, com foco no cuidado centrado na pessoa. (Requisito CORE)</t>
    </r>
  </si>
  <si>
    <r>
      <rPr>
        <sz val="10"/>
        <rFont val="Arial MT"/>
        <family val="2"/>
      </rPr>
      <t>Nível 1 - 1.1.2.3 Requisito: Estabelecer diretriz documentada para o modelo assistencial, com foco no cuidado centrado na pessoa (Requisito CORE)</t>
    </r>
  </si>
  <si>
    <r>
      <rPr>
        <sz val="10"/>
        <rFont val="Arial MT"/>
        <family val="2"/>
      </rPr>
      <t>Nível 1 - 1.1.2.4 Requisito: Estabelecer diretriz documentada de comunicação.</t>
    </r>
  </si>
  <si>
    <r>
      <rPr>
        <sz val="10"/>
        <rFont val="Arial MT"/>
        <family val="2"/>
      </rPr>
      <t>Nível 1 - 1.1.2.5 Requisito: Estabelecer diretriz documentada para a gestão das informações institucionais</t>
    </r>
  </si>
  <si>
    <r>
      <rPr>
        <sz val="10"/>
        <rFont val="Arial MT"/>
        <family val="2"/>
      </rPr>
      <t>Nível 1 - 1.1.2.6 Requisito: Estabelecer diretriz documentada para a gestão de pessoas</t>
    </r>
  </si>
  <si>
    <r>
      <rPr>
        <sz val="10"/>
        <rFont val="Arial MT"/>
        <family val="2"/>
      </rPr>
      <t>Nível 1 - 1.1.2.7 Requisito: Estabelecer diretriz documentada para a gestão financeira da organização</t>
    </r>
  </si>
  <si>
    <r>
      <rPr>
        <sz val="10"/>
        <rFont val="Arial MT"/>
        <family val="2"/>
      </rPr>
      <t>Nível 1 - 1.1.2.8 Requisito: Estabelecer diretriz documentada para a gestão ambiental.</t>
    </r>
  </si>
  <si>
    <r>
      <rPr>
        <sz val="10"/>
        <rFont val="Arial MT"/>
        <family val="2"/>
      </rPr>
      <t>Nível 1 - 1.1.2.9 Requisito: Estabelecer diretriz documentada para a gestão de fornecedores de serviços e produtos.</t>
    </r>
  </si>
  <si>
    <r>
      <rPr>
        <sz val="10"/>
        <rFont val="Arial MT"/>
        <family val="2"/>
      </rPr>
      <t>Nível 1 - 1.1.2.10 Requisito: Estabelecer diretriz documentada para integridade organizacional, ética e compliance</t>
    </r>
  </si>
  <si>
    <r>
      <rPr>
        <sz val="10"/>
        <rFont val="Arial MT"/>
        <family val="2"/>
      </rPr>
      <t>Nível 2 - 1.1.2.11 Requisito: Monitorar a aplicação das diretrizes institucionais, analisar causas de não conformidade e implementar ações de melhoria.</t>
    </r>
  </si>
  <si>
    <r>
      <rPr>
        <sz val="10"/>
        <rFont val="Arial MT"/>
        <family val="2"/>
      </rPr>
      <t>Nível 3 - 1.1.2.12 Requisito: Utilizar os resultados do monitoramento para avaliar a efetividade das diretrizes institucionais e promover ciclos de melhoria.</t>
    </r>
  </si>
  <si>
    <r>
      <rPr>
        <sz val="10"/>
        <rFont val="Arial MT"/>
        <family val="2"/>
      </rPr>
      <t>Nível 1 - 1.1.3.1 Requisito: Identificar, classificar, avaliar e mitigar os riscos organizacionais e assistenciais de forma estruturada (Requisito CORE)</t>
    </r>
  </si>
  <si>
    <r>
      <rPr>
        <sz val="10"/>
        <rFont val="Arial MT"/>
        <family val="2"/>
      </rPr>
      <t>Nível 2 - 1.1.3.2 Requisito: Relatar rotineiramente os resultados da avaliação de riscos, identificação, gestão e mitigação, incluindo as lições aprendidas</t>
    </r>
  </si>
  <si>
    <r>
      <rPr>
        <sz val="10"/>
        <rFont val="Arial MT"/>
        <family val="2"/>
      </rPr>
      <t>Nível 2 - 1.1.3.3 Requisito: Acompanhar plano de gerenciamento proativo de riscos, com ações preventivas, controles e monitoramento contínuo (Requisito CORE)</t>
    </r>
  </si>
  <si>
    <r>
      <rPr>
        <sz val="10"/>
        <rFont val="Arial MT"/>
        <family val="2"/>
      </rPr>
      <t>Nível 2 - 1.1.3.4 Requisito: Implementar medidas sistemáticas de segurança para proteger pacientes e usuários dos serviços contra os riscos inerentes</t>
    </r>
  </si>
  <si>
    <r>
      <rPr>
        <sz val="10"/>
        <rFont val="Arial MT"/>
        <family val="2"/>
      </rPr>
      <t>Nível 3 -1.1.3.5 Requisito: Avaliar sistematicamente a efetividade das barreiras de prevenção e mitigação de riscos (CORE)</t>
    </r>
  </si>
  <si>
    <r>
      <rPr>
        <sz val="10"/>
        <rFont val="Arial MT"/>
        <family val="2"/>
      </rPr>
      <t>Nível 1 - 1.1.4.1 Requisito: Prover recursos humanos, equipamentos, insumos e infraestrutura que possibilitem a execução das atividades propostas</t>
    </r>
  </si>
  <si>
    <r>
      <rPr>
        <sz val="10"/>
        <rFont val="Arial MT"/>
        <family val="2"/>
      </rPr>
      <t>Nível 2 - 1.1.4.2 Requisito: Gerenciar de forma contínua os recursos para garantir a resposta às variações de demanda, situações emergenciais e catástrofes</t>
    </r>
  </si>
  <si>
    <r>
      <rPr>
        <sz val="10"/>
        <rFont val="Arial MT"/>
        <family val="2"/>
      </rPr>
      <t>Nível 2 - 1.1.4.3 Requisito: Gerenciar as tecnologias conforme as necessidades dos serviços e em alinhamento com diretrizes técnicas, regulatórias e financeiras</t>
    </r>
  </si>
  <si>
    <r>
      <rPr>
        <sz val="10"/>
        <rFont val="Arial MT"/>
        <family val="2"/>
      </rPr>
      <t>Nível 2 - 1.1.4.4 Requisito: Dispor de processos sistematizados para identificar, monitorar e intervir proativamente nas filas e demandas reprimidas</t>
    </r>
  </si>
  <si>
    <r>
      <rPr>
        <sz val="10"/>
        <rFont val="Arial MT"/>
        <family val="2"/>
      </rPr>
      <t>Nível 1 - 1.1.5.1 Requisito: Conhecer periodicamente o perfil da população atendida, considerando características demográficas, sociais, epidemiológicas</t>
    </r>
  </si>
  <si>
    <r>
      <rPr>
        <sz val="10"/>
        <rFont val="Arial MT"/>
        <family val="2"/>
      </rPr>
      <t>Nível 1 - 1.1.6.1 Requisito: Constituir e manter ativas as comissões obrigatórias e aquelas instituídas como apoio à gestão, conforme o perfil epidemiológico</t>
    </r>
  </si>
  <si>
    <r>
      <rPr>
        <sz val="10"/>
        <rFont val="Arial MT"/>
        <family val="2"/>
      </rPr>
      <t>Nível 2 - 1.1.6.2 Requisito: Monitorar, avaliar, revisar a sistemática estruturada para a gestão das comissões institucionais, assegurando sua integração</t>
    </r>
  </si>
  <si>
    <r>
      <rPr>
        <sz val="10"/>
        <rFont val="Arial MT"/>
        <family val="2"/>
      </rPr>
      <t>Nível 3 - 1.1.6.3 Requisito: Utilizar de forma estruturada e sistemática, as informações e análises produzidas pelos comitês e comissões para retroalimentar</t>
    </r>
  </si>
  <si>
    <r>
      <rPr>
        <sz val="10"/>
        <rFont val="Arial MT"/>
        <family val="2"/>
      </rPr>
      <t>Nível 1 - 1.1.7.1 Requisito: Estabelecer, implementar e manter uma sistemática estruturada para o recebimento, classificação, análise e acompanhamento</t>
    </r>
  </si>
  <si>
    <r>
      <rPr>
        <sz val="10"/>
        <rFont val="Arial MT"/>
        <family val="2"/>
      </rPr>
      <t>Nível 1 - 1.1.7.2 Requisito: Promover uma escuta ativa e humanizada nas interações com pacientes, clientes e acompanhantes</t>
    </r>
  </si>
  <si>
    <r>
      <rPr>
        <sz val="10"/>
        <rFont val="Arial MT"/>
        <family val="2"/>
      </rPr>
      <t>Nível 2 - 1.1.7.3 Requisito: Monitorar, analisar criticamente e tratar as manifestações de pacientes/clientes, bem como avaliar a satisfação</t>
    </r>
  </si>
  <si>
    <r>
      <rPr>
        <sz val="10"/>
        <rFont val="Arial MT"/>
        <family val="2"/>
      </rPr>
      <t>Nível 3 - 1.1.7.4 Requisito: Aprimorar a experiência do paciente com base em sua perspectiva, promovendo ciclos de melhoria contínua</t>
    </r>
  </si>
  <si>
    <r>
      <rPr>
        <sz val="10"/>
        <rFont val="Arial MT"/>
        <family val="2"/>
      </rPr>
      <t>Nível 1 - 1.1.8.1 Requisito: Estabelecer diretriz documentada que oriente de forma estruturada a elaboração, validação, implementação e monitoramento</t>
    </r>
  </si>
  <si>
    <r>
      <rPr>
        <sz val="10"/>
        <rFont val="Arial MT"/>
        <family val="2"/>
      </rPr>
      <t>Nível 1 - 1.1.8.2 Requisito: Estabelecer, implementar e manter protocolos clínicos e assistenciais formalizados para as condições de maior prevalência (CORE)</t>
    </r>
  </si>
  <si>
    <r>
      <rPr>
        <sz val="10"/>
        <rFont val="Arial MT"/>
        <family val="2"/>
      </rPr>
      <t>Nível 1 - 1.1.8.3 Requisito: Estabelecer e manter um processo estruturado para a realização de atividades de ensino e pesquisa</t>
    </r>
  </si>
  <si>
    <r>
      <rPr>
        <sz val="10"/>
        <rFont val="Arial MT"/>
        <family val="2"/>
      </rPr>
      <t>Nível 2 - 1.1.8.4 Requisito: Estabelecer e manter uma sistemática estruturada para o gerenciamento e monitoramento dos protocolos clínicos e assistenciais</t>
    </r>
  </si>
  <si>
    <r>
      <rPr>
        <sz val="10"/>
        <rFont val="Arial MT"/>
        <family val="2"/>
      </rPr>
      <t>Nível 2 - 1.1.8.5 Requisito: Acompanhar e verificar se as atividades de ensino e pesquisa desenvolvidas na organização estão alinhadas às diretrizes instituc</t>
    </r>
  </si>
  <si>
    <r>
      <rPr>
        <sz val="10"/>
        <rFont val="Arial MT"/>
        <family val="2"/>
      </rPr>
      <t>Nível 3 - 1.1.8.6 Requisito: A organização deve utilizar, de forma estruturada e integrada, os resultados do gerenciamento dos protocolos clínicos e assistencia</t>
    </r>
  </si>
  <si>
    <r>
      <rPr>
        <sz val="10"/>
        <rFont val="Arial MT"/>
        <family val="2"/>
      </rPr>
      <t>Nível 1 - 1.1.9.1 Requisito: Estabelecer, implementar e manter uma sistemática estruturada para a identificação, priorização e mapeamento dos processos</t>
    </r>
  </si>
  <si>
    <r>
      <rPr>
        <sz val="10"/>
        <rFont val="Arial MT"/>
        <family val="2"/>
      </rPr>
      <t>Nível 2 - 1.1.9.2 Requisito: Monitorar sistematicamente todos os processos organizacionais ou de negócio (gerenciais, primários, estratégicos e de apoio (CORE)</t>
    </r>
  </si>
  <si>
    <r>
      <rPr>
        <sz val="10"/>
        <rFont val="Arial MT"/>
        <family val="2"/>
      </rPr>
      <t>Nível 2 - 1.1.9.3 Requisito: Gerenciar de forma estruturada as interações entre os processos organizacionais, com base em monitoramento contínuo, análise</t>
    </r>
  </si>
  <si>
    <r>
      <rPr>
        <sz val="10"/>
        <rFont val="Arial MT"/>
        <family val="2"/>
      </rPr>
      <t>Nível 2 - 1.1.9.4 Requisito: Auditar, monitorar e revisar sistematicamente os dados de resultados, com o objetivo de avaliar o impacto e a efetividade</t>
    </r>
  </si>
  <si>
    <r>
      <rPr>
        <sz val="10"/>
        <rFont val="Arial MT"/>
        <family val="2"/>
      </rPr>
      <t>Nível 3 - 1.1.9.5 Requisito: Avaliar a efetividade dos processos organizacionais e conduzir ciclos de melhoria contínua, fortalecendo a gestão (CORE)</t>
    </r>
  </si>
  <si>
    <r>
      <rPr>
        <sz val="10"/>
        <rFont val="Arial MT"/>
        <family val="2"/>
      </rPr>
      <t>Nível 3 - 1.1.9.6 Requisito: Analisar quais resultados podem ser divulgados publicamente, assegurando transparência, responsabilidade social (CORE)</t>
    </r>
  </si>
  <si>
    <r>
      <rPr>
        <sz val="10"/>
        <rFont val="Arial MT"/>
        <family val="2"/>
      </rPr>
      <t>Nível 1 - 1.1.10.1 Requisito: Estabelecer, implementar e manter um método padronizado para a definição, elaboração, verificação, validação, atualização</t>
    </r>
  </si>
  <si>
    <r>
      <rPr>
        <sz val="10"/>
        <rFont val="Arial MT"/>
        <family val="2"/>
      </rPr>
      <t>Nível 2 - 1.1.10.2 Requisito: Monitorar a sistemática estruturada para planejar, aprovar, executar, monitorar e consolidar mudanças organizacionais</t>
    </r>
  </si>
  <si>
    <r>
      <rPr>
        <sz val="10"/>
        <rFont val="Arial MT"/>
        <family val="2"/>
      </rPr>
      <t>Nível 2 - 1.1.10.3 Requisito: Estabelecer e implementar um processo sistemático para a incorporação de inovações (tecnológicas, assistenciais, gerenciais</t>
    </r>
  </si>
  <si>
    <r>
      <rPr>
        <sz val="10"/>
        <rFont val="Arial MT"/>
        <family val="2"/>
      </rPr>
      <t>Nível 1 - 1.1.11.1 Requisito: Estruturar processos de governança corporativa e assistencial formalmente definidos, que assegurem a responsabilidade</t>
    </r>
  </si>
  <si>
    <r>
      <rPr>
        <sz val="10"/>
        <rFont val="Arial MT"/>
        <family val="2"/>
      </rPr>
      <t>Nível 1 - 1.1.11.2 Requisito: Desenvolver, desdobrar e apoiar a implementação da governança clínica, com participação ativa das lideranças em todas as áreas</t>
    </r>
  </si>
  <si>
    <r>
      <rPr>
        <sz val="10"/>
        <rFont val="Arial MT"/>
        <family val="2"/>
      </rPr>
      <t>Nível 2 - 1.1.11.3 Requisito: Monitorar a governança clínica de forma sistemática e contínua, considerando os diferentes níveis de complexidade assistencial</t>
    </r>
  </si>
  <si>
    <r>
      <rPr>
        <sz val="10"/>
        <rFont val="Arial MT"/>
        <family val="2"/>
      </rPr>
      <t>Nível 3 - 1.1.11.4 Requisito: Utilizar as estratégias e os componentes da governança clínica para monitorar os processos organizacionais em suas interfaces</t>
    </r>
  </si>
  <si>
    <r>
      <rPr>
        <sz val="10"/>
        <rFont val="Arial MT"/>
        <family val="2"/>
      </rPr>
      <t>Nível 1 - 1.1.12.1 Requisito: Promover, por meio de abordagem estruturada e contínua, a disseminação dos padrões de conduta e das estratégias organizacionais</t>
    </r>
  </si>
  <si>
    <r>
      <rPr>
        <sz val="10"/>
        <rFont val="Arial MT"/>
        <family val="2"/>
      </rPr>
      <t>Nível 2 - 1.1.12.2 Requisito: Mensurar e monitorar periodicamente a cultura de segurança organizacional, analisando criticamente os resultados e utilizando-os</t>
    </r>
  </si>
  <si>
    <r>
      <rPr>
        <sz val="10"/>
        <rFont val="Arial MT"/>
        <family val="2"/>
      </rPr>
      <t>Nível 2 - 1.1.12.3 Requisito: Promover e sustentar uma cultura de aprendizado contínuo e de compartilhamento do conhecimento, integrando essa prática</t>
    </r>
  </si>
  <si>
    <r>
      <rPr>
        <sz val="10"/>
        <rFont val="Arial MT"/>
        <family val="2"/>
      </rPr>
      <t>Nível 3 - 1.1.12.4 Requisito: Fomentar a mudança de cultura por meio da inovação com iniciativas estruturadas e alinhadas à estratégia organizacional</t>
    </r>
  </si>
  <si>
    <r>
      <rPr>
        <sz val="10"/>
        <rFont val="Arial MT"/>
        <family val="2"/>
      </rPr>
      <t>Nível 3 - 1.1.12.5 Requisito: Avaliar sistematicamente a efetividade das ações de melhoria implantadas com base nos resultados da mensuração da cultura</t>
    </r>
  </si>
  <si>
    <r>
      <rPr>
        <sz val="10"/>
        <rFont val="Arial MT"/>
        <family val="2"/>
      </rPr>
      <t>Nível 1 - 1.1.13.1 Requisito: Estabelecer e manter uma sistemática estruturada para a notificação, investigação, classificação, análise e tratamento (CORE)</t>
    </r>
  </si>
  <si>
    <r>
      <rPr>
        <sz val="10"/>
        <rFont val="Arial MT"/>
        <family val="2"/>
      </rPr>
      <t>Nível 2 - 1.1.13.2 Requisito: Utilizar, de forma sistemática e estruturada, os resultados das análises de incidentes, eventos adversos e não conformidades</t>
    </r>
  </si>
  <si>
    <r>
      <rPr>
        <sz val="10"/>
        <rFont val="Arial MT"/>
        <family val="2"/>
      </rPr>
      <t>Nível 2 - 1.1.13.3 Requisito: Definir, formalizar e implementar um processo estruturado para a comunicação de incidentes relevantes às partes interessadas</t>
    </r>
  </si>
  <si>
    <r>
      <rPr>
        <sz val="10"/>
        <rFont val="Arial MT"/>
        <family val="2"/>
      </rPr>
      <t>Nível 3 - 1.1.13.4 Requisito: Utilizar os resultados da avaliação da cultura de segurança para implementar ações sistemáticas de fortalecimento da cultura justa</t>
    </r>
  </si>
  <si>
    <r>
      <rPr>
        <sz val="10"/>
        <rFont val="Arial MT"/>
        <family val="2"/>
      </rPr>
      <t>Nível 3 - 1.1.13.5 Requisito: Adotar uma diretriz de divulgação aberta e transparente diante da ocorrência de eventos adversos, assegurando que pacientes</t>
    </r>
  </si>
  <si>
    <r>
      <rPr>
        <sz val="10"/>
        <rFont val="Arial MT"/>
        <family val="2"/>
      </rPr>
      <t>Nível 1 - 1.1.14.1 Requisito: Estabelecer, formalizar e manter uma sistemática estruturada para a realização periódica de auditorias internas (CORE)</t>
    </r>
  </si>
  <si>
    <r>
      <rPr>
        <sz val="10"/>
        <rFont val="Arial MT"/>
        <family val="2"/>
      </rPr>
      <t>Nível 2 - 1.1.14.2 Requisito: Gerenciar as auditorias clínicas periódicas, com foco no monitoramento da qualidade dos cuidados prestados, análise de causas</t>
    </r>
  </si>
  <si>
    <r>
      <rPr>
        <sz val="10"/>
        <rFont val="Arial MT"/>
        <family val="2"/>
      </rPr>
      <t>Nível 3 - 1.1.14.3 Requisito: Utilizar, de forma estruturada e integrada, os resultados das auditorias internas e clínicas para avaliar a efetividade (CORE)</t>
    </r>
  </si>
  <si>
    <r>
      <rPr>
        <sz val="10"/>
        <rFont val="Arial MT"/>
        <family val="2"/>
      </rPr>
      <t>Nível 1 - 1.1.15.1 Requisito: Estabelecer, implementar e manter uma sistemática formal para seleção, qualificação, monitoramento e reavaliação dos fornecedores</t>
    </r>
  </si>
  <si>
    <r>
      <rPr>
        <sz val="10"/>
        <rFont val="Arial MT"/>
        <family val="2"/>
      </rPr>
      <t>Nível 1 - 1.1.15.2 Requisito: Estabelecer, implementar e manter sistemática formal e documentada para a gestão dos contratos firmados com fornecedores de produt</t>
    </r>
  </si>
  <si>
    <r>
      <rPr>
        <sz val="10"/>
        <rFont val="Arial MT"/>
        <family val="2"/>
      </rPr>
      <t>Nível 2 - 1.1.15.3 Requisito: Gerenciar os contratos com fornecedores de produtos e serviços com base em suas diretrizes consolidadas de gestão de fornecedores</t>
    </r>
  </si>
  <si>
    <r>
      <rPr>
        <sz val="10"/>
        <rFont val="Arial MT"/>
        <family val="2"/>
      </rPr>
      <t>Nível 3 - 1.1.15.4 Requisito: Avaliar de forma sistemática a efetividade das ações implantadas na gestão de fornecedores de serviços, produtos e contratos</t>
    </r>
  </si>
  <si>
    <r>
      <rPr>
        <sz val="10"/>
        <rFont val="Arial MT"/>
        <family val="2"/>
      </rPr>
      <t>Nível 1 - 1.1.16.1 Requisito: Estabelecer, implementar e manter um processo sistematizado para análise de viabilidade de negócios e investimentos</t>
    </r>
  </si>
  <si>
    <r>
      <rPr>
        <sz val="10"/>
        <rFont val="Arial MT"/>
        <family val="2"/>
      </rPr>
      <t>Nível 1 - 1.1.16.2 Requisito: Estabelecer, implementar e manter um processo sistematizado para a gestão, revisão e análise das contas, incluindo controle</t>
    </r>
  </si>
  <si>
    <r>
      <rPr>
        <sz val="10"/>
        <rFont val="Arial MT"/>
        <family val="2"/>
      </rPr>
      <t>Nível 1 - 1.1.16.3 Requisito: Utilizar demonstrativos financeiros gerenciais e contábeis como apoio à tomada de decisão institucional, promovendo a análise</t>
    </r>
  </si>
  <si>
    <r>
      <rPr>
        <sz val="10"/>
        <rFont val="Arial MT"/>
        <family val="2"/>
      </rPr>
      <t>Nível 2 - 1.1.16.4 Requisito: Analisar e monitorar sistematicamente os custos dos diferentes processos e serviços, envolvendo os gestores na identificação</t>
    </r>
  </si>
  <si>
    <r>
      <rPr>
        <sz val="10"/>
        <rFont val="Arial MT"/>
        <family val="2"/>
      </rPr>
      <t>Nível 3 - 1.1.16.5 Requisito: Utiliza os resultados dos investimentos e negócios realizados para identificar oportunidades de melhoria, avaliar a efetividade</t>
    </r>
  </si>
  <si>
    <r>
      <rPr>
        <sz val="10"/>
        <rFont val="Arial MT"/>
        <family val="2"/>
      </rPr>
      <t>Nível 1 - 1.2.1.1 Requisito: Definir diretriz estratégica voltada para a equidade em saúde e impacto social (CORE)</t>
    </r>
  </si>
  <si>
    <r>
      <rPr>
        <sz val="10"/>
        <rFont val="Arial MT"/>
        <family val="2"/>
      </rPr>
      <t xml:space="preserve">ONA 2026:
</t>
    </r>
    <r>
      <rPr>
        <sz val="10"/>
        <rFont val="Arial MT"/>
        <family val="2"/>
      </rPr>
      <t>Subseção 1.2 - Impacto Social</t>
    </r>
  </si>
  <si>
    <r>
      <rPr>
        <sz val="10"/>
        <rFont val="Arial MT"/>
        <family val="2"/>
      </rPr>
      <t>Nível 1 -1.2.1.2 Requisito: Estabelecer estratégias de comunicação inclusivas, representativas, acessíveis e construídas de forma participativa com a comunidade</t>
    </r>
  </si>
  <si>
    <r>
      <rPr>
        <sz val="10"/>
        <rFont val="Arial MT"/>
        <family val="2"/>
      </rPr>
      <t>Nível 1 - 1.2.1.3 Requisito: Desenvolver programas e ações voltados ao bem-estar social, alinhados à estratégia de equidade em saúde e impacto social.</t>
    </r>
  </si>
  <si>
    <r>
      <rPr>
        <sz val="10"/>
        <rFont val="Arial MT"/>
        <family val="2"/>
      </rPr>
      <t>Nível 2 - 1.2.1.4 Requisito: Monitorar diretriz e estratégias para o cuidado equitativo e inclusivo, com atenção a grupos vulnerabilizados e adaptação dos proto</t>
    </r>
  </si>
  <si>
    <r>
      <rPr>
        <sz val="10"/>
        <rFont val="Arial MT"/>
        <family val="2"/>
      </rPr>
      <t>Nível 2 - 1.2.1.5 Requisito: Promover, comunicar de forma acessível e assegurar a aplicação dos direitos humanos e dos direitos e deveres dos pacientes.</t>
    </r>
  </si>
  <si>
    <r>
      <rPr>
        <sz val="10"/>
        <rFont val="Arial MT"/>
        <family val="2"/>
      </rPr>
      <t>Nível 3 - 1.2.1.6 Requisito: Monitorar e gerenciar, de forma sistemática e contínua, a experiência do paciente, a qualidade e o acesso, identificando tendências</t>
    </r>
  </si>
  <si>
    <r>
      <rPr>
        <sz val="10"/>
        <rFont val="Arial MT"/>
        <family val="2"/>
      </rPr>
      <t>Nível 3 - 1.2.1.7 Requisito: Manter mecanismos formais de envolvimento de pacientes, acompanhantes e representantes da comunidade nos processos institucionais</t>
    </r>
  </si>
  <si>
    <r>
      <rPr>
        <sz val="10"/>
        <rFont val="Arial MT"/>
        <family val="2"/>
      </rPr>
      <t>Nível 1 - 1.3.1.1 Requisito: Realizar uma análise das vulnerabilidades climáticas que possam impactar a operação da organização.</t>
    </r>
  </si>
  <si>
    <r>
      <rPr>
        <sz val="10"/>
        <rFont val="Arial MT"/>
        <family val="2"/>
      </rPr>
      <t xml:space="preserve">ONA 2026:
</t>
    </r>
    <r>
      <rPr>
        <sz val="10"/>
        <rFont val="Arial MT"/>
        <family val="2"/>
      </rPr>
      <t>Subseção 1.3 - Impacto Ambiental</t>
    </r>
  </si>
  <si>
    <r>
      <rPr>
        <sz val="10"/>
        <rFont val="Arial MT"/>
        <family val="2"/>
      </rPr>
      <t>Nível 1 - 1.3.1.2 Requisito: Considerar critérios ambientais em seus planos de reestruturação física ou organizacional.</t>
    </r>
  </si>
  <si>
    <r>
      <rPr>
        <sz val="10"/>
        <rFont val="Arial MT"/>
        <family val="2"/>
      </rPr>
      <t>Nível 1 - 1.3.1.3 Requisito: Implementa ações para uso de energia limpa e renovável</t>
    </r>
  </si>
  <si>
    <r>
      <rPr>
        <sz val="10"/>
        <rFont val="Arial MT"/>
        <family val="2"/>
      </rPr>
      <t>Nível 1 - 1.3.1.4 Requisito: Implantar e manter sistema efetivo de gestão de resíduos em todas as etapas, com foco na segurança, rastreabilidade e redução</t>
    </r>
  </si>
  <si>
    <r>
      <rPr>
        <sz val="10"/>
        <rFont val="Arial MT"/>
        <family val="2"/>
      </rPr>
      <t>Nível 1 - 1.3.1.5 Requisito: Realizar o acompanhamento de sua pegada de carbono, por meio da elaboração de um inventário inicial de emissões de GEE</t>
    </r>
  </si>
  <si>
    <r>
      <rPr>
        <sz val="10"/>
        <rFont val="Arial MT"/>
        <family val="2"/>
      </rPr>
      <t>Nível 1 - 1.3.1.6 Requisito: Adotar práticas de administração responsável de recursos, promovendo o uso consciente, ético e sustentável de suprimentos</t>
    </r>
  </si>
  <si>
    <r>
      <rPr>
        <sz val="10"/>
        <rFont val="Arial MT"/>
        <family val="2"/>
      </rPr>
      <t>Nível 2 - 1.3.1.7 Requisito: Avaliar periodicamente o desempenho ambiental da organização, compreendendo os resultados obtidos, analisando causas</t>
    </r>
  </si>
  <si>
    <r>
      <rPr>
        <sz val="10"/>
        <rFont val="Arial MT"/>
        <family val="2"/>
      </rPr>
      <t>Nível 2 - 1.3.1.8 Requisito: Incorporar a sustentabilidade ambiental e seu impacto na revisão da estratégia, na governança, com liderança comprometida (CORE)</t>
    </r>
  </si>
  <si>
    <r>
      <rPr>
        <sz val="10"/>
        <rFont val="Arial MT"/>
        <family val="2"/>
      </rPr>
      <t>Nível 3 - 1.3.1.9 Requisito: Demonstrar a efetividade das ações de sustentabilidade ambiental, consolidando o compromisso institucional por meio da integração</t>
    </r>
  </si>
  <si>
    <r>
      <rPr>
        <sz val="10"/>
        <rFont val="Arial MT"/>
        <family val="2"/>
      </rPr>
      <t>Nível 3 - 1.3.1.10 Requisito: Comunicar de forma clara e contínua a sua abordagem estratégica para cuidados ambientalmente sustentáveis</t>
    </r>
  </si>
  <si>
    <r>
      <rPr>
        <sz val="10"/>
        <rFont val="Arial MT"/>
        <family val="2"/>
      </rPr>
      <t>Nível 1 - 1.4.1.1 Requisito: Estabelecer, implementar e manter um método para dimensionamento dos profissionais, gerindo o processo (CORE)</t>
    </r>
  </si>
  <si>
    <r>
      <rPr>
        <sz val="10"/>
        <rFont val="Arial MT"/>
        <family val="2"/>
      </rPr>
      <t xml:space="preserve">ONA 2026:
</t>
    </r>
    <r>
      <rPr>
        <sz val="10"/>
        <rFont val="Arial MT"/>
        <family val="2"/>
      </rPr>
      <t>Subseção 1.4 Gestão de Pessoas</t>
    </r>
  </si>
  <si>
    <r>
      <rPr>
        <sz val="10"/>
        <rFont val="Arial MT"/>
        <family val="2"/>
      </rPr>
      <t>Nível 1 - 1.4.1.2 Requisito: Oferecer sistematicamente treinamento e educação sobre segurança do paciente à força de trabalho</t>
    </r>
  </si>
  <si>
    <r>
      <rPr>
        <sz val="10"/>
        <rFont val="Arial MT"/>
        <family val="2"/>
      </rPr>
      <t>Nível 1 - 1.4.1.3 Requisito: Definir, atualizar e disseminar as competências conforme as responsabilidades e atribuições descritas para os cargos (CORE)</t>
    </r>
  </si>
  <si>
    <r>
      <rPr>
        <sz val="10"/>
        <rFont val="Arial MT"/>
        <family val="2"/>
      </rPr>
      <t>Nível 1 - 1.4.1.4 Requisito: Estabelecer e implementar um processo de recrutamento, seleção e desligamento dos profissionais alinhado às estratégias, à cultura</t>
    </r>
  </si>
  <si>
    <r>
      <rPr>
        <sz val="10"/>
        <rFont val="Arial MT"/>
        <family val="2"/>
      </rPr>
      <t>Nível 1 - 1.4.1.5 Requisito: Estabelecer e implementar um processo de cadastro, admissão e atualização periódica das qualificações dos profissionais</t>
    </r>
  </si>
  <si>
    <r>
      <rPr>
        <sz val="10"/>
        <rFont val="Arial MT"/>
        <family val="2"/>
      </rPr>
      <t>Nível 1 - 1.4.1.6 Requisito: Padronizar e manter arquivos pessoais dos profissionais atualizados garantindo a segurança e confidencialidade das informações.</t>
    </r>
  </si>
  <si>
    <r>
      <rPr>
        <sz val="10"/>
        <rFont val="Arial MT"/>
        <family val="2"/>
      </rPr>
      <t>Nível 1 - 1.4.1.7 Requisito: Estabelecer e implementar um programa de integração de novos profissionais para o exercício de suas funções</t>
    </r>
  </si>
  <si>
    <r>
      <rPr>
        <sz val="10"/>
        <rFont val="Arial MT"/>
        <family val="2"/>
      </rPr>
      <t>Nível 1 - 1.4.1.8 Requisito: Estabelecer, implementar e manter um programa de saúde e segurança ocupacional, incluindo o mapeamento dos riscos psicoS (CORE)</t>
    </r>
  </si>
  <si>
    <r>
      <rPr>
        <sz val="10"/>
        <rFont val="Arial MT"/>
        <family val="2"/>
      </rPr>
      <t>Nível 1 - 1.4.1.9 Requisito: Identificar e mapear as necessidades de capacitação e desenvolvimento, considerando a estratégia organizacional, a cultura</t>
    </r>
  </si>
  <si>
    <r>
      <rPr>
        <sz val="10"/>
        <rFont val="Arial MT"/>
        <family val="2"/>
      </rPr>
      <t>Nível 1 - 1.4.1.10 Requisito: Estabelecer e disseminar regimento documentado dos profissionais regidos por Conselhos de Classe</t>
    </r>
  </si>
  <si>
    <r>
      <rPr>
        <sz val="10"/>
        <rFont val="Arial MT"/>
        <family val="2"/>
      </rPr>
      <t>Nível 1 - 1.4.1.11 Requisito: Realizar programas de educação continuada, conforme as necessidades identificadas para a capacitação e desenvolvimento dos profiss</t>
    </r>
  </si>
  <si>
    <r>
      <rPr>
        <sz val="10"/>
        <rFont val="Arial MT"/>
        <family val="2"/>
      </rPr>
      <t>Nível 1 - 1.4.1.12 Requisito: Definir e implementar um programa institucional de desenvolvimento de lideranças considerando as competências, a estratégia (CORE)</t>
    </r>
  </si>
  <si>
    <r>
      <rPr>
        <sz val="10"/>
        <rFont val="Arial MT"/>
        <family val="2"/>
      </rPr>
      <t>Nível 1 - 1.4.1.13 Requisito: Definir papéis, responsabilidades, perfil e competências para o exercício eficaz da liderança</t>
    </r>
  </si>
  <si>
    <r>
      <rPr>
        <sz val="10"/>
        <rFont val="Arial MT"/>
        <family val="2"/>
      </rPr>
      <t>Nível 1 - 1.4.1.14 Requisito: Realizar processo estruturado de gestão da cultura, identificando e monitorando os aspectos que favorecem a qualidade e a seguranç</t>
    </r>
  </si>
  <si>
    <r>
      <rPr>
        <sz val="10"/>
        <rFont val="Arial MT"/>
        <family val="2"/>
      </rPr>
      <t>Nível 1 - 1.4.1.15 Requisito: Promover e desenvolver a cultura da aprendizagem em equipe, o compartilhamento de informações, as inovações e as melhores práticas</t>
    </r>
  </si>
  <si>
    <r>
      <rPr>
        <sz val="10"/>
        <rFont val="Arial MT"/>
        <family val="2"/>
      </rPr>
      <t>Nível 1 - 1.4.1.16 Requisito: Identificar o perfil epidemiológico dos profissionais e traçar estratégias a partir dos resultados</t>
    </r>
  </si>
  <si>
    <r>
      <rPr>
        <sz val="10"/>
        <rFont val="Arial MT"/>
        <family val="2"/>
      </rPr>
      <t>Nível 1 - 1.4.1.17 Requisito: Estabelecer e implementar um plano de prevenção de riscos ocupacionais, psicossociais, considerando a saúde integral dos profissio</t>
    </r>
  </si>
  <si>
    <r>
      <rPr>
        <sz val="10"/>
        <rFont val="Arial MT"/>
        <family val="2"/>
      </rPr>
      <t>Nível 1 - 1.4.1.18 Requisito: Capacitar os profissionais para atendimento às situações de catástrofes internas e externas com maiores riscos de ocorrência segun</t>
    </r>
  </si>
  <si>
    <r>
      <rPr>
        <sz val="10"/>
        <rFont val="Arial MT"/>
        <family val="2"/>
      </rPr>
      <t>Nível 1 - 1.4.1.19 Requisito: Estabelecer e manter um programa de reconhecimento e valorização profissional</t>
    </r>
  </si>
  <si>
    <r>
      <rPr>
        <sz val="10"/>
        <rFont val="Arial MT"/>
        <family val="2"/>
      </rPr>
      <t>Nível 1 - 1.4.1.20 Requisito: Estabelecer e manter ativo um canal de comunicação/manifestação dos profissionais</t>
    </r>
  </si>
  <si>
    <r>
      <rPr>
        <sz val="10"/>
        <rFont val="Arial MT"/>
        <family val="2"/>
      </rPr>
      <t>Nível 1 - 1.4.1.21 Requisito: Estabelecer e implementar processos de acompanhamento para profissionais de saúde considerados segundas vítimas decorrentes de eve</t>
    </r>
  </si>
  <si>
    <r>
      <rPr>
        <sz val="10"/>
        <rFont val="Arial MT"/>
        <family val="2"/>
      </rPr>
      <t>Nível 1 - 1.4.1.22 Requisito: Estabelecer fluxos de suporte e apoio emocional para os profissionais de saúde</t>
    </r>
  </si>
  <si>
    <r>
      <rPr>
        <sz val="10"/>
        <rFont val="Arial MT"/>
        <family val="2"/>
      </rPr>
      <t>Nível 2 - 1.4.1.23 Requisito: Acompanhar e avaliar os resultados das ações de gestão de pessoas, de acordo com as estratégias definidas, promovendo ações</t>
    </r>
  </si>
  <si>
    <r>
      <rPr>
        <sz val="10"/>
        <rFont val="Arial MT"/>
        <family val="2"/>
      </rPr>
      <t>Nível 2 - 1.4.1.24 Requisito: Avaliar o desempenho das pessoas por meio de um instrumento objetivo, alinhado às competências essenciais da organização</t>
    </r>
  </si>
  <si>
    <r>
      <rPr>
        <sz val="10"/>
        <rFont val="Arial MT"/>
        <family val="2"/>
      </rPr>
      <t>Nível 2 - 1.4.1.25 Requisito: Promover ações voltadas para o cuidado centrado na pessoa, melhorando a qualidade de vida dos profissionais (CORE)</t>
    </r>
  </si>
  <si>
    <r>
      <rPr>
        <sz val="10"/>
        <rFont val="Arial MT"/>
        <family val="2"/>
      </rPr>
      <t>Nível 2 - 1.4.1.26 Requisito: Monitorar os resultados dos programas de prevenção de riscos ocupacionais e da qualidade de vida e implementar melhorias</t>
    </r>
  </si>
  <si>
    <r>
      <rPr>
        <sz val="10"/>
        <rFont val="Arial MT"/>
        <family val="2"/>
      </rPr>
      <t>Nível 2 - 1.4.1.27 Requisito: Avaliar os resultados do processo de integração e acompanhamento de novos profissionais na organização, promovendo ações</t>
    </r>
  </si>
  <si>
    <r>
      <rPr>
        <sz val="10"/>
        <rFont val="Arial MT"/>
        <family val="2"/>
      </rPr>
      <t>Nível 2 - 1.4.1.28 Requisito: Gerenciar processos formais, seguros e confidenciais para a investigação e resolução de problemas no local de trabalho levantados</t>
    </r>
  </si>
  <si>
    <r>
      <rPr>
        <sz val="10"/>
        <rFont val="Arial MT"/>
        <family val="2"/>
      </rPr>
      <t>Nível 2 - 1.4.1.29 Requisito: Gerenciar de forma sistemática e contínua os retornos dos profissionais, com o objetivo de compreender a experiência profissional</t>
    </r>
  </si>
  <si>
    <r>
      <rPr>
        <sz val="10"/>
        <rFont val="Arial MT"/>
        <family val="2"/>
      </rPr>
      <t>Nível 3 - 1.4.1.30 Requisito: Avaliar a eficácia da capacitação e treinamento dos profissionais</t>
    </r>
  </si>
  <si>
    <r>
      <rPr>
        <sz val="10"/>
        <rFont val="Arial MT"/>
        <family val="2"/>
      </rPr>
      <t>Nível 3 - 1.4.1.31 Requisito: Avaliar a efetividade do programa institucional de desenvolvimento de lideranças e definir ações e ciclos de melhoria (CORE)</t>
    </r>
  </si>
  <si>
    <r>
      <rPr>
        <sz val="10"/>
        <rFont val="Arial MT"/>
        <family val="2"/>
      </rPr>
      <t>Nível 3 - 1.4.1.32 Requisito: Avaliar a efetividade das ações para a retenção e compartilhamento dos conhecimentos obtidos pela organização</t>
    </r>
  </si>
  <si>
    <r>
      <rPr>
        <sz val="10"/>
        <rFont val="Arial MT"/>
        <family val="2"/>
      </rPr>
      <t>Nível 3 - 1.4.1.33 Requisito: Avaliar a efetividade das ações frente aos resultados da satisfação, manifestação e experiência dos profissionais</t>
    </r>
  </si>
  <si>
    <r>
      <rPr>
        <sz val="10"/>
        <rFont val="Arial MT"/>
        <family val="2"/>
      </rPr>
      <t>Nível 1 - 2.1.1.1 Requisito: Desenvolver atividades voltadas à promoção de saúde de acordo com o perfil epidemiológico</t>
    </r>
  </si>
  <si>
    <r>
      <rPr>
        <sz val="10"/>
        <rFont val="Arial MT"/>
        <family val="2"/>
      </rPr>
      <t xml:space="preserve">ONA 2026:
</t>
    </r>
    <r>
      <rPr>
        <sz val="10"/>
        <rFont val="Arial MT"/>
        <family val="2"/>
      </rPr>
      <t>Subseção 2.1 Jornada do Paciente</t>
    </r>
  </si>
  <si>
    <r>
      <rPr>
        <sz val="10"/>
        <rFont val="Arial MT"/>
        <family val="2"/>
      </rPr>
      <t>Nível 1 - 2.1.1.2 Requisito: Estabelecer, implementar e atualizar meios e canais de comunicação para promoção da saúde e prevenção de doenças</t>
    </r>
  </si>
  <si>
    <r>
      <rPr>
        <sz val="10"/>
        <rFont val="Arial MT"/>
        <family val="2"/>
      </rPr>
      <t>Nível 1 - 2.1.1.3 Requisito: Definir escopo de atendimento para acesso aos usuários de acordo com o perfil epidemiológico</t>
    </r>
  </si>
  <si>
    <r>
      <rPr>
        <sz val="10"/>
        <rFont val="Arial MT"/>
        <family val="2"/>
      </rPr>
      <t>Nível 1 - 2.1.1.4 Requisito: Estabelecer e orientar a população em relação às diretrizes para atendimento por telessaúde</t>
    </r>
  </si>
  <si>
    <r>
      <rPr>
        <sz val="10"/>
        <rFont val="Arial MT"/>
        <family val="2"/>
      </rPr>
      <t>Nível 1 - 2.1.2.1 Requisito: Definir fluxos e critérios clínicos de precedência para admissão de pacientes/usuários, incluindo os provenientes de outras organiz</t>
    </r>
  </si>
  <si>
    <r>
      <rPr>
        <sz val="10"/>
        <rFont val="Arial MT"/>
        <family val="2"/>
      </rPr>
      <t>Nível 1 - 2.1.2.2 Requisito: Estabelecer critérios e processos para o gerenciamento de filas, disponibilidade de agendamentos e tempo de espera</t>
    </r>
  </si>
  <si>
    <r>
      <rPr>
        <sz val="10"/>
        <rFont val="Arial MT"/>
        <family val="2"/>
      </rPr>
      <t>Nível 1 - 2.1.2.3 Requisito: Oferecer canais de comunicação e orientação aos pacientes (preparo, especialidades, cobertura e convênios, entre outros).</t>
    </r>
  </si>
  <si>
    <r>
      <rPr>
        <sz val="10"/>
        <rFont val="Arial MT"/>
        <family val="2"/>
      </rPr>
      <t>Nível 1 - 2.1.2.4 Requisito: Organizar e estruturar os leitos, agendas e atendimentos de forma integrada, com disponibilização em tempo e condições adequadas</t>
    </r>
  </si>
  <si>
    <r>
      <rPr>
        <sz val="10"/>
        <rFont val="Arial MT"/>
        <family val="2"/>
      </rPr>
      <t>Nível 1 - 2.1.2.5 Requisito: Avaliar a possibilidade de ampliar e diversificar os canais de acesso ao atendimento, garantindo que o cuidado chegue até o pacient</t>
    </r>
  </si>
  <si>
    <r>
      <rPr>
        <sz val="10"/>
        <rFont val="Arial MT"/>
        <family val="2"/>
      </rPr>
      <t>Nível 1 - 2.1.3.1 Requisito: Estabelecer diretrizes de acolhimento e critérios de priorização de atendimento</t>
    </r>
  </si>
  <si>
    <r>
      <rPr>
        <sz val="10"/>
        <rFont val="Arial MT"/>
        <family val="2"/>
      </rPr>
      <t>Nível 1 - 2.1.3.2 Requisito: Considerar características individuais dos pacientes/usuários e acompanhantes para o planejamento do cuidado</t>
    </r>
  </si>
  <si>
    <r>
      <rPr>
        <sz val="10"/>
        <rFont val="Arial MT"/>
        <family val="2"/>
      </rPr>
      <t>Nível 1 - 2.1.3.3 Requisito: Fornecer orientações iniciais ao paciente e familiares sobre o atendimento, fluxos, direitos e procedimentos, garantindo acolhiment</t>
    </r>
  </si>
  <si>
    <r>
      <rPr>
        <sz val="10"/>
        <rFont val="Arial MT"/>
        <family val="2"/>
      </rPr>
      <t>Nível 1 - 2.1.3.4 Requisito: Fornecer as orientações aos pacientes e familiares relacionadas aos direitos e deveres</t>
    </r>
  </si>
  <si>
    <r>
      <rPr>
        <sz val="10"/>
        <rFont val="Arial MT"/>
        <family val="2"/>
      </rPr>
      <t>Nível 1 - 2.1.3.5 Requisito: Estabelecer, implementar e manter uma sistemática de sinalização clara e compreensível nas áreas internas e externas de circulação</t>
    </r>
  </si>
  <si>
    <r>
      <rPr>
        <sz val="10"/>
        <rFont val="Arial MT"/>
        <family val="2"/>
      </rPr>
      <t>Nível 1 - 2.1.4.1 Requisito: Avaliar o paciente considerando suas expectativas, necessidades, individualidades, riscos, condição clínica, histórico e condições</t>
    </r>
  </si>
  <si>
    <r>
      <rPr>
        <sz val="10"/>
        <rFont val="Arial MT"/>
        <family val="2"/>
      </rPr>
      <t>Nível 1 - 2.1.4.2 Requisito: Tomar decisões baseadas em evidência científica</t>
    </r>
  </si>
  <si>
    <r>
      <rPr>
        <sz val="10"/>
        <rFont val="Arial MT"/>
        <family val="2"/>
      </rPr>
      <t>Nível 1 - 2.1.4.3 Requisito: Identificar os riscos assistenciais do paciente/cliente e estabelecer ações de prevenção, para redução da probabilidade de incident</t>
    </r>
  </si>
  <si>
    <r>
      <rPr>
        <sz val="10"/>
        <rFont val="Arial MT"/>
        <family val="2"/>
      </rPr>
      <t>Nível 1 - 2.1.4.4 Requisito: Estabelecer a discussão multiprofissional dos riscos dos pacientes como prática para subsidiar a tomada de decisão clínica e assist</t>
    </r>
  </si>
  <si>
    <r>
      <rPr>
        <sz val="10"/>
        <rFont val="Arial MT"/>
        <family val="2"/>
      </rPr>
      <t>Nível 1 - 2.1.4.5 Requisito: Cumprir diretrizes de transmissão de informação na transição de cuidado, incluindo transferências internas e externas</t>
    </r>
  </si>
  <si>
    <r>
      <rPr>
        <sz val="10"/>
        <rFont val="Arial MT"/>
        <family val="2"/>
      </rPr>
      <t>Nível 1 - 2.1.4.6 Requisito: Identificar sinais de instabilidade ou evolução clínica desfavorável e cumprir protocolo de atendimento (CORE)</t>
    </r>
  </si>
  <si>
    <r>
      <rPr>
        <sz val="10"/>
        <rFont val="Arial MT"/>
        <family val="2"/>
      </rPr>
      <t>Nível 1 - 2.1.4.7 Requisito: Utilizar técnicas e ferramentas de comunicação como escuta ativa</t>
    </r>
  </si>
  <si>
    <r>
      <rPr>
        <sz val="10"/>
        <rFont val="Arial MT"/>
        <family val="2"/>
      </rPr>
      <t>Nível 1 - 2.1.4.8 Requisito: Definir critérios para indicação adequada de exames e tratamentos</t>
    </r>
  </si>
  <si>
    <r>
      <rPr>
        <sz val="10"/>
        <rFont val="Arial MT"/>
        <family val="2"/>
      </rPr>
      <t>Nível 1 - 2.1.5.1 Requisito: Estabelecer e implementar os protocolos de acordo com o perfil dos pacientes, baseado em evidência científica (CORE)</t>
    </r>
  </si>
  <si>
    <r>
      <rPr>
        <sz val="10"/>
        <rFont val="Arial MT"/>
        <family val="2"/>
      </rPr>
      <t>Nível 1 - 2.1.5.2 Requisito: Compartilhar e discutir com o paciente e família/acompanhante a proposta terapêutica e condução do cuidado (em tempo hábil)</t>
    </r>
  </si>
  <si>
    <r>
      <rPr>
        <sz val="10"/>
        <rFont val="Arial MT"/>
        <family val="2"/>
      </rPr>
      <t>Nível 1 - 2.1.5.3 Requisito: Estabelecer um plano de orientação/educação ao paciente considerando suas individualidades e assistência multidisciplinar</t>
    </r>
  </si>
  <si>
    <r>
      <rPr>
        <sz val="10"/>
        <rFont val="Arial MT"/>
        <family val="2"/>
      </rPr>
      <t>Nível 1 - 2.1.5.4 Requisito: Estabelecer, acompanhar, avaliar e adequar o plano terapêutico individualizado</t>
    </r>
  </si>
  <si>
    <r>
      <rPr>
        <sz val="10"/>
        <rFont val="Arial MT"/>
        <family val="2"/>
      </rPr>
      <t>Nível 1 - 2.1.5.5 Requisito: Estabelecer plano de cuidado interdisciplinar com base no plano terapêutico, conforme grau de complexidade e dependência.</t>
    </r>
  </si>
  <si>
    <r>
      <rPr>
        <sz val="10"/>
        <rFont val="Arial MT"/>
        <family val="2"/>
      </rPr>
      <t>Nível 1 - 2.1.5.6 Requisito: Identificar sinais de instabilidade/deterioração clínica e cumprir o protocolo de atendimento (CORE)</t>
    </r>
  </si>
  <si>
    <r>
      <rPr>
        <sz val="10"/>
        <rFont val="Arial MT"/>
        <family val="2"/>
      </rPr>
      <t>Nível 1 - 2.1.5.7 Requisito: Estabelecer sistemática multiprofissional para acompanhar a adesão ao tratamento</t>
    </r>
  </si>
  <si>
    <r>
      <rPr>
        <sz val="10"/>
        <rFont val="Arial MT"/>
        <family val="2"/>
      </rPr>
      <t>Nível 1 - 2.1.5.8 Requisito: Aplicar termo de consentimento para procedimentos de risco, invasivos e anestesia</t>
    </r>
  </si>
  <si>
    <r>
      <rPr>
        <sz val="10"/>
        <rFont val="Arial MT"/>
        <family val="2"/>
      </rPr>
      <t>Nível 1 - 2.1.5.9 Requisito: Planejar e realizar a alta do paciente com plano de continuidade do cuidado</t>
    </r>
  </si>
  <si>
    <r>
      <rPr>
        <sz val="10"/>
        <rFont val="Arial MT"/>
        <family val="2"/>
      </rPr>
      <t>Nível 1 - 2.1.5.10 Requisito: Cumprir diretrizes de transmissão de informação na transição de cuidado (interna e externa)</t>
    </r>
  </si>
  <si>
    <r>
      <rPr>
        <sz val="10"/>
        <rFont val="Arial MT"/>
        <family val="2"/>
      </rPr>
      <t>Nível 1 - 2.1.5.11 Requisito: Acompanhar os pacientes após encaminhamento para outros serviços nas transições e transferências</t>
    </r>
  </si>
  <si>
    <r>
      <rPr>
        <sz val="10"/>
        <rFont val="Arial MT"/>
        <family val="2"/>
      </rPr>
      <t>Nível 1 - 2.1.5.12 Requisito: Estabelecer sistemática de monitoramento dos resultados clínicos dos pacientes</t>
    </r>
  </si>
  <si>
    <r>
      <rPr>
        <sz val="10"/>
        <rFont val="Arial MT"/>
        <family val="2"/>
      </rPr>
      <t>Nível 1 - 2.1.6.1 Requisito: Identificar os pacientes que necessitam de continuidade do cuidado e monitoramento, definindo critérios  de acompanhamento</t>
    </r>
  </si>
  <si>
    <r>
      <rPr>
        <sz val="10"/>
        <rFont val="Arial MT"/>
        <family val="2"/>
      </rPr>
      <t>Nível 1 - 2.1.6.2 Requisito: Fortalecer as orientações aos pacientes/familiares que necessitam de continuidade do cuidado ou monitoramento</t>
    </r>
  </si>
  <si>
    <r>
      <rPr>
        <sz val="10"/>
        <rFont val="Arial MT"/>
        <family val="2"/>
      </rPr>
      <t>Nível 1 - 2.2.1 Requisito: Desenvolver e implementar ações de promoção da saúde alinhadas ao perfil epidemiológico da população atendida</t>
    </r>
  </si>
  <si>
    <r>
      <rPr>
        <sz val="10"/>
        <rFont val="Arial MT"/>
        <family val="2"/>
      </rPr>
      <t xml:space="preserve">ONA 2026:
</t>
    </r>
    <r>
      <rPr>
        <sz val="10"/>
        <rFont val="Arial MT"/>
        <family val="2"/>
      </rPr>
      <t>Subseção 2.2 Atendimento Ambulatorial</t>
    </r>
  </si>
  <si>
    <r>
      <rPr>
        <sz val="10"/>
        <rFont val="Arial MT"/>
        <family val="2"/>
      </rPr>
      <t>Camila Amanda Cardoso dos Santos</t>
    </r>
  </si>
  <si>
    <r>
      <rPr>
        <sz val="10"/>
        <rFont val="Arial MT"/>
        <family val="2"/>
      </rPr>
      <t>Nível 1 - 2.2.2 Requisito: Adotar métodos sistematizados para o agendamento e acompanhamento da demanda por consultas, exames e atendimentos especializados</t>
    </r>
  </si>
  <si>
    <r>
      <rPr>
        <sz val="10"/>
        <rFont val="Arial MT"/>
        <family val="2"/>
      </rPr>
      <t>Nível 1 - 2.2.3 Requisito: Estruturar o processo assistencial para garantir acesso oportuno a públicos prioritários, como pacientes com urgências médicas</t>
    </r>
  </si>
  <si>
    <r>
      <rPr>
        <sz val="10"/>
        <rFont val="Arial MT"/>
        <family val="2"/>
      </rPr>
      <t>Nível 1 - 2.2.4 Requisito: Estruturar o processo assistencial de modo a promover a adesão ao tratamento, por meio da oferta regular de orientações e uso correto</t>
    </r>
  </si>
  <si>
    <r>
      <rPr>
        <sz val="10"/>
        <rFont val="Arial MT"/>
        <family val="2"/>
      </rPr>
      <t>Nível 1 - 2.2.5 Requisito: Estruturar as atividades da equipe multiprofissional de forma integrada, promovendo a interdisciplinaridade e o trabalho colaborativo</t>
    </r>
  </si>
  <si>
    <r>
      <rPr>
        <sz val="10"/>
        <rFont val="Arial MT"/>
        <family val="2"/>
      </rPr>
      <t>Nível 1 - 2.2.6 Requisito: Estabelecer critérios sistematizados para o diagnóstico das patologias, alinhados às especialidades e serviços oferecidos (CORE)</t>
    </r>
  </si>
  <si>
    <r>
      <rPr>
        <sz val="10"/>
        <rFont val="Arial MT"/>
        <family val="2"/>
      </rPr>
      <t>Nível 1 - 2.6.1 Requisito: Estabelecer diretrizes formais de acolhimento e um protocolo estruturado para a classificação de risco no atendimento (CORE)</t>
    </r>
  </si>
  <si>
    <r>
      <rPr>
        <sz val="10"/>
        <rFont val="Arial MT"/>
        <family val="2"/>
      </rPr>
      <t xml:space="preserve">ONA 2026:
</t>
    </r>
    <r>
      <rPr>
        <sz val="10"/>
        <rFont val="Arial MT"/>
        <family val="2"/>
      </rPr>
      <t>Subseção 2.6 Atendimento Emergencial</t>
    </r>
  </si>
  <si>
    <r>
      <rPr>
        <sz val="10"/>
        <rFont val="Arial MT"/>
        <family val="2"/>
      </rPr>
      <t>Mayara Soares Honório</t>
    </r>
  </si>
  <si>
    <r>
      <rPr>
        <sz val="10"/>
        <rFont val="Arial MT"/>
        <family val="2"/>
      </rPr>
      <t>Nível 1 - 2.6.2 Requisito: Acompanhar e avaliar a adesão do protocolo de classificação de risco utilizado para priorização do atendimento, implementando ações</t>
    </r>
  </si>
  <si>
    <r>
      <rPr>
        <sz val="10"/>
        <rFont val="Arial MT"/>
        <family val="2"/>
      </rPr>
      <t>Nível 1 - 2.6.3 Requisito: Estabelecer diretrizes formais de atendimento às urgências, conforme perfil da unidade</t>
    </r>
  </si>
  <si>
    <r>
      <rPr>
        <sz val="10"/>
        <rFont val="Arial MT"/>
        <family val="2"/>
      </rPr>
      <t>Nível 1 - 2.6.4 Requisito: Acompanhar e monitorar o desfecho dos atendimentos de urgência, conforme classificação de risco e atendimento realizado (CORE)</t>
    </r>
  </si>
  <si>
    <r>
      <rPr>
        <sz val="10"/>
        <rFont val="Arial MT"/>
        <family val="2"/>
      </rPr>
      <t>Nível 1 - 2.8.1 Requisito: Estabelecer protocolos assistenciais e clínicos alinhados ao perfil epidemiológico da unidade (CORE)</t>
    </r>
  </si>
  <si>
    <r>
      <rPr>
        <sz val="10"/>
        <rFont val="Arial MT"/>
        <family val="2"/>
      </rPr>
      <t xml:space="preserve">ONA 2026:
</t>
    </r>
    <r>
      <rPr>
        <sz val="10"/>
        <rFont val="Arial MT"/>
        <family val="2"/>
      </rPr>
      <t>Subseção 2.8 Internação</t>
    </r>
  </si>
  <si>
    <r>
      <rPr>
        <sz val="10"/>
        <rFont val="Arial MT"/>
        <family val="2"/>
      </rPr>
      <t>Nível 1 - 2.8.2 Requisito: Estabelecer e cumprir metodologia ou ferramenta para a identificação de pacientes/usuários críticos, bem como para o fluxo (CORE)</t>
    </r>
  </si>
  <si>
    <r>
      <rPr>
        <sz val="10"/>
        <rFont val="Arial MT"/>
        <family val="2"/>
      </rPr>
      <t>Nível 1 - 2.8.3 Requisito: Estabelecer protocolos para o atendimento de urgências e emergências, com base em diretrizes e evidências científicas atualizadas</t>
    </r>
  </si>
  <si>
    <r>
      <rPr>
        <sz val="10"/>
        <rFont val="Arial MT"/>
        <family val="2"/>
      </rPr>
      <t>Nível 1 - 2.8.4 Requisito: Estabelecer, acompanhar, avaliar e, quando necessário, adequar o plano terapêutico individualizado, considerando os diagnósticos</t>
    </r>
  </si>
  <si>
    <r>
      <rPr>
        <sz val="10"/>
        <rFont val="Arial MT"/>
        <family val="2"/>
      </rPr>
      <t>Nível 1 - 2.8.5 Requisito: Estabelecer o plano interdisciplinar de assistência, fundamentado no plano terapêutico definido, considerando o grau de complexidade</t>
    </r>
  </si>
  <si>
    <r>
      <rPr>
        <sz val="10"/>
        <rFont val="Arial MT"/>
        <family val="2"/>
      </rPr>
      <t>Nível 1 - 2.8.6 Requisito: Dispor de plano multidisciplinar de alta, elaborado com conhecimento do paciente/ cliente e/ou acompanhantes</t>
    </r>
  </si>
  <si>
    <r>
      <rPr>
        <sz val="10"/>
        <rFont val="Arial MT"/>
        <family val="2"/>
      </rPr>
      <t>Nível 1 - 2.8.7 Requisito: Promover o envolvimento do paciente/cliente e/ou acompanhante quanto aos  seus procedimentos, riscos e plano terapêutico</t>
    </r>
  </si>
  <si>
    <r>
      <rPr>
        <sz val="10"/>
        <rFont val="Arial MT"/>
        <family val="2"/>
      </rPr>
      <t xml:space="preserve">ONA 2026:
</t>
    </r>
    <r>
      <rPr>
        <sz val="10"/>
        <rFont val="Arial MT"/>
        <family val="2"/>
      </rPr>
      <t>Subseção 2.8 Internação Materno</t>
    </r>
  </si>
  <si>
    <r>
      <rPr>
        <sz val="10"/>
        <rFont val="Arial MT"/>
        <family val="2"/>
      </rPr>
      <t>Camila Nascimento Santos Santana</t>
    </r>
  </si>
  <si>
    <r>
      <rPr>
        <sz val="10"/>
        <rFont val="Arial MT"/>
        <family val="2"/>
      </rPr>
      <t>Nível 1 - 2.9.1 Requisito: Estabelecer protocolos e procedimentos assistenciais alinhados ao perfil do paciente crítico, baseados em evidências científicas</t>
    </r>
  </si>
  <si>
    <r>
      <rPr>
        <sz val="10"/>
        <rFont val="Arial MT"/>
        <family val="2"/>
      </rPr>
      <t xml:space="preserve">ONA 2026:
</t>
    </r>
    <r>
      <rPr>
        <sz val="10"/>
        <rFont val="Arial MT"/>
        <family val="2"/>
      </rPr>
      <t>Subseção 2.9 Cuidados Intensivos</t>
    </r>
  </si>
  <si>
    <r>
      <rPr>
        <sz val="10"/>
        <rFont val="Arial MT"/>
        <family val="2"/>
      </rPr>
      <t>Nível 1 - 2.9.2 Requisito: Estabelecer e monitorar os critérios para admissão, alta e transferência de pacientes (CORE)</t>
    </r>
  </si>
  <si>
    <r>
      <rPr>
        <sz val="10"/>
        <rFont val="Arial MT"/>
        <family val="2"/>
      </rPr>
      <t>Nível 1 - 2.9.3 Requisito: Utilizar metodologia baseada em evidências para a classificação da gravidade do paciente, relacionando a taxa de mortalidade</t>
    </r>
  </si>
  <si>
    <r>
      <rPr>
        <sz val="10"/>
        <rFont val="Arial MT"/>
        <family val="2"/>
      </rPr>
      <t>Nível 1 - 2.9.4 Requisito: Estabelecer a parametrização dos alarmes de acordo com as necessidades clínicas dos pacientes</t>
    </r>
  </si>
  <si>
    <r>
      <rPr>
        <sz val="10"/>
        <rFont val="Arial MT"/>
        <family val="2"/>
      </rPr>
      <t>Nível 1 - 2.9.5 Requisito: Identificar os riscos assistenciais do paciente/cliente crítico e estabelecer ações de prevenção para reduzir a probabilidade de inci</t>
    </r>
  </si>
  <si>
    <r>
      <rPr>
        <sz val="10"/>
        <rFont val="Arial MT"/>
        <family val="2"/>
      </rPr>
      <t>Nível 1 - 2.9.6 Requisito: Estabelecer e cumprir critérios para garantir a prática segura do transporte intra e inter- -hospitalar de pacientes críticos</t>
    </r>
  </si>
  <si>
    <r>
      <rPr>
        <sz val="10"/>
        <rFont val="Arial MT"/>
        <family val="2"/>
      </rPr>
      <t>Nível 1 - 2.9.7 Requisito: Estabelecer e cumprir o processo de alta do paciente, garantindo a segurança na transição do cuidado</t>
    </r>
  </si>
  <si>
    <r>
      <rPr>
        <sz val="10"/>
        <rFont val="Arial MT"/>
        <family val="2"/>
      </rPr>
      <t>Nível 1 - 2.9.8 Requisito: Cumprir as diretrizes para a identificação e mobilização de doadores de órgãos, tecidos e células</t>
    </r>
  </si>
  <si>
    <r>
      <rPr>
        <sz val="10"/>
        <rFont val="Arial MT"/>
        <family val="2"/>
      </rPr>
      <t>Nível 1 - 2.9.9 Requisito: Cumprir as diretrizes para a aplicação do TCLE (Termo de Consentimento Livre e Esclarecido) relacionado à assistência a pacientes</t>
    </r>
  </si>
  <si>
    <r>
      <rPr>
        <sz val="10"/>
        <rFont val="Arial MT"/>
        <family val="2"/>
      </rPr>
      <t>Nível 1 - 2.9.10 Requisito: Estabelecer a avaliação do grau de complexidade do cuidado prestado, correlacionando-a com a atuação integrada da equipe multi</t>
    </r>
  </si>
  <si>
    <r>
      <rPr>
        <sz val="10"/>
        <rFont val="Arial MT"/>
        <family val="2"/>
      </rPr>
      <t>Nível 1 - 2.9.11 Requisito: Definir e implementar intervenções com base na identificação de sinais de instabilidade ou deterioração clínica dos pacientes</t>
    </r>
  </si>
  <si>
    <r>
      <rPr>
        <sz val="10"/>
        <rFont val="Arial MT"/>
        <family val="2"/>
      </rPr>
      <t>Nível 1 - 2.9.12 Requisito: Estabelecer mecanismos formais para discussão, direcionamento e monitoramento do planejamento interdisciplinar da assistência</t>
    </r>
  </si>
  <si>
    <r>
      <rPr>
        <sz val="10"/>
        <rFont val="Arial MT"/>
        <family val="2"/>
      </rPr>
      <t>Nível 1 - 2.10.1 Requisito: Estabelecer uma sistemática/processo para o agendamento cirúrgico, com acompanhamento da demanda e das priorizações</t>
    </r>
  </si>
  <si>
    <r>
      <rPr>
        <sz val="10"/>
        <rFont val="Arial MT"/>
        <family val="2"/>
      </rPr>
      <t xml:space="preserve">ONA 2026:
</t>
    </r>
    <r>
      <rPr>
        <sz val="10"/>
        <rFont val="Arial MT"/>
        <family val="2"/>
      </rPr>
      <t>Subseção 2.10 Atendimento Cirúrgico</t>
    </r>
  </si>
  <si>
    <r>
      <rPr>
        <sz val="10"/>
        <rFont val="Arial MT"/>
        <family val="2"/>
      </rPr>
      <t>Evila Ellen Sa De Moraes Matias</t>
    </r>
  </si>
  <si>
    <r>
      <rPr>
        <sz val="10"/>
        <rFont val="Arial MT"/>
        <family val="2"/>
      </rPr>
      <t>Nível 1 - 2.10.2 Requisito: Estabelecer protocolo para o atendimento de cirurgias de urgência e emergência</t>
    </r>
  </si>
  <si>
    <r>
      <rPr>
        <sz val="10"/>
        <rFont val="Arial MT"/>
        <family val="2"/>
      </rPr>
      <t>Nível 1 - 2.10.3 Requisito: Identificar os riscos assistenciais do paciente/cliente cirúrgico e estabelecer ações de prevenção para reduzir a probabilidade</t>
    </r>
  </si>
  <si>
    <r>
      <rPr>
        <sz val="10"/>
        <rFont val="Arial MT"/>
        <family val="2"/>
      </rPr>
      <t>Nível 1 - 2.10.4 Requisito: Cumprir os critérios e procedimentos de segurança para a utilização de materiais</t>
    </r>
  </si>
  <si>
    <r>
      <rPr>
        <sz val="10"/>
        <rFont val="Arial MT"/>
        <family val="2"/>
      </rPr>
      <t>Nível 1 - 2.10.5 Requisito: Cumprir os critérios e procedimentos de segurança para a utilização de equipamentos</t>
    </r>
  </si>
  <si>
    <r>
      <rPr>
        <sz val="10"/>
        <rFont val="Arial MT"/>
        <family val="2"/>
      </rPr>
      <t>Nível 1 - 2.10.6 Requisito: Cumprir integralmente o primeiro momento do Protocolo de Cirurgia Segura, realizado antes da indução anestésica (CORE)</t>
    </r>
  </si>
  <si>
    <r>
      <rPr>
        <sz val="10"/>
        <rFont val="Arial MT"/>
        <family val="2"/>
      </rPr>
      <t>Nível 1 - 2.10.7 Requisito: Estabelecer protocolos que garantam a segurança da prática anestésica em todas as suas etapas</t>
    </r>
  </si>
  <si>
    <r>
      <rPr>
        <sz val="10"/>
        <rFont val="Arial MT"/>
        <family val="2"/>
      </rPr>
      <t>Nível 1 - 2.10.8 Requisito: Cumprir integralmente o segundo momento do Protocolo de Cirurgia Segura, realizado antes da incisão cirúrgica (CORE)</t>
    </r>
  </si>
  <si>
    <r>
      <rPr>
        <sz val="10"/>
        <rFont val="Arial MT"/>
        <family val="2"/>
      </rPr>
      <t>Nível 1 - 2.10.9 Requisito: Cumprir o terceiro momento do Protocolo de Cirurgia Segura, antes da saída da sala cirúrgica (CORE)</t>
    </r>
  </si>
  <si>
    <r>
      <rPr>
        <sz val="10"/>
        <rFont val="Arial MT"/>
        <family val="2"/>
      </rPr>
      <t>Nível 1 - 2.10.10 Requisito: Cumprir o protocolo multidisciplinar para a segurança da cadeia medicamentosa na utilização, controle e rastreabilidade de medica</t>
    </r>
  </si>
  <si>
    <r>
      <rPr>
        <sz val="10"/>
        <rFont val="Arial MT"/>
        <family val="2"/>
      </rPr>
      <t>Nível 1 - 2.10.11 Requisito: Cumprir os protocolos para prevenção de quedas e de lesão por pressão</t>
    </r>
  </si>
  <si>
    <r>
      <rPr>
        <sz val="10"/>
        <rFont val="Arial MT"/>
        <family val="2"/>
      </rPr>
      <t>Nível 1 - 2.10.12 Requisito: Estabelecer e cumprir critérios de alta após recuperação anestésica</t>
    </r>
  </si>
  <si>
    <r>
      <rPr>
        <sz val="10"/>
        <rFont val="Arial MT"/>
        <family val="2"/>
      </rPr>
      <t>Nível 1 - 2.10.13 Requisito: Dispor de procedimentos seguros para transplante de órgãos e tecidos humanos</t>
    </r>
  </si>
  <si>
    <r>
      <rPr>
        <sz val="10"/>
        <rFont val="Arial MT"/>
        <family val="2"/>
      </rPr>
      <t>Nível 1 - 2.10.14 Requisito: Dispor de mecanismos e procedimentos para armazenamento, conservação, transporte, rastreabilidade e disposição adequada</t>
    </r>
  </si>
  <si>
    <r>
      <rPr>
        <sz val="10"/>
        <rFont val="Arial MT"/>
        <family val="2"/>
      </rPr>
      <t>Nível 1 - 2.11.1 Requisito: Cumprir sistemática de agendamento do pré-natal e acompanha a demanda</t>
    </r>
  </si>
  <si>
    <r>
      <rPr>
        <sz val="10"/>
        <rFont val="Arial MT"/>
        <family val="2"/>
      </rPr>
      <t xml:space="preserve">ONA 2026:
</t>
    </r>
    <r>
      <rPr>
        <sz val="10"/>
        <rFont val="Arial MT"/>
        <family val="2"/>
      </rPr>
      <t>Subseção 2.11 Atendimento Obstétrico Ambulatório</t>
    </r>
  </si>
  <si>
    <r>
      <rPr>
        <sz val="10"/>
        <rFont val="Arial MT"/>
        <family val="2"/>
      </rPr>
      <t>Nível 1 - 2.11.2 Requisito: Estabelecer critérios clínicos e fluxo de encaminhamento para atendimento no ambulatório de pré-natal de alto risco (CORE)</t>
    </r>
  </si>
  <si>
    <r>
      <rPr>
        <sz val="10"/>
        <rFont val="Arial MT"/>
        <family val="2"/>
      </rPr>
      <t>Nível 1 - 2.11.3 Requisito: Estabelecer protocolos assistenciais para as complicações obstétricas</t>
    </r>
  </si>
  <si>
    <r>
      <rPr>
        <sz val="10"/>
        <rFont val="Arial MT"/>
        <family val="2"/>
      </rPr>
      <t>Nível 1 - 2.11.4 Requisito: Definir e implantar protocolos assistenciais para o acompanhamento do pré-natal, considerando o perfil das pessoas gestantes</t>
    </r>
  </si>
  <si>
    <r>
      <rPr>
        <sz val="10"/>
        <rFont val="Arial MT"/>
        <family val="2"/>
      </rPr>
      <t>Nível 1 - 2.11.5 Requisito: Apoiar a elaboração do plano de parto pelas pessoas gestantes, com mediação de profissionais de saúde, promovendo autonomia</t>
    </r>
  </si>
  <si>
    <r>
      <rPr>
        <sz val="10"/>
        <rFont val="Arial MT"/>
        <family val="2"/>
      </rPr>
      <t>Nível 1 - 2.11.6 Requisito: Preparar a pessoa gestante e o(s) bebê(s) para o pré-natal, o parto e o puerpério por meio de ações de cuidado e letramento em saúde</t>
    </r>
  </si>
  <si>
    <r>
      <rPr>
        <sz val="10"/>
        <rFont val="Arial MT"/>
        <family val="2"/>
      </rPr>
      <t>Nível 1 - 2.11.7 Requisito: Estabelecer diretrizes para o acolhimento e a aplicação de protocolo de classificação de risco no atendimento obstétrico</t>
    </r>
  </si>
  <si>
    <r>
      <rPr>
        <sz val="10"/>
        <rFont val="Arial MT"/>
        <family val="2"/>
      </rPr>
      <t>Nível 1 - 2.11.8 Requisito: Cumprir o primeiro momento do Protocolo de Parto Seguro, nas etapas de admissão e pré-parto (CORE)</t>
    </r>
  </si>
  <si>
    <r>
      <rPr>
        <sz val="10"/>
        <rFont val="Arial MT"/>
        <family val="2"/>
      </rPr>
      <t>Nível 1 - 2.11.9 Requisito: Cumprir o segundo momento do Protocolo de Parto Seguro, na sala de parto</t>
    </r>
  </si>
  <si>
    <r>
      <rPr>
        <sz val="10"/>
        <rFont val="Arial MT"/>
        <family val="2"/>
      </rPr>
      <t>Nível 1 - 2.11.10 Requisito: Cumprir o terceiro momento do Protocolo de Parto Seguro, após o parto</t>
    </r>
  </si>
  <si>
    <r>
      <rPr>
        <sz val="10"/>
        <rFont val="Arial MT"/>
        <family val="2"/>
      </rPr>
      <t>Nível 1 - 2.11.11 Requisito: Cumprir o quarto momento do Protocolo de Parto Seguro, antes da alta hospitalar</t>
    </r>
  </si>
  <si>
    <r>
      <rPr>
        <sz val="10"/>
        <rFont val="Arial MT"/>
        <family val="2"/>
      </rPr>
      <t>Nível 1 - 2.11.12 Requisito: Planejar e oferecer um plano de orientações para a puérpera sobre o autocuidado e os cuidados com o(s) recém-nascido(s) (CORE)</t>
    </r>
  </si>
  <si>
    <r>
      <rPr>
        <sz val="10"/>
        <rFont val="Arial MT"/>
        <family val="2"/>
      </rPr>
      <t>Nível 1 - 2.11.13 Requisito: Cumprir o protocolo de cirurgia segura</t>
    </r>
  </si>
  <si>
    <r>
      <rPr>
        <sz val="10"/>
        <rFont val="Arial MT"/>
        <family val="2"/>
      </rPr>
      <t>Nível 1 - 2.11.14 Requisito: Estabelecer protocolos de segurança para a administração de anestésicos</t>
    </r>
  </si>
  <si>
    <r>
      <rPr>
        <sz val="10"/>
        <rFont val="Arial MT"/>
        <family val="2"/>
      </rPr>
      <t>Nível 1 - 2.11.15 Requisito: Identificar sinais de deterioração clínica materna e seguir o protocolo de urgências e emergências, embasado em diretrizes</t>
    </r>
  </si>
  <si>
    <r>
      <rPr>
        <sz val="10"/>
        <rFont val="Arial MT"/>
        <family val="2"/>
      </rPr>
      <t>Nível 1 - 2.11.16 Requisito: Identificar sinais de deterioração clínica no recém-nascido e seguir o protocolo de urgências e emergências, baseado em diretrizes</t>
    </r>
  </si>
  <si>
    <r>
      <rPr>
        <sz val="10"/>
        <rFont val="Arial MT"/>
        <family val="2"/>
      </rPr>
      <t>Nível 1 - 2.11.17 Requisito: Cumprir protocolos para atendimento de emergência obstétrica (CORE)</t>
    </r>
  </si>
  <si>
    <r>
      <rPr>
        <sz val="10"/>
        <rFont val="Arial MT"/>
        <family val="2"/>
      </rPr>
      <t>Nível 1 - 2.11.18 Requisito: Estabelecer práticas para a movimentação segura do binômio mãe-filho(s) (CORE)</t>
    </r>
  </si>
  <si>
    <r>
      <rPr>
        <sz val="10"/>
        <rFont val="Arial MT"/>
        <family val="2"/>
      </rPr>
      <t>Nível 1 -2.11.19 Requisito: Estabelecer sistemática e estimular o alojamento conjunto e o envolvimento materno e do núcleo familiar nos cuidados com o RN (CORE)</t>
    </r>
  </si>
  <si>
    <r>
      <rPr>
        <sz val="10"/>
        <rFont val="Arial MT"/>
        <family val="2"/>
      </rPr>
      <t>Nível 1 - 2.11.20 Requisito: Fornecer orientações a respeito do aleitamento materno</t>
    </r>
  </si>
  <si>
    <r>
      <rPr>
        <sz val="10"/>
        <rFont val="Arial MT"/>
        <family val="2"/>
      </rPr>
      <t>Nível 1 - 2.11.21 Requisito: Dispor de mecanismos e procedimentos para armazenamento, conservação, transporte, rastreabilidade e disposição adequada das amostra</t>
    </r>
  </si>
  <si>
    <r>
      <rPr>
        <sz val="10"/>
        <rFont val="Arial MT"/>
        <family val="2"/>
      </rPr>
      <t>Nível 1 - 2.11.22 Requisito: Estabelecer protocolo de identificação, prevenção e acompanhamento da violência obstétrica, alinhado à diretriz institucional</t>
    </r>
  </si>
  <si>
    <r>
      <rPr>
        <sz val="10"/>
        <rFont val="Arial MT"/>
        <family val="2"/>
      </rPr>
      <t>Nível 1 - 2.11.23 Requisito: Cumprir protocolo para hemotransfusão, baseado em diretrizes e evidências científicas atualizadas</t>
    </r>
  </si>
  <si>
    <r>
      <rPr>
        <sz val="10"/>
        <rFont val="Arial MT"/>
        <family val="2"/>
      </rPr>
      <t>Nível 1 - 2.12.1 Requisito: Estabelecer protocolos e procedimentos assistenciais e clínicos alinhados ao perfil epidemiológico da população atendida.</t>
    </r>
  </si>
  <si>
    <r>
      <rPr>
        <sz val="10"/>
        <rFont val="Arial MT"/>
        <family val="2"/>
      </rPr>
      <t xml:space="preserve">ONA 2026:
</t>
    </r>
    <r>
      <rPr>
        <sz val="10"/>
        <rFont val="Arial MT"/>
        <family val="2"/>
      </rPr>
      <t>Subseção 2.12 Atendimento Neonatal</t>
    </r>
  </si>
  <si>
    <r>
      <rPr>
        <sz val="10"/>
        <rFont val="Arial MT"/>
        <family val="2"/>
      </rPr>
      <t>Nível 1 - 2.12.2 Requisito: Estabelecer e monitorar critérios para admissão e alta de pacientes na UTI (Unidade de Terapia Intensiva) neonatal (CORE)</t>
    </r>
  </si>
  <si>
    <r>
      <rPr>
        <sz val="10"/>
        <rFont val="Arial MT"/>
        <family val="2"/>
      </rPr>
      <t>Nível 1 - 2.12.3 Requisito: Utilizar metodologia para classificação da gravidade do paciente/cliente, relacionando a taxa de mortalidade (CORE)</t>
    </r>
  </si>
  <si>
    <r>
      <rPr>
        <sz val="10"/>
        <rFont val="Arial MT"/>
        <family val="2"/>
      </rPr>
      <t>Nível 1 - 2.12.4 Requisito: Identificar os riscos assistenciais do paciente/cliente em todas as etapas do cuidado e estabelecer ações preventivas</t>
    </r>
  </si>
  <si>
    <r>
      <rPr>
        <sz val="10"/>
        <rFont val="Arial MT"/>
        <family val="2"/>
      </rPr>
      <t>Nível 1 - 2.12.5 Requisito: Estabelecer e cumprir o processo de alta do paciente, assegurando a segurança e a continuidade na transição do cuidado</t>
    </r>
  </si>
  <si>
    <r>
      <rPr>
        <sz val="10"/>
        <rFont val="Arial MT"/>
        <family val="2"/>
      </rPr>
      <t>Nível 1 - 2.12.6 Requisito: Cumprir os procedimentos de segurança na coleta e utilização do leite materno</t>
    </r>
  </si>
  <si>
    <r>
      <rPr>
        <sz val="10"/>
        <rFont val="Arial MT"/>
        <family val="2"/>
      </rPr>
      <t>Nível 1 - 2.12.7 Requisito: Cumprir os procedimentos de segurança para a manipulação do leite</t>
    </r>
  </si>
  <si>
    <r>
      <rPr>
        <sz val="10"/>
        <rFont val="Arial MT"/>
        <family val="2"/>
      </rPr>
      <t>Nível 1 - 2.12.8 Requisito: Cumprir as diretrizes estabelecidas para a identificação e mobilização de doadores de órgãos, tecidos e células</t>
    </r>
  </si>
  <si>
    <r>
      <rPr>
        <sz val="10"/>
        <rFont val="Arial MT"/>
        <family val="2"/>
      </rPr>
      <t>Nível 1 - 2.13.1 Requisito: Estabelecer protocolos e procedimentos para pacientes/usuários em assistência dialítica, com base em diretrizes e evidências</t>
    </r>
  </si>
  <si>
    <r>
      <rPr>
        <sz val="10"/>
        <rFont val="Arial MT"/>
        <family val="2"/>
      </rPr>
      <t xml:space="preserve">ONA 2026:
</t>
    </r>
    <r>
      <rPr>
        <sz val="10"/>
        <rFont val="Arial MT"/>
        <family val="2"/>
      </rPr>
      <t>Subseção 2.13 Assistência Nefrológica e Dialítica</t>
    </r>
  </si>
  <si>
    <r>
      <rPr>
        <sz val="10"/>
        <rFont val="Arial MT"/>
        <family val="2"/>
      </rPr>
      <t>Nível 1 - 2.13.2 Requisito: Monitorar a demanda por procedimentos de terapia dialítica</t>
    </r>
  </si>
  <si>
    <r>
      <rPr>
        <sz val="10"/>
        <rFont val="Arial MT"/>
        <family val="2"/>
      </rPr>
      <t>Nível 1 - 2.13.3 Requisito: Identificar os riscos assistenciais do paciente ou cliente e estabelece ações de prevenção para reduzir incidente (CORE)</t>
    </r>
  </si>
  <si>
    <r>
      <rPr>
        <sz val="10"/>
        <rFont val="Arial MT"/>
        <family val="2"/>
      </rPr>
      <t>Nível 1 - 2.13.4 Requisito: Estabelecer um plano interdisciplinar de assistência baseado no plano terapêutico definido, considerando o grau de complexidade</t>
    </r>
  </si>
  <si>
    <r>
      <rPr>
        <sz val="10"/>
        <rFont val="Arial MT"/>
        <family val="2"/>
      </rPr>
      <t>Nível 1 - 2.13.5 Requisito: Registrar e compartilhar com os pacientes, clientes e/ou acompanhantes as decisões relacionadas à terapia dialítica</t>
    </r>
  </si>
  <si>
    <r>
      <rPr>
        <sz val="10"/>
        <rFont val="Arial MT"/>
        <family val="2"/>
      </rPr>
      <t>Nível 1 - 2.13.6 Requisito: Cumprir os critérios e procedimentos de segurança para a utilização de materiais</t>
    </r>
  </si>
  <si>
    <r>
      <rPr>
        <sz val="10"/>
        <rFont val="Arial MT"/>
        <family val="2"/>
      </rPr>
      <t>Nível 1 - 2.13.7 Requisito: Manter prontuário com registros atualizados sobre a assistência dialítica, que possibilitem a continuidade do atendimento</t>
    </r>
  </si>
  <si>
    <r>
      <rPr>
        <sz val="10"/>
        <rFont val="Arial MT"/>
        <family val="2"/>
      </rPr>
      <t>Nível 1 - 2.13.8 Requisito: Dispor de plano multidisciplinar de conhecimento do paciente e/ou cuidador para a continuidade do cuidado extra ambulatorial</t>
    </r>
  </si>
  <si>
    <r>
      <rPr>
        <sz val="10"/>
        <rFont val="Arial MT"/>
        <family val="2"/>
      </rPr>
      <t>Nível 1 - 2.13.9 Requisito: Dispor de procedimentos de segurança para o armazenamento, rastreabilidade e transporte de soluções dialíticas</t>
    </r>
  </si>
  <si>
    <r>
      <rPr>
        <sz val="10"/>
        <rFont val="Arial MT"/>
        <family val="2"/>
      </rPr>
      <t>Nível 1 - 2.13.10 Requisito: Dispor de procedimento seguro que abranja a identificação, rastreabilidade, conservação, reprocessamento e descarte adequado</t>
    </r>
  </si>
  <si>
    <r>
      <rPr>
        <sz val="10"/>
        <rFont val="Arial MT"/>
        <family val="2"/>
      </rPr>
      <t>Nível 1 - 2.13.11 Requisito: Monitorar a qualidade da água em todas as etapas que envolvem a terapia renal substitutiva (CORE)</t>
    </r>
  </si>
  <si>
    <r>
      <rPr>
        <sz val="10"/>
        <rFont val="Arial MT"/>
        <family val="2"/>
      </rPr>
      <t>Nível 1 - 2.13.12 Requisito: Avaliar, orientar e realizar a inscrição do paciente na fila de transplantes, caso ele esteja apto e concorde</t>
    </r>
  </si>
  <si>
    <r>
      <rPr>
        <sz val="10"/>
        <rFont val="Arial MT"/>
        <family val="2"/>
      </rPr>
      <t>Nível 1 - 2.13.13 Requisito: Realizar o monitoramento da adesão ao tratamento domiciliar de diálise peritoneal, incluindo a verificação da utilização dos insumo</t>
    </r>
  </si>
  <si>
    <r>
      <rPr>
        <sz val="10"/>
        <rFont val="Arial MT"/>
        <family val="2"/>
      </rPr>
      <t>Nível 1 - 2.13.14 Requisito: Acompanhar e avaliar os resultados dos protocolos de terapia dialítica, promovendo ações de melhoria contínua</t>
    </r>
  </si>
  <si>
    <r>
      <rPr>
        <sz val="10"/>
        <rFont val="Arial MT"/>
        <family val="2"/>
      </rPr>
      <t>Nível 1 - 2.13.15 Requisito: Monitorar a utilização racional da terapia dialítica, promovendo ações sistemáticas de melhoria contínua nesse processo</t>
    </r>
  </si>
  <si>
    <r>
      <rPr>
        <sz val="10"/>
        <rFont val="Arial MT"/>
        <family val="2"/>
      </rPr>
      <t>Nível 1 - 2.18.1 Requisito: Implementar protocolo dinâmico para identificação de pacientes críticos nos atendi mentos odontológicos</t>
    </r>
  </si>
  <si>
    <r>
      <rPr>
        <sz val="10"/>
        <rFont val="Arial MT"/>
        <family val="2"/>
      </rPr>
      <t xml:space="preserve">ONA 2026:
</t>
    </r>
    <r>
      <rPr>
        <sz val="10"/>
        <rFont val="Arial MT"/>
        <family val="2"/>
      </rPr>
      <t>Subseção 2.18 Odontologia</t>
    </r>
  </si>
  <si>
    <r>
      <rPr>
        <sz val="10"/>
        <rFont val="Arial MT"/>
        <family val="2"/>
      </rPr>
      <t>Nível 1 - 2.18.2 Requisito: Estabelecer e implementar protocolos para o atendimento de urgências e emergências odontológicas (CORE)</t>
    </r>
  </si>
  <si>
    <r>
      <rPr>
        <sz val="10"/>
        <rFont val="Arial MT"/>
        <family val="2"/>
      </rPr>
      <t>Nível 1 - 2.18.3 Requisito: Estabelecer e cumprir protocolos multidisciplinares voltados à segurança da cadeia medicamentosa, incluindo diretrizes específicas</t>
    </r>
  </si>
  <si>
    <r>
      <rPr>
        <sz val="10"/>
        <rFont val="Arial MT"/>
        <family val="2"/>
      </rPr>
      <t>Nível 1 - 2.18.4 Requisito: Desenvolver estratégias educativas e preventivas voltadas à manutenção da saúde  bucal, fundamentadas no perfil epidemiológico local</t>
    </r>
  </si>
  <si>
    <r>
      <rPr>
        <sz val="10"/>
        <rFont val="Arial MT"/>
        <family val="2"/>
      </rPr>
      <t>Nível 1 - 2.18.5 Requisito: Implementar e assegurar o cumprimento do protocolo de cirurgia odontológica segura, incluindo procedimentos (CORE)</t>
    </r>
  </si>
  <si>
    <r>
      <rPr>
        <sz val="10"/>
        <rFont val="Arial MT"/>
        <family val="2"/>
      </rPr>
      <t>Nível 1 - 2.18.6 Requisito: Estabelecer plano interdisciplinar de assistência, alinhado ao plano terapêutico, consi derando as características do paciente</t>
    </r>
  </si>
  <si>
    <r>
      <rPr>
        <sz val="10"/>
        <rFont val="Arial MT"/>
        <family val="2"/>
      </rPr>
      <t>Nível 1 - 2.18.7 Requisito: Cumprir os critérios e procedimentos de aceitação, restrição e rejeição de amostras de células, tecidos e componentes sanguíneos</t>
    </r>
  </si>
  <si>
    <r>
      <rPr>
        <sz val="10"/>
        <rFont val="Arial MT"/>
        <family val="2"/>
      </rPr>
      <t>Nível 1 - 2.18.8 Requisito: Dispor de mecanismos, procedimentos e validações que assegurem a rastreabilidade, identificação, armazenamento, conservação</t>
    </r>
  </si>
  <si>
    <r>
      <rPr>
        <sz val="10"/>
        <rFont val="Arial MT"/>
        <family val="2"/>
      </rPr>
      <t>Nível 1 - 2.22.1 Requisito: Estabelecer diretrizes para o atendimento de pacientes e seus familiares recebidos por demanda espontânea ou encaminhados</t>
    </r>
  </si>
  <si>
    <r>
      <rPr>
        <sz val="10"/>
        <rFont val="Arial MT"/>
        <family val="2"/>
      </rPr>
      <t xml:space="preserve">ONA 2026:
</t>
    </r>
    <r>
      <rPr>
        <sz val="10"/>
        <rFont val="Arial MT"/>
        <family val="2"/>
      </rPr>
      <t>Subseção 2.22 Saúde Mental</t>
    </r>
  </si>
  <si>
    <r>
      <rPr>
        <sz val="10"/>
        <rFont val="Arial MT"/>
        <family val="2"/>
      </rPr>
      <t>Nível 1 - 2.22.2 Requisito: Estabelecer protocolos assistenciais e clínicos em doença mental alinhados ao perfil epidemiológico e às necessidades (CORE)</t>
    </r>
  </si>
  <si>
    <r>
      <rPr>
        <sz val="10"/>
        <rFont val="Arial MT"/>
        <family val="2"/>
      </rPr>
      <t>Nível 1 - 2.22.3 Requisito: Garantir o gerenciamento do caso, com monitoramento contínuo do cuidado, assegurando a atuação de um profissional de referência</t>
    </r>
  </si>
  <si>
    <r>
      <rPr>
        <sz val="10"/>
        <rFont val="Arial MT"/>
        <family val="2"/>
      </rPr>
      <t>Nível 1 - 2.22.4 Requisito: Estabelecer um plano terapêutico individualizado considerando as características individuais dos pacientes e a hipótese diag. (CORE)</t>
    </r>
  </si>
  <si>
    <r>
      <rPr>
        <sz val="10"/>
        <rFont val="Arial MT"/>
        <family val="2"/>
      </rPr>
      <t>Nível 1 - 2.22.5 Requisito: Estabelecer critérios para a prática segura do uso das medicações e cumprir o protocolo multidisciplinar para a segurança da cadeia</t>
    </r>
  </si>
  <si>
    <r>
      <rPr>
        <sz val="10"/>
        <rFont val="Arial MT"/>
        <family val="2"/>
      </rPr>
      <t>Nível 1 - 2.22.6 Requisito: Planejar e realizar a alta do paciente com plano de continuidade do cuidado</t>
    </r>
  </si>
  <si>
    <r>
      <rPr>
        <sz val="10"/>
        <rFont val="Arial MT"/>
        <family val="2"/>
      </rPr>
      <t>Nível 1 - 2.22.7 Requisito: Estabelecer um processo para internações voluntárias e involuntárias, assegurando registro formal, comunicação aos órgãos competente</t>
    </r>
  </si>
  <si>
    <r>
      <rPr>
        <sz val="10"/>
        <rFont val="Arial MT"/>
        <family val="2"/>
      </rPr>
      <t>Nível 1 - 2.22.8 Requisito: Promover a participação do serviço de saúde em ações e discussões tanto de casos clínicos quanto de saúde pública</t>
    </r>
  </si>
  <si>
    <r>
      <rPr>
        <sz val="10"/>
        <rFont val="Arial MT"/>
        <family val="2"/>
      </rPr>
      <t>Nível 1 - 2.25.1 Requisito: Dispor de profissionais com competências e capacitação compatíveis com a necessidade do serviço</t>
    </r>
  </si>
  <si>
    <r>
      <rPr>
        <sz val="10"/>
        <rFont val="Arial MT"/>
        <family val="2"/>
      </rPr>
      <t xml:space="preserve">ONA 2026:
</t>
    </r>
    <r>
      <rPr>
        <sz val="10"/>
        <rFont val="Arial MT"/>
        <family val="2"/>
      </rPr>
      <t>Subseção 2.25 Requisitos Transversais</t>
    </r>
  </si>
  <si>
    <r>
      <rPr>
        <sz val="10"/>
        <rFont val="Arial MT"/>
        <family val="2"/>
      </rPr>
      <t>Nível 1 -2.25.2 Requisito: Planejar e estruturar as atividades dos processos assistenciais com base na infraestrutura disponível e no impacto direto na jornada</t>
    </r>
  </si>
  <si>
    <r>
      <rPr>
        <sz val="10"/>
        <rFont val="Arial MT"/>
        <family val="2"/>
      </rPr>
      <t>Nível 1 - 2.25.3 Requisito: Acompanhar a manutenção preventiva e corretiva da infraestrutura física e dos equipamentos, assegurando suporte contínuo</t>
    </r>
  </si>
  <si>
    <r>
      <rPr>
        <sz val="10"/>
        <rFont val="Arial MT"/>
        <family val="2"/>
      </rPr>
      <t>Nível 1 - 2.25.4 Requisito: Cumprir os protocolos de prevenção e controle de infecções e de biossegurança</t>
    </r>
  </si>
  <si>
    <r>
      <rPr>
        <sz val="10"/>
        <rFont val="Arial MT"/>
        <family val="2"/>
      </rPr>
      <t>Nível 1 - 2.25.5 Requisito: Aplicar de forma consistente e integrada os protocolos assistenciais e de segurança em todos os pontos da jornada do paciente (CORE)</t>
    </r>
  </si>
  <si>
    <r>
      <rPr>
        <sz val="10"/>
        <rFont val="Arial MT"/>
        <family val="2"/>
      </rPr>
      <t>Nível 1 - 2.25.6 Requisito: Identificar e monitorar de forma integrada os riscos assistenciais e operacionais ao longo de toda a jornada do paciente (CORE)</t>
    </r>
  </si>
  <si>
    <r>
      <rPr>
        <sz val="10"/>
        <rFont val="Arial MT"/>
        <family val="2"/>
      </rPr>
      <t>Nível 1 - 2.25.7 Requisito: Assegurar infraestrutura, recursos e tecnologias adequados para garantir a continuidade, a segurança e a personalização do cuidado</t>
    </r>
  </si>
  <si>
    <r>
      <rPr>
        <sz val="10"/>
        <rFont val="Arial MT"/>
        <family val="2"/>
      </rPr>
      <t>Nível 1 - 2.25.8 Requisito: Consolidar práticas de cuidado centrado no paciente em todas as fases da jornada, com abordagem interdisciplinar, personalizada</t>
    </r>
  </si>
  <si>
    <r>
      <rPr>
        <sz val="10"/>
        <rFont val="Arial MT"/>
        <family val="2"/>
      </rPr>
      <t>Nível 1 - 2.25.9 Requisito: Promover comunicação clara, segura e contínua com pacientes/usuários, familiares e entre equipes, em todos os pontos de transição</t>
    </r>
  </si>
  <si>
    <r>
      <rPr>
        <sz val="10"/>
        <rFont val="Arial MT"/>
        <family val="2"/>
      </rPr>
      <t>Nível 1 - 2.25.10 Requisito: Manter um programa de educação permanente alinhado às necessidades da jornada do paciente, promovendo práticas seguras</t>
    </r>
  </si>
  <si>
    <r>
      <rPr>
        <sz val="10"/>
        <rFont val="Arial MT"/>
        <family val="2"/>
      </rPr>
      <t>Nível 1 - 2.25.11 Requisito: Sustentar a integração do cuidado e a continuidade assistencial ao longo da jornada do paciente, promovendo transições seguras</t>
    </r>
  </si>
  <si>
    <r>
      <rPr>
        <sz val="10"/>
        <rFont val="Arial MT"/>
        <family val="2"/>
      </rPr>
      <t>Nível 1 - 2.25.12 Requisito: Estimular a equipe a registrar circunstâncias de risco, quase erros, eventos sem danos, eventos adversos, reações adversas (CORE)</t>
    </r>
  </si>
  <si>
    <r>
      <rPr>
        <sz val="10"/>
        <rFont val="Arial MT"/>
        <family val="2"/>
      </rPr>
      <t>Nível 1 - 2.25.13 Requisito: Estruturar, qualificar e monitorar a atuação da equipe multiprofissional, de acordo com o perfil de pacientes, de forma integrada</t>
    </r>
  </si>
  <si>
    <r>
      <rPr>
        <sz val="10"/>
        <rFont val="Arial MT"/>
        <family val="2"/>
      </rPr>
      <t>Nível 1 - 2.25.14 Requisito: Identificar, acolher e acompanhar de forma segura e integrada as vulnerabilidades individuais e sociais dos pacientes ao longo</t>
    </r>
  </si>
  <si>
    <r>
      <rPr>
        <sz val="10"/>
        <rFont val="Arial MT"/>
        <family val="2"/>
      </rPr>
      <t>Nível 1 - 2.25.15 Requisito: Cumprir as diretrizes do PGRSS (Plano de Gerenciamento de Resíduos de Serviços de Saúde), minimizando o impacto ambiental</t>
    </r>
  </si>
  <si>
    <r>
      <rPr>
        <sz val="10"/>
        <rFont val="Arial MT"/>
        <family val="2"/>
      </rPr>
      <t>Nível 2 - 2.26.1 Requisito: Gerenciar de forma estruturada as interações entre processos, clientes e fornecedores, contemplando responsabilidades, direitos</t>
    </r>
  </si>
  <si>
    <r>
      <rPr>
        <sz val="10"/>
        <rFont val="Arial MT"/>
        <family val="2"/>
      </rPr>
      <t xml:space="preserve">ONA 2026:
</t>
    </r>
    <r>
      <rPr>
        <sz val="10"/>
        <rFont val="Arial MT"/>
        <family val="2"/>
      </rPr>
      <t>Subseção 2.26 Requisitos de Nível 2</t>
    </r>
  </si>
  <si>
    <r>
      <rPr>
        <sz val="10"/>
        <rFont val="Arial MT"/>
        <family val="2"/>
      </rPr>
      <t>Nível 2 - 2.26.2 Requisito: Gerenciar e avaliar o desempenho dos processos, promovendo análise crítica e ações (CORE)</t>
    </r>
  </si>
  <si>
    <r>
      <rPr>
        <sz val="10"/>
        <rFont val="Arial MT"/>
        <family val="2"/>
      </rPr>
      <t>Nível 2 - 2.26.3 Requisito: Gerenciar os riscos assistenciais dos processos, avaliando o impacto das ações preventivas na assistência aos pacientes (CORE)</t>
    </r>
  </si>
  <si>
    <r>
      <rPr>
        <sz val="10"/>
        <rFont val="Arial MT"/>
        <family val="2"/>
      </rPr>
      <t>Nível 2 - 2.26.4 Requisito: Gerenciar e analisar os resultados dos protocolos assistenciais, identificando causas de não conformidade e promovendo ações (CORE)</t>
    </r>
  </si>
  <si>
    <r>
      <rPr>
        <sz val="10"/>
        <rFont val="Arial MT"/>
        <family val="2"/>
      </rPr>
      <t>Nível 2 - 2.26.5 Requisito: Gerenciar a aplicabilidade e o impacto do plano terapêutico, identificando causas de falhas e promovendo ações de melhoria</t>
    </r>
  </si>
  <si>
    <r>
      <rPr>
        <sz val="10"/>
        <rFont val="Arial MT"/>
        <family val="2"/>
      </rPr>
      <t>Nível 2 - 2.26.6 Requisito: Utilizar de forma sistemática a escuta ativa e manifestações de pacientes, acompanhantes e equipe multiprofissional para análise</t>
    </r>
  </si>
  <si>
    <r>
      <rPr>
        <sz val="10"/>
        <rFont val="Arial MT"/>
        <family val="2"/>
      </rPr>
      <t>Nível 2 - 2.26.7 Requisito: Gerenciar de forma sistemática os resultados das auditorias internas e externas, sejam elas clínicas ou de processos</t>
    </r>
  </si>
  <si>
    <r>
      <rPr>
        <sz val="10"/>
        <rFont val="Arial MT"/>
        <family val="2"/>
      </rPr>
      <t>Nível 2 - 2.26.8 Requisito: Utilizar os resultados de investigações de eventos e não conformidades para promover ações com base em causas identificadas.</t>
    </r>
  </si>
  <si>
    <r>
      <rPr>
        <sz val="10"/>
        <rFont val="Arial MT"/>
        <family val="2"/>
      </rPr>
      <t>Nível 2 - 2.26.9 Requisito: Monitorar, de forma integrada, os pontos críticos de transição da jornada do paciente, identificando as vulnerabilidades</t>
    </r>
  </si>
  <si>
    <r>
      <rPr>
        <sz val="10"/>
        <rFont val="Arial MT"/>
        <family val="2"/>
      </rPr>
      <t>Nível 2 - 2.26.10 Requisito: Monitorar faltosos, adesão ao tratamento, desfechos clínicos e readmissões não planejadas, promovendo análise crítica e ações</t>
    </r>
  </si>
  <si>
    <r>
      <rPr>
        <sz val="10"/>
        <rFont val="Arial MT"/>
        <family val="2"/>
      </rPr>
      <t>Nível 3 - 2.27.1 Requisito: Aplicar ciclos estruturados de melhoria contínua ao longo da jornada do paciente gerando impacto relevante e sustentável (CORE)</t>
    </r>
  </si>
  <si>
    <r>
      <rPr>
        <sz val="10"/>
        <rFont val="Arial MT"/>
        <family val="2"/>
      </rPr>
      <t xml:space="preserve">ONA 2026:
</t>
    </r>
    <r>
      <rPr>
        <sz val="10"/>
        <rFont val="Arial MT"/>
        <family val="2"/>
      </rPr>
      <t>Subseção 2.27 Requisitos de Nível 3</t>
    </r>
  </si>
  <si>
    <r>
      <rPr>
        <sz val="10"/>
        <rFont val="Arial MT"/>
        <family val="2"/>
      </rPr>
      <t>Nível 3 - 2.27.2 Requisito: Utilizar a experiência do paciente e a percepção de segurança como insumo estratégico para redesenhar processos da jornada com foco</t>
    </r>
  </si>
  <si>
    <r>
      <rPr>
        <sz val="10"/>
        <rFont val="Arial MT"/>
        <family val="2"/>
      </rPr>
      <t>Nível 3 - 2.27.3 Requisito: Avaliar sistematicamente a efetividade das ações implantadas na jornada do paciente, garantindo que os resultados sejam sustentáveis</t>
    </r>
  </si>
  <si>
    <r>
      <rPr>
        <sz val="10"/>
        <rFont val="Arial MT"/>
        <family val="2"/>
      </rPr>
      <t>Nível 3 - 2.27.4 Requisito: Consolidar uma cultura organizacional de aprendizagem contínua a partir da jornada do paciente, com envolvimento ativo da liderança,</t>
    </r>
  </si>
  <si>
    <r>
      <rPr>
        <sz val="10"/>
        <rFont val="Arial MT"/>
        <family val="2"/>
      </rPr>
      <t>Nível 3 - 2.27.5 Requisito: Promover ciclo de melhoria a partir dos desfechos clínicos, considerando a experiência e os valores dos pacientes pra decisão (CORE)</t>
    </r>
  </si>
  <si>
    <r>
      <rPr>
        <sz val="10"/>
        <rFont val="Arial MT"/>
        <family val="2"/>
      </rPr>
      <t>Nível 3 - 2.27.6 Requisito: Promover, avaliar e consolidar a cultura de inovação com mudanças estruturadas nos processos institucionais, assegurando impactos po</t>
    </r>
  </si>
  <si>
    <r>
      <rPr>
        <sz val="10"/>
        <rFont val="Arial MT"/>
        <family val="2"/>
      </rPr>
      <t>Nível 3 - 2.27.7 Requisito: Gerenciar a efetividade das ações de prevenção definidas frente aos riscos dos processos (CORE)</t>
    </r>
  </si>
  <si>
    <r>
      <rPr>
        <sz val="10"/>
        <rFont val="Arial MT"/>
        <family val="2"/>
      </rPr>
      <t>Nível 1 - 3.1.1 Requisito: Dispor de procedimentos e protocolos formalizados, padronizados e monitorados para o atendimento ao paciente/usuário</t>
    </r>
  </si>
  <si>
    <r>
      <rPr>
        <sz val="10"/>
        <rFont val="Arial MT"/>
        <family val="2"/>
      </rPr>
      <t xml:space="preserve">ONA 2026:
</t>
    </r>
    <r>
      <rPr>
        <sz val="10"/>
        <rFont val="Arial MT"/>
        <family val="2"/>
      </rPr>
      <t>Subseção 3.1 Serviços de Análises Clínicas</t>
    </r>
  </si>
  <si>
    <r>
      <rPr>
        <sz val="10"/>
        <rFont val="Arial MT"/>
        <family val="2"/>
      </rPr>
      <t>Nível 1 - 3.1.2 Requisito: Estabelecer procedimentos padronizados, formais e rastreáveis que assegurem o atendimento prioritário, a execução e liberação (CORE)</t>
    </r>
  </si>
  <si>
    <r>
      <rPr>
        <sz val="10"/>
        <rFont val="Arial MT"/>
        <family val="2"/>
      </rPr>
      <t>Nível 1 - 3.1.3 Requisito: Estabelecer procedimentos formalizados e atualizados, baseados em boas práticas laboratoriais e evidências científicas</t>
    </r>
  </si>
  <si>
    <r>
      <rPr>
        <sz val="10"/>
        <rFont val="Arial MT"/>
        <family val="2"/>
      </rPr>
      <t>Nível 1 - 3.1.4 Requisito: Estabelecer, implementar e disseminar procedimentos padronizados para o preparo dos pacientes na realização dos exames laboratoriais</t>
    </r>
  </si>
  <si>
    <r>
      <rPr>
        <sz val="10"/>
        <rFont val="Arial MT"/>
        <family val="2"/>
      </rPr>
      <t>Nível 1 - 3.1.5 Requisito: Estabelecer, implementar e garantir o uso do TCLE (Termo de Consentimento Livre e Esclarecido) para a realização de exames laborato</t>
    </r>
  </si>
  <si>
    <r>
      <rPr>
        <sz val="10"/>
        <rFont val="Arial MT"/>
        <family val="2"/>
      </rPr>
      <t>Nível 1 - 3.1.6 Requisito: Estabelecer e implementar uma sistemática que assegure a rastreabilidade, conservação, estabilidade, armazenamento e descarte</t>
    </r>
  </si>
  <si>
    <r>
      <rPr>
        <sz val="10"/>
        <rFont val="Arial MT"/>
        <family val="2"/>
      </rPr>
      <t>Nível 1 - 3.1.7 Requisito: Estabelecer e implementar procedimentos específicos e seguros para o transporte de materiais biológicos, assegurando sua integridade</t>
    </r>
  </si>
  <si>
    <r>
      <rPr>
        <sz val="10"/>
        <rFont val="Arial MT"/>
        <family val="2"/>
      </rPr>
      <t>Nível 1 - 3.1.8 Requisito: Estabelecer e implementar critérios claros, objetivos e documentados para aceitação, restrição ou rejeição de materiais (CORE)</t>
    </r>
  </si>
  <si>
    <r>
      <rPr>
        <sz val="10"/>
        <rFont val="Arial MT"/>
        <family val="2"/>
      </rPr>
      <t>Nível 1 - 3.1.9 Requisito: Estabelecer e implementar procedimentos específicos para o atendimento de situações de urgência, emergência e intercorrências</t>
    </r>
  </si>
  <si>
    <r>
      <rPr>
        <sz val="10"/>
        <rFont val="Arial MT"/>
        <family val="2"/>
      </rPr>
      <t>Nível 1 - 3.1.10 Requisito: Estabelecer e implementar o controle de qualidade interno, considerando as regras de validação.</t>
    </r>
  </si>
  <si>
    <r>
      <rPr>
        <sz val="10"/>
        <rFont val="Arial MT"/>
        <family val="2"/>
      </rPr>
      <t>Nível 1 - 3.1.11 Requisito: O laboratório deve participar de programas externos de avaliação da qualidade reconhecidos, abrangendo os diferentes tipos de exames</t>
    </r>
  </si>
  <si>
    <r>
      <rPr>
        <sz val="10"/>
        <rFont val="Arial MT"/>
        <family val="2"/>
      </rPr>
      <t>Nível 1 - 3.1.12 Requisito: Estabelecer e implementar uma sistemática para a realização de testes laboratoriais remotos, assegurando a padronização, rastrear</t>
    </r>
  </si>
  <si>
    <r>
      <rPr>
        <sz val="10"/>
        <rFont val="Arial MT"/>
        <family val="2"/>
      </rPr>
      <t>Nível 1 - 3.1.13 Requisito: Estabelecer e implementar critérios e procedimentos para avaliação da qualidade da água reagente, de acordo com as metodologias</t>
    </r>
  </si>
  <si>
    <r>
      <rPr>
        <sz val="10"/>
        <rFont val="Arial MT"/>
        <family val="2"/>
      </rPr>
      <t>Nível 1 - 3.1.14 Requisito: Estabelecer, implementar e manter uma sistemática para a identificação, comunicação e acompanhamento dos resultados críticos (CORE)</t>
    </r>
  </si>
  <si>
    <r>
      <rPr>
        <sz val="10"/>
        <rFont val="Arial MT"/>
        <family val="2"/>
      </rPr>
      <t>Nível 1 - 3.1.15 Requisito: Estabelecer, implementar e cumprir um procedimento formal para a comunicação de resultados laboratoriais relacionados a doenças</t>
    </r>
  </si>
  <si>
    <r>
      <rPr>
        <sz val="10"/>
        <rFont val="Arial MT"/>
        <family val="2"/>
      </rPr>
      <t>Nível 1 - 3.1.16 Requisito: Estabelecer, implementar e manter uma sistemática para a emissão de resultados parciais, assegurando a rastreabilidade, a segurança</t>
    </r>
  </si>
  <si>
    <r>
      <rPr>
        <sz val="10"/>
        <rFont val="Arial MT"/>
        <family val="2"/>
      </rPr>
      <t>Nível 1 - 3.2.1 Requisito: Dispor de mecanismos estruturados para a obtenção e registro das informações clínicas relevantes, bem como da topografia anatômica</t>
    </r>
  </si>
  <si>
    <r>
      <rPr>
        <sz val="10"/>
        <rFont val="Arial MT"/>
        <family val="2"/>
      </rPr>
      <t xml:space="preserve">ONA 2026:
</t>
    </r>
    <r>
      <rPr>
        <sz val="10"/>
        <rFont val="Arial MT"/>
        <family val="2"/>
      </rPr>
      <t>Subseção 3.2 Anatomia Patológica</t>
    </r>
  </si>
  <si>
    <r>
      <rPr>
        <sz val="10"/>
        <rFont val="Arial MT"/>
        <family val="2"/>
      </rPr>
      <t>Nível 1 - 3.2.2 Requisito: Disponibilizar e implementar procedimentos para avaliar e garantir a integridade e a estabilidade das amostras de material (CORE)</t>
    </r>
  </si>
  <si>
    <r>
      <rPr>
        <sz val="10"/>
        <rFont val="Arial MT"/>
        <family val="2"/>
      </rPr>
      <t>Nível 1 - 3.2.3 Requisito: Estabelecer critérios, monitorar e acompanhar sistematicamente a qualidade da água utilizada nos processos dos Serviços de Anatomia</t>
    </r>
  </si>
  <si>
    <r>
      <rPr>
        <sz val="10"/>
        <rFont val="Arial MT"/>
        <family val="2"/>
      </rPr>
      <t>Nível 1 - 3.2.4 Requisito: Estabelecer e implementar sistemática de controle interno de qualidade, assegurando a rastreabilidade, a consistência e a confiabilid</t>
    </r>
  </si>
  <si>
    <r>
      <rPr>
        <sz val="10"/>
        <rFont val="Arial MT"/>
        <family val="2"/>
      </rPr>
      <t>Nível 1 - 3.2.5 Requisito: Participar de programas de avaliação externa da qualidade e realizar a análise contínua dos resultados, visando ao aprimoramento</t>
    </r>
  </si>
  <si>
    <r>
      <rPr>
        <sz val="10"/>
        <rFont val="Arial MT"/>
        <family val="2"/>
      </rPr>
      <t>Nível 1 - 3.2.6 Requisito: Disponibilizar mecanismos que permitam o acesso seguro e ágil ao histórico de laudos e exames anteriormente realizados</t>
    </r>
  </si>
  <si>
    <r>
      <rPr>
        <sz val="10"/>
        <rFont val="Arial MT"/>
        <family val="2"/>
      </rPr>
      <t>Nível 1 - 3.2.7 Requisito: Dispor de sistemática estruturada para avaliação da concordância na interpretação de exames, assegurando a confiabilidade diagnóstica</t>
    </r>
  </si>
  <si>
    <r>
      <rPr>
        <sz val="10"/>
        <rFont val="Arial MT"/>
        <family val="2"/>
      </rPr>
      <t>Nível 1 - 3.2.8 Requisito: Estabelecer e implementar procedimentos formais para a notificação de achados críticos, de acordo com o perfil assistencial (CORE)</t>
    </r>
  </si>
  <si>
    <r>
      <rPr>
        <sz val="10"/>
        <rFont val="Arial MT"/>
        <family val="2"/>
      </rPr>
      <t>Nível 1 - 3.2.9 Requisito: Estabelecer e implementar mecanismos para a emissão de resultados parciais, assegurando a comunicação tempestiva e segura das informa</t>
    </r>
  </si>
  <si>
    <r>
      <rPr>
        <sz val="10"/>
        <rFont val="Arial MT"/>
        <family val="2"/>
      </rPr>
      <t>Nível 1 - 3.2.10 Requisito: Estabelecer e implementar critérios e prazos para o arquivamento e descarte das amostras, peças anatômicas, blocos, lâminas, laudos</t>
    </r>
  </si>
  <si>
    <r>
      <rPr>
        <sz val="10"/>
        <rFont val="Arial MT"/>
        <family val="2"/>
      </rPr>
      <t>Nível 1 - 3.2.11 Requisito: Dispor de procedimentos definidos para o atendimento a intercorrências clínicas durante a coleta de material biológico, assegurando</t>
    </r>
  </si>
  <si>
    <r>
      <rPr>
        <sz val="10"/>
        <rFont val="Arial MT"/>
        <family val="2"/>
      </rPr>
      <t>Nível 1 - 3.3.1 Requisito: Identificar os riscos assistenciais do paciente/usuários e estabelecer ações de prevenção visando à redução da probabilidade</t>
    </r>
  </si>
  <si>
    <r>
      <rPr>
        <sz val="10"/>
        <rFont val="Arial MT"/>
        <family val="2"/>
      </rPr>
      <t xml:space="preserve">ONA 2026:
</t>
    </r>
    <r>
      <rPr>
        <sz val="10"/>
        <rFont val="Arial MT"/>
        <family val="2"/>
      </rPr>
      <t>Subseção 3.3 Métodos Gráficos</t>
    </r>
  </si>
  <si>
    <r>
      <rPr>
        <sz val="10"/>
        <rFont val="Arial MT"/>
        <family val="2"/>
      </rPr>
      <t>Nível 1 - 3.3.2 Requisito: Aplicar TCLE (Termo de Consentimento Livre e Esclarecido) para procedimentos em Métodos Gráficos que envolvam riscos potenciais</t>
    </r>
  </si>
  <si>
    <r>
      <rPr>
        <sz val="10"/>
        <rFont val="Arial MT"/>
        <family val="2"/>
      </rPr>
      <t>Nível 1 - 3.3.3 Requisito: Estabelecer, implementar e manter protocolos de atenção ao paciente de alto risco, assegurando resposta rápida eficaz e segura (CORE)</t>
    </r>
  </si>
  <si>
    <r>
      <rPr>
        <sz val="10"/>
        <rFont val="Arial MT"/>
        <family val="2"/>
      </rPr>
      <t>Nível 1 - 3.3.4 Requisito: Definir, documentar e implementar critérios e procedimentos para a interrupção segura de testes, assegurando a proteção do pac (CORE)</t>
    </r>
  </si>
  <si>
    <r>
      <rPr>
        <sz val="10"/>
        <rFont val="Arial MT"/>
        <family val="2"/>
      </rPr>
      <t>Nível 1 - 3.3.5 Requisito: Estabelecer, manter atualizados e acompanhar a implementação dos protocolos e procedimentos para Métodos Gráficos</t>
    </r>
  </si>
  <si>
    <r>
      <rPr>
        <sz val="10"/>
        <rFont val="Arial MT"/>
        <family val="2"/>
      </rPr>
      <t>Nível 1 - 3.3.6 Requisito: Dispor de critérios e procedimentos definidos para a emissão, validação e comunicação de resultados parciais provenientes de Métodos</t>
    </r>
  </si>
  <si>
    <r>
      <rPr>
        <sz val="10"/>
        <rFont val="Arial MT"/>
        <family val="2"/>
      </rPr>
      <t>Nível 1 - 3.3.7 Requisito: Dispor de fluxo estruturado para o atendimento de situações de urgência e emergência, estejam ou não relacionadas aos exames</t>
    </r>
  </si>
  <si>
    <r>
      <rPr>
        <sz val="10"/>
        <rFont val="Arial MT"/>
        <family val="2"/>
      </rPr>
      <t>Nível 1 - 3.4.1 Requisito: identificar, avaliar e monitorar os riscos com potencial impacto assistencial, adotando ações preventivas (CORE)</t>
    </r>
  </si>
  <si>
    <r>
      <rPr>
        <sz val="10"/>
        <rFont val="Arial MT"/>
        <family val="2"/>
      </rPr>
      <t xml:space="preserve">ONA 2026:
</t>
    </r>
    <r>
      <rPr>
        <sz val="10"/>
        <rFont val="Arial MT"/>
        <family val="2"/>
      </rPr>
      <t>Subseção 3.4 Diagnóstico por Imagem</t>
    </r>
  </si>
  <si>
    <r>
      <rPr>
        <sz val="10"/>
        <rFont val="Arial MT"/>
        <family val="2"/>
      </rPr>
      <t>Nível 1 - 3.4.2 Requisito: Assegurar que o TCLE (Termo de Consentimento Livre e Esclarecido) seja aplicado e formalizado antes da realização de procedimentos</t>
    </r>
  </si>
  <si>
    <r>
      <rPr>
        <sz val="10"/>
        <rFont val="Arial MT"/>
        <family val="2"/>
      </rPr>
      <t>Nível 1 - 3.4.3 Requisito: Aplicar o TCLE (Termo de Consentimento Livre e Esclarecido) Anestésico antes da realização de qualquer procedimento que envolva sedaç</t>
    </r>
  </si>
  <si>
    <r>
      <rPr>
        <sz val="10"/>
        <rFont val="Arial MT"/>
        <family val="2"/>
      </rPr>
      <t>Nível 1 - 3.4.4 Requisito: Estabelecer, revisar periodicamente e aplicar protocolos de Diagnóstico por Imagem baseados em diretrizes clínicas reconhecidas</t>
    </r>
  </si>
  <si>
    <r>
      <rPr>
        <sz val="10"/>
        <rFont val="Arial MT"/>
        <family val="2"/>
      </rPr>
      <t>Nível 1 - 3.4.5 Requisito: Dispor e aplicar protocolo de segurança para o processo de anestesia e/ou sedação, contemplando todas as etapas</t>
    </r>
  </si>
  <si>
    <r>
      <rPr>
        <sz val="10"/>
        <rFont val="Arial MT"/>
        <family val="2"/>
      </rPr>
      <t>Nível 1 - 3.4.6 Requisito: Dispor de sistemática formal e padronizada que assegure a concordância e consistência nas interpretações de exames de imagem</t>
    </r>
  </si>
  <si>
    <r>
      <rPr>
        <sz val="10"/>
        <rFont val="Arial MT"/>
        <family val="2"/>
      </rPr>
      <t>Nível 1 - 3.4.7 Requisito: Estabelecer processos formalizados e rastreáveis para a emissão e comunicação de resultados parciais de exames de Diagnóstico</t>
    </r>
  </si>
  <si>
    <r>
      <rPr>
        <sz val="10"/>
        <rFont val="Arial MT"/>
        <family val="2"/>
      </rPr>
      <t>Nível 1 - 3.4.8 Requisito: Estabelecer, implementar e manter uma sistemática formal de identificação e comunicação de resultados críticos (CORE)</t>
    </r>
  </si>
  <si>
    <r>
      <rPr>
        <sz val="10"/>
        <rFont val="Arial MT"/>
        <family val="2"/>
      </rPr>
      <t>Nível 1 - 3.4.9 Requisito: Assegurar que as decisões assistenciais relacionadas aos procedimentos de diagnóstico por imagem sejam compartilhadas e registradas</t>
    </r>
  </si>
  <si>
    <r>
      <rPr>
        <sz val="10"/>
        <rFont val="Arial MT"/>
        <family val="2"/>
      </rPr>
      <t>Nível 1 - 3.4.10 Requisito: Estabelecer e cumprir o Programa de Proteção Radiológica e Segurança em Diagnóstico por Imagem</t>
    </r>
  </si>
  <si>
    <r>
      <rPr>
        <sz val="10"/>
        <rFont val="Arial MT"/>
        <family val="2"/>
      </rPr>
      <t>Nível 1 - 3.4.11 Requisito: Estabelecer fluxos padronizados para o atendimento a situações de urgência e emergência, sejam elas decorrentes dos exames</t>
    </r>
  </si>
  <si>
    <r>
      <rPr>
        <sz val="10"/>
        <rFont val="Arial MT"/>
        <family val="2"/>
      </rPr>
      <t>Nível 1 - 3.4.12 Requisito: Dispor de mecanismos formais e procedimentos padronizados que assegurem a identificação adequada, conservação, rastreabilidade</t>
    </r>
  </si>
  <si>
    <r>
      <rPr>
        <sz val="10"/>
        <rFont val="Arial MT"/>
        <family val="2"/>
      </rPr>
      <t>3.8.1 Requisito: Identificar os riscos assistenciais dos pacientes e usuários e estabelecer ações de prevenção, visando à redução de incidentes (CORE)</t>
    </r>
  </si>
  <si>
    <r>
      <rPr>
        <sz val="10"/>
        <rFont val="Arial MT"/>
        <family val="2"/>
      </rPr>
      <t xml:space="preserve">ONA 2026:
</t>
    </r>
    <r>
      <rPr>
        <sz val="10"/>
        <rFont val="Arial MT"/>
        <family val="2"/>
      </rPr>
      <t>Subseção 3.8 Hemoterapia</t>
    </r>
  </si>
  <si>
    <r>
      <rPr>
        <sz val="10"/>
        <rFont val="Arial MT"/>
        <family val="2"/>
      </rPr>
      <t>3.8.2 Requisito: Dispor de mecanismos e procedimentos validados para o recebimento, identificação, armazenamento, conservação, transporte, rastreabilidade</t>
    </r>
  </si>
  <si>
    <r>
      <rPr>
        <sz val="10"/>
        <rFont val="Arial MT"/>
        <family val="2"/>
      </rPr>
      <t>3.8.3 Requisito: Dispor de mecanismos e procedimentos validados para transporte e rastreabilidade de amostras biológicas e hemocomponentes</t>
    </r>
  </si>
  <si>
    <r>
      <rPr>
        <sz val="10"/>
        <rFont val="Arial MT"/>
        <family val="2"/>
      </rPr>
      <t>3.8.4 Requisito: Dispor de sistemática para mobilizar doadores, considerando o estoque, a demanda de atendimento, a infraestrutura de armazenamento, processamen</t>
    </r>
  </si>
  <si>
    <r>
      <rPr>
        <sz val="10"/>
        <rFont val="Arial MT"/>
        <family val="2"/>
      </rPr>
      <t>3.8.5 Requisito: Apresentar as estratégias adotadas e os canais de comunicação implementados para manter contato eficaz e contínuo com os doadores de sangue, a</t>
    </r>
  </si>
  <si>
    <r>
      <rPr>
        <sz val="10"/>
        <rFont val="Arial MT"/>
        <family val="2"/>
      </rPr>
      <t>3.8.6 Requisito: Dispor de sistemática para o cadastramento adequado do doador, considerando suas características individuais e diversidades</t>
    </r>
  </si>
  <si>
    <r>
      <rPr>
        <sz val="10"/>
        <rFont val="Arial MT"/>
        <family val="2"/>
      </rPr>
      <t>3.8.7 Requisito: Disponibilizar procedimento formalizado para o esclarecimento do doador ou responsável acerca dos procedimentos inerentes à doação sanguínea.</t>
    </r>
  </si>
  <si>
    <r>
      <rPr>
        <sz val="10"/>
        <rFont val="Arial MT"/>
        <family val="2"/>
      </rPr>
      <t>3.8.8 Requisito: Dispor de procedimentos para a realização da triagem hematológica, considerando boas práticas e evidências científicas.</t>
    </r>
  </si>
  <si>
    <r>
      <rPr>
        <sz val="10"/>
        <rFont val="Arial MT"/>
        <family val="2"/>
      </rPr>
      <t>3.8.9 Requisito: Dispor de procedimentos para a avaliação clínica do doador, fundamentados em diretrizes e evidências científicas atualizadas (CORE)</t>
    </r>
  </si>
  <si>
    <r>
      <rPr>
        <sz val="10"/>
        <rFont val="Arial MT"/>
        <family val="2"/>
      </rPr>
      <t>3.8.10 Requisito: Estabelecer critérios para a definição do volume e do tipo de doação, incluindo doações por aférese, com base na avaliação clínica do doador</t>
    </r>
  </si>
  <si>
    <r>
      <rPr>
        <sz val="10"/>
        <rFont val="Arial MT"/>
        <family val="2"/>
      </rPr>
      <t>3.8.11 Requisito: Atualizar as informações necessárias para a triagem dos doadores, com base em mudanças epidemiológicas e evidências científicas</t>
    </r>
  </si>
  <si>
    <r>
      <rPr>
        <sz val="10"/>
        <rFont val="Arial MT"/>
        <family val="2"/>
      </rPr>
      <t>3.8.12 Requisito: Dispor de infraestrutura segura para o atendimento do doador e o processo de doação</t>
    </r>
  </si>
  <si>
    <r>
      <rPr>
        <sz val="10"/>
        <rFont val="Arial MT"/>
        <family val="2"/>
      </rPr>
      <t>3.8.13 Requisito: Estabelecer protocolo para atendimento de urgências e emergências em casos de intercorrências, com base em diretrizes e evidências (CORE)</t>
    </r>
  </si>
  <si>
    <r>
      <rPr>
        <sz val="10"/>
        <rFont val="Arial MT"/>
        <family val="2"/>
      </rPr>
      <t>3.8.14 Requisito: Cumprir os critérios e procedimentos de segurança no processamento de hemocomponentes, incluindo os obtidos por aférese</t>
    </r>
  </si>
  <si>
    <r>
      <rPr>
        <sz val="10"/>
        <rFont val="Arial MT"/>
        <family val="2"/>
      </rPr>
      <t>3.8.15 Requisito: Cumprir os critérios e procedimentos de segurança para o armazenamento e liberação de hemocomponentes</t>
    </r>
  </si>
  <si>
    <r>
      <rPr>
        <sz val="10"/>
        <rFont val="Arial MT"/>
        <family val="2"/>
      </rPr>
      <t>3.8.16 Requisito: Estabelecer e cumprir procedimento para a comunicação dos resultados da triagem sorológica de doadores relacionados a doenças de notificação</t>
    </r>
  </si>
  <si>
    <r>
      <rPr>
        <sz val="10"/>
        <rFont val="Arial MT"/>
        <family val="2"/>
      </rPr>
      <t>3.8.17 Requisito: Atender às diretrizes para a identificação das amostras biológicas de pacientes e doadores.</t>
    </r>
  </si>
  <si>
    <r>
      <rPr>
        <sz val="10"/>
        <rFont val="Arial MT"/>
        <family val="2"/>
      </rPr>
      <t>3.8.18 Requisito: Estabelecer critérios que garantam a integridade e a estabilidade da amostra biológica</t>
    </r>
  </si>
  <si>
    <r>
      <rPr>
        <sz val="10"/>
        <rFont val="Arial MT"/>
        <family val="2"/>
      </rPr>
      <t>3.8.19 Requisito: Definir critérios para repetição de testes e liberação dos resultados.</t>
    </r>
  </si>
  <si>
    <r>
      <rPr>
        <sz val="10"/>
        <rFont val="Arial MT"/>
        <family val="2"/>
      </rPr>
      <t>3.8.20 Requisito: Realizar o controle de qualidade de hemocomponentes, identificando desvios e suas causas, com implementação das ações corretivas</t>
    </r>
  </si>
  <si>
    <r>
      <rPr>
        <sz val="10"/>
        <rFont val="Arial MT"/>
        <family val="2"/>
      </rPr>
      <t>3.8.21 Requisito: Estabelecer protocolos de solicitação e procedimentos hemoterápicos para cada tipo de hemocomponente e procedimentos especiais</t>
    </r>
  </si>
  <si>
    <r>
      <rPr>
        <sz val="10"/>
        <rFont val="Arial MT"/>
        <family val="2"/>
      </rPr>
      <t>3.8.22 Requisito: Manter registro sistemático do estoque de hemocomponentes e ajustes conforme a demanda.</t>
    </r>
  </si>
  <si>
    <r>
      <rPr>
        <sz val="10"/>
        <rFont val="Arial MT"/>
        <family val="2"/>
      </rPr>
      <t>3.8.23 Requisito: Definir e aplicar critérios de aceitabilidade para a reintegração de hemocomponentes ao estoque, após sua saída do banco de sangue.</t>
    </r>
  </si>
  <si>
    <r>
      <rPr>
        <sz val="10"/>
        <rFont val="Arial MT"/>
        <family val="2"/>
      </rPr>
      <t>3.8.24 Requisito: Estabelecer um Comitê Transfusional responsável pelo monitoramento das práticas hemoterápicas na instituição.</t>
    </r>
  </si>
  <si>
    <r>
      <rPr>
        <sz val="10"/>
        <rFont val="Arial MT"/>
        <family val="2"/>
      </rPr>
      <t>3.8.25 Requisito: Acompanhar o tempo de atendimento das transfusões, conforme a modalidade da solicitação médica</t>
    </r>
  </si>
  <si>
    <r>
      <rPr>
        <sz val="10"/>
        <rFont val="Arial MT"/>
        <family val="2"/>
      </rPr>
      <t>3.8.26 Requisito: Estabelecer protocolo de reserva cirúrgica conforme perfil da Instituição</t>
    </r>
  </si>
  <si>
    <r>
      <rPr>
        <sz val="10"/>
        <rFont val="Arial MT"/>
        <family val="2"/>
      </rPr>
      <t>3.8.27 Requisito: Monitorar a utilização dos hemocomponentes das reservas cirúrgicas para elaboração e revisão periódica do protocolo de reserva</t>
    </r>
  </si>
  <si>
    <r>
      <rPr>
        <sz val="10"/>
        <rFont val="Arial MT"/>
        <family val="2"/>
      </rPr>
      <t>3.8.28 Requisito: Compartilhar com pacientes, usuários e/ou acompanhantes as decisões</t>
    </r>
  </si>
  <si>
    <r>
      <rPr>
        <sz val="10"/>
        <rFont val="Arial MT"/>
        <family val="2"/>
      </rPr>
      <t>3.9.1 Requisito: A organização deve identificar, analisar e manter atualizados o perfil de pacientes e o perfil de atendimento do serviço, de forma a subsidiar</t>
    </r>
  </si>
  <si>
    <r>
      <rPr>
        <sz val="10"/>
        <rFont val="Arial MT"/>
        <family val="2"/>
      </rPr>
      <t xml:space="preserve">ONA 2026:
</t>
    </r>
    <r>
      <rPr>
        <sz val="10"/>
        <rFont val="Arial MT"/>
        <family val="2"/>
      </rPr>
      <t>Subseção 3.9 Requisitos Transversais</t>
    </r>
  </si>
  <si>
    <r>
      <rPr>
        <sz val="10"/>
        <rFont val="Arial MT"/>
        <family val="2"/>
      </rPr>
      <t>3.9.2 Requisito: Planejar as atividades levando em conta as condições operacionais, físicas, logísticas e tecnológicas disponíveis</t>
    </r>
  </si>
  <si>
    <r>
      <rPr>
        <sz val="10"/>
        <rFont val="Arial MT"/>
        <family val="2"/>
      </rPr>
      <t>3.9.3 Requisito: Dispor de método estruturado para o agendamento dos exames e procedimentos dos SADT (Serviços de Apoio Diagnóstico e Terapêutico)</t>
    </r>
  </si>
  <si>
    <r>
      <rPr>
        <sz val="10"/>
        <rFont val="Arial MT"/>
        <family val="2"/>
      </rPr>
      <t>3.9.4 Requisito: Dispor de sistemáticas definidas para o atendimento e a priorização de demandas, com critérios claros que orientem a organização do fluxo</t>
    </r>
  </si>
  <si>
    <r>
      <rPr>
        <sz val="10"/>
        <rFont val="Arial MT"/>
        <family val="2"/>
      </rPr>
      <t>3.9.5 Requisito: Dimensionar adequadamente os recursos humanos, tecnológicos e insumos necessários à execução dos procedimentos diagnósticos e terapêuticos</t>
    </r>
  </si>
  <si>
    <r>
      <rPr>
        <sz val="10"/>
        <rFont val="Arial MT"/>
        <family val="2"/>
      </rPr>
      <t>3.9.6 Requisito: Acompanhar de forma sistemática a manutenção preventiva, corretiva e calibração de todos os equipamentos utilizados em procedimentos diag.</t>
    </r>
  </si>
  <si>
    <r>
      <rPr>
        <sz val="10"/>
        <rFont val="Arial MT"/>
        <family val="2"/>
      </rPr>
      <t>3.9.7 Requisito: Acompanhar de forma sistemática a manutenção preventiva e corretiva da infraestrutura física utilizada nos serviços de diagnóstico e terapia</t>
    </r>
  </si>
  <si>
    <r>
      <rPr>
        <sz val="10"/>
        <rFont val="Arial MT"/>
        <family val="2"/>
      </rPr>
      <t>3.9.8 Requisito: Dispor de profissionais com competências técnicas formação e capacitação compatíveis com os tipos de pacientes atendidos e com os procedimentos</t>
    </r>
  </si>
  <si>
    <r>
      <rPr>
        <sz val="10"/>
        <rFont val="Arial MT"/>
        <family val="2"/>
      </rPr>
      <t>3.9.9 Requisito: Identificar, avaliar e acompanhar os riscos inerentes aos seus processos diagnósticos e terapêuticos e suas interfaces com a jornada  (CORE)</t>
    </r>
  </si>
  <si>
    <r>
      <rPr>
        <sz val="10"/>
        <rFont val="Arial MT"/>
        <family val="2"/>
      </rPr>
      <t>3.9.10 Requisito: Cumprir e acompanhar a aplicação dos protocolos de segurança do paciente definidos pela organização, assegurando sua adequação (CORE)</t>
    </r>
  </si>
  <si>
    <r>
      <rPr>
        <sz val="10"/>
        <rFont val="Arial MT"/>
        <family val="2"/>
      </rPr>
      <t>3.9.11 Requisito: Estimular e assegurar que as equipes relatem, de forma ágil e segura, todas as circunstâncias de risco, quase erros, eventos sem danos (CORE)</t>
    </r>
  </si>
  <si>
    <r>
      <rPr>
        <sz val="10"/>
        <rFont val="Arial MT"/>
        <family val="2"/>
      </rPr>
      <t>3.9.12 Requisito: Participar do planejamento e da transição do cuidado, atuando de forma integrada com as equipes assistenciais para garantir que os exames</t>
    </r>
  </si>
  <si>
    <r>
      <rPr>
        <sz val="10"/>
        <rFont val="Arial MT"/>
        <family val="2"/>
      </rPr>
      <t>3.9.13 Requisito: Cumprir os protocolos de prevenção e Serviços de Controle de Infecção e/ou Biossegurança nos processos de SADT</t>
    </r>
  </si>
  <si>
    <r>
      <rPr>
        <sz val="10"/>
        <rFont val="Arial MT"/>
        <family val="2"/>
      </rPr>
      <t>3.9.14 Requisito: Cumprir integralmente as diretrizes do PGRSS (Programa de Gerenciamento de Resíduos de Serviços de Saúde) da organização</t>
    </r>
  </si>
  <si>
    <r>
      <rPr>
        <sz val="10"/>
        <rFont val="Arial MT"/>
        <family val="2"/>
      </rPr>
      <t>3.9.15 Requisito: Acompanhar sistematicamente a eficiência no uso de tecnologias, insumos e estrutura física, assegurando a utilização racional dos recursos</t>
    </r>
  </si>
  <si>
    <r>
      <rPr>
        <sz val="10"/>
        <rFont val="Arial MT"/>
        <family val="2"/>
      </rPr>
      <t>3.9.16 Requisito: Cumprir com os critérios e procedimentos de segurança estabelecidos para a utilização de equipamentos, medicamentos e materiais</t>
    </r>
  </si>
  <si>
    <r>
      <rPr>
        <sz val="10"/>
        <rFont val="Arial MT"/>
        <family val="2"/>
      </rPr>
      <t>3.9.17 Requisito: Estabelecer e assegurar que todas as etapas relacionadas à análise, transcrição, retificação, liberação e comunicação dos resultados de exames</t>
    </r>
  </si>
  <si>
    <r>
      <rPr>
        <sz val="10"/>
        <rFont val="Arial MT"/>
        <family val="2"/>
      </rPr>
      <t>3.9.18 Requisito: Dispor de critérios e controles formais para garantir a entrega segura, rastreável e confidencial dos resultados de exames e procedimentos</t>
    </r>
  </si>
  <si>
    <r>
      <rPr>
        <sz val="10"/>
        <rFont val="Arial MT"/>
        <family val="2"/>
      </rPr>
      <t>3.9.19 Requisito: Assegurar que todas as informações relacionadas ao atendimento do paciente sejam registradas de forma legível, íntegra, rastreável</t>
    </r>
  </si>
  <si>
    <r>
      <rPr>
        <sz val="10"/>
        <rFont val="Arial MT"/>
        <family val="2"/>
      </rPr>
      <t>3.9.20 Requisito: Assegurar que as transferências intra e extra-hospitalares de pacientes ocorram de forma planejada, segura e acompanhada</t>
    </r>
  </si>
  <si>
    <r>
      <rPr>
        <sz val="10"/>
        <rFont val="Arial MT"/>
        <family val="2"/>
      </rPr>
      <t>3.9.21 Requisito: Dispor de planos de contingência estruturados, atualizados e testados, que garantam a continuidade e a segurança das atividades diagnósticas</t>
    </r>
  </si>
  <si>
    <r>
      <rPr>
        <sz val="10"/>
        <rFont val="Arial MT"/>
        <family val="2"/>
      </rPr>
      <t>3.9.22 Requisito: Considerar as características individuais, clínicas e sociais dos pacientes em todas as etapas do atendimento assegurando condições adequadas</t>
    </r>
  </si>
  <si>
    <r>
      <rPr>
        <sz val="10"/>
        <rFont val="Arial MT"/>
        <family val="2"/>
      </rPr>
      <t>3.10.1 Requisito: Monitorar faltas, reagendamentos, adesão às orientações de preparo e repetição de exames, promovendo ações corretivas com foco na continuidade</t>
    </r>
  </si>
  <si>
    <r>
      <rPr>
        <sz val="10"/>
        <rFont val="Arial MT"/>
        <family val="2"/>
      </rPr>
      <t xml:space="preserve">ONA 2026:
</t>
    </r>
    <r>
      <rPr>
        <sz val="10"/>
        <rFont val="Arial MT"/>
        <family val="2"/>
      </rPr>
      <t>Subseção 3.10 Requisitos de Nível 2 - Seção 3 - Diagnóstico e Terapêutica</t>
    </r>
  </si>
  <si>
    <r>
      <rPr>
        <sz val="10"/>
        <rFont val="Arial MT"/>
        <family val="2"/>
      </rPr>
      <t>3.10.2 Requisito: Gerenciar os protocolos clínicos e procedimentos técnicos com base em evidência para a realização de exames e terapias,com precisão (CORE)</t>
    </r>
  </si>
  <si>
    <r>
      <rPr>
        <sz val="10"/>
        <rFont val="Arial MT"/>
        <family val="2"/>
      </rPr>
      <t>3.10.3 Requisito: Gerenciar riscos relacionados à realização de exames e procedimentos terapêuticos, foco na prevenção de eventos adversos e incidentes (CORE)</t>
    </r>
  </si>
  <si>
    <r>
      <rPr>
        <sz val="10"/>
        <rFont val="Arial MT"/>
        <family val="2"/>
      </rPr>
      <t>3.10. 4 Requisito: Gerenciar de forma estruturada os processos de SADT com impacto direto na jornada do paciente (CORE)</t>
    </r>
  </si>
  <si>
    <r>
      <rPr>
        <sz val="10"/>
        <rFont val="Arial MT"/>
        <family val="2"/>
      </rPr>
      <t>3.10.5 Requisito: Assegurar a integração efetiva entre as áreas de apoio diagnóstico e terapêutico e os serviços assistenciais, promovendo comunicação estrutura</t>
    </r>
  </si>
  <si>
    <r>
      <rPr>
        <sz val="10"/>
        <rFont val="Arial MT"/>
        <family val="2"/>
      </rPr>
      <t>3.10.6 Requisito: Incorporar a escuta ativa das partes interessadas no planejamento e aprimoramento dos processos de apoio.</t>
    </r>
  </si>
  <si>
    <r>
      <rPr>
        <sz val="10"/>
        <rFont val="Arial MT"/>
        <family val="2"/>
      </rPr>
      <t>3.10.7 Requisito: Gerenciar os prazos, entregas e interações dos processos de diagnóstico e terapêutica</t>
    </r>
  </si>
  <si>
    <r>
      <rPr>
        <sz val="10"/>
        <rFont val="Arial MT"/>
        <family val="2"/>
      </rPr>
      <t>3.10.8 Requisito: Gerenciar de forma sistemática os resultados das auditorias internas e externas, sejam elas clínicas ou de processos, assegurando a análise</t>
    </r>
  </si>
  <si>
    <r>
      <rPr>
        <sz val="10"/>
        <rFont val="Arial MT"/>
        <family val="2"/>
      </rPr>
      <t>3.10.9 Requisito: Gerenciar o processo de validação, liberação e entrega dos resultados de exames, assegurando que a comunicação ocorra de forma segura</t>
    </r>
  </si>
  <si>
    <r>
      <rPr>
        <sz val="10"/>
        <rFont val="Arial MT"/>
        <family val="2"/>
      </rPr>
      <t>3.11.1 Requisito: Integrar-se de forma estratégica e contínua à jornada do paciente, promovendo decisões clínicas mais seguras e desfechos assistenciais (CORE)</t>
    </r>
  </si>
  <si>
    <r>
      <rPr>
        <sz val="10"/>
        <rFont val="Arial MT"/>
        <family val="2"/>
      </rPr>
      <t xml:space="preserve">ONA 2026:
</t>
    </r>
    <r>
      <rPr>
        <sz val="10"/>
        <rFont val="Arial MT"/>
        <family val="2"/>
      </rPr>
      <t>Subseção 3.11 Requisitos Nível 3 - Seção 3 - Diagnóstico e Terapêutica</t>
    </r>
  </si>
  <si>
    <r>
      <rPr>
        <sz val="10"/>
        <rFont val="Arial MT"/>
        <family val="2"/>
      </rPr>
      <t>3.11.2 Requisito: Utilizar dados consolidados do SADT (Serviço de Apoio Diagnóstico e Terapêutico) para promover melhorias sustentadas e baseadas em valor.</t>
    </r>
  </si>
  <si>
    <r>
      <rPr>
        <sz val="10"/>
        <rFont val="Arial MT"/>
        <family val="2"/>
      </rPr>
      <t>3.11.3 Requisito: Implementar estratégias inovadoras e seguras no SADT (Serviço de Apoio Diagnóstico e Terapêutico), com uso de tecnologia, inteligência clínica</t>
    </r>
  </si>
  <si>
    <r>
      <rPr>
        <sz val="10"/>
        <rFont val="Arial MT"/>
        <family val="2"/>
      </rPr>
      <t>3.11.4 Requisito: Avaliar sistematicamente a efetividade dos processos de SADT (Serviço de Apoio Diagnóstico e Terapêutico), considerando o impacto na jornada</t>
    </r>
  </si>
  <si>
    <r>
      <rPr>
        <sz val="10"/>
        <rFont val="Arial MT"/>
        <family val="2"/>
      </rPr>
      <t>3.11.5 Requisito: Consolidar ciclos de melhoria contínua nos processos de SADT (Serviço de Apoio Diagnóstico e Terapêutico), com base em dados, riscos (CORE)</t>
    </r>
  </si>
  <si>
    <r>
      <rPr>
        <sz val="10"/>
        <rFont val="Arial MT"/>
        <family val="2"/>
      </rPr>
      <t>3.11.6 Requisito: Gerenciar a efetividade das ações de prevenção definidas frente aos riscos dos processos (CORE)</t>
    </r>
  </si>
  <si>
    <r>
      <rPr>
        <sz val="10"/>
        <rFont val="Arial MT"/>
        <family val="2"/>
      </rPr>
      <t>3.11.7 Requisito: Sustentar um ambiente favorável para a aprendizagem, cultura justa e colaboração entre as equipes</t>
    </r>
  </si>
  <si>
    <r>
      <rPr>
        <sz val="10"/>
        <rFont val="Arial MT"/>
        <family val="2"/>
      </rPr>
      <t>4.1.1 Requisito: Estabelecer critérios para instalação dos equipamentos, desde o planejamento de aquisição até a instalação,e a validação da execução (CORE)</t>
    </r>
  </si>
  <si>
    <r>
      <rPr>
        <sz val="10"/>
        <rFont val="Arial MT"/>
        <family val="2"/>
      </rPr>
      <t xml:space="preserve">ONA 2026:
</t>
    </r>
    <r>
      <rPr>
        <sz val="10"/>
        <rFont val="Arial MT"/>
        <family val="2"/>
      </rPr>
      <t>Subseção 4.1 Gestão de Equipamentos e Tecnologia Médico-Hospitalar</t>
    </r>
  </si>
  <si>
    <r>
      <rPr>
        <sz val="10"/>
        <rFont val="Arial MT"/>
        <family val="2"/>
      </rPr>
      <t>Gustavo Cintra Silva</t>
    </r>
  </si>
  <si>
    <r>
      <rPr>
        <sz val="10"/>
        <rFont val="Arial MT"/>
        <family val="2"/>
      </rPr>
      <t>4.1.2 Requisito: Estabelecer critérios para a aquisição e incorporação de novas tecnologias</t>
    </r>
  </si>
  <si>
    <r>
      <rPr>
        <sz val="10"/>
        <rFont val="Arial MT"/>
        <family val="2"/>
      </rPr>
      <t>4.1.3 Requisito: Estabelecer critérios e procedimentos de segurança para a utilização de equipamentos, fundamentados em diretrizes técnicas e evidências</t>
    </r>
  </si>
  <si>
    <r>
      <rPr>
        <sz val="10"/>
        <rFont val="Arial MT"/>
        <family val="2"/>
      </rPr>
      <t>4.1.4 Requisito: Capacitar os clientes internos para o uso seguro e adequado dos equipamentos (CORE)</t>
    </r>
  </si>
  <si>
    <r>
      <rPr>
        <sz val="10"/>
        <rFont val="Arial MT"/>
        <family val="2"/>
      </rPr>
      <t>4.1.5 Requisito: Dispor de informações técnico-operacionais atualizadas e do histórico do parque tecnológico</t>
    </r>
  </si>
  <si>
    <r>
      <rPr>
        <sz val="10"/>
        <rFont val="Arial MT"/>
        <family val="2"/>
      </rPr>
      <t>4.1.6 Requisito: Manter o controle do inventário de equipamentos atualizado</t>
    </r>
  </si>
  <si>
    <r>
      <rPr>
        <sz val="10"/>
        <rFont val="Arial MT"/>
        <family val="2"/>
      </rPr>
      <t>4.1.7 Requisito: Dispor de mecanismos e procedimentos para a rastreabilidade de equipamentos.</t>
    </r>
  </si>
  <si>
    <r>
      <rPr>
        <sz val="10"/>
        <rFont val="Arial MT"/>
        <family val="2"/>
      </rPr>
      <t>4.1.8 Requisito: Realiza e acompanha as manutenções preventivas dos equipamentos, calibrações e testes de segurança elétrica, quando aplicável, avaliando (CORE)</t>
    </r>
  </si>
  <si>
    <r>
      <rPr>
        <sz val="10"/>
        <rFont val="Arial MT"/>
        <family val="2"/>
      </rPr>
      <t>4.1.9 Requisito: Estabelece critérios pra priorização do atendimento da manutenção corretiva e pra adequada identificação dos equipamentos indisponíveis (CORE)</t>
    </r>
  </si>
  <si>
    <r>
      <rPr>
        <sz val="10"/>
        <rFont val="Arial MT"/>
        <family val="2"/>
      </rPr>
      <t>4.1.10 Requisito: Estabelecer critérios para o controle da movimentação interna e externa dos equipamentos</t>
    </r>
  </si>
  <si>
    <r>
      <rPr>
        <sz val="10"/>
        <rFont val="Arial MT"/>
        <family val="2"/>
      </rPr>
      <t>4.1.11 Requisito: Estabelecer e cumprir critérios para definição de obsolescência, descarte e logística reversa de equipamentos médicos</t>
    </r>
  </si>
  <si>
    <r>
      <rPr>
        <sz val="10"/>
        <rFont val="Arial MT"/>
        <family val="2"/>
      </rPr>
      <t>4.1.12 Requisito: Estabelecer e implementar processos sistemáticos de inspeção, testes, manutenção e substituição de equipamentos, de forma planejada</t>
    </r>
  </si>
  <si>
    <r>
      <rPr>
        <sz val="10"/>
        <rFont val="Arial MT"/>
        <family val="2"/>
      </rPr>
      <t>4.1.13 Requisito: Assegurar que os equipamentos utilizados na prestação de cuidados, diagnósticos, terapias ou apoio técnico sejam operados de forma segura</t>
    </r>
  </si>
  <si>
    <r>
      <rPr>
        <sz val="10"/>
        <rFont val="Arial MT"/>
        <family val="2"/>
      </rPr>
      <t>4.2.1 Requisito: Dimensionar os insumos para garantir que a infraestrutura predial atenda, de forma eficaz e segura, às necessidades da organização</t>
    </r>
  </si>
  <si>
    <r>
      <rPr>
        <sz val="10"/>
        <rFont val="Arial MT"/>
        <family val="2"/>
      </rPr>
      <t xml:space="preserve">ONA 2026:
</t>
    </r>
    <r>
      <rPr>
        <sz val="10"/>
        <rFont val="Arial MT"/>
        <family val="2"/>
      </rPr>
      <t>Subseção 4.2 Gestão de Infraestrutura</t>
    </r>
  </si>
  <si>
    <r>
      <rPr>
        <sz val="10"/>
        <rFont val="Arial MT"/>
        <family val="2"/>
      </rPr>
      <t>4.2.2 Requisito: Estabelecer, implementar e manter uma sistemática de manutenção preventiva, calibração e manutenção corretiva da infraestrutura predial (CORE)</t>
    </r>
  </si>
  <si>
    <r>
      <rPr>
        <sz val="10"/>
        <rFont val="Arial MT"/>
        <family val="2"/>
      </rPr>
      <t>4.2.3 Requisito: Estabelecer uma periodicidade e realizar inspeções regulares nas instalações da organização</t>
    </r>
  </si>
  <si>
    <r>
      <rPr>
        <sz val="10"/>
        <rFont val="Arial MT"/>
        <family val="2"/>
      </rPr>
      <t>4.2.4 Requisito: Estabelecer, implementar e manter um processo sistemático para a análise e mitigação dos riscos relacionados a construções, reformas</t>
    </r>
  </si>
  <si>
    <r>
      <rPr>
        <sz val="10"/>
        <rFont val="Arial MT"/>
        <family val="2"/>
      </rPr>
      <t>4.2.5 Requisito: Assessorar a estruturação e execução do plano de obras prediais</t>
    </r>
  </si>
  <si>
    <r>
      <rPr>
        <sz val="10"/>
        <rFont val="Arial MT"/>
        <family val="2"/>
      </rPr>
      <t>4.2.6 Requisito: Cumprir com os critérios de disponibilização e utilização de EPIs (Equipamentos de Proteção Individual) e EPCs</t>
    </r>
  </si>
  <si>
    <r>
      <rPr>
        <sz val="10"/>
        <rFont val="Arial MT"/>
        <family val="2"/>
      </rPr>
      <t>4.2.7 Requisito: Realizar e manter atualizado o controle do inventário dos sistemas de infraestrutura</t>
    </r>
  </si>
  <si>
    <r>
      <rPr>
        <sz val="10"/>
        <rFont val="Arial MT"/>
        <family val="2"/>
      </rPr>
      <t>4.2.8 Requisito: Cumprir o processo de monitoramento da qualidade da água e do ar, conforme as diretrizes do Serviço de Controle de Infecção e Biossegurança (CO</t>
    </r>
  </si>
  <si>
    <r>
      <rPr>
        <sz val="10"/>
        <rFont val="Arial MT"/>
        <family val="2"/>
      </rPr>
      <t>4.2.9 Requisito: Implementar e manter critérios para a aquisição e incorporação de novas tecnologias, em conformidade com a política institucional</t>
    </r>
  </si>
  <si>
    <r>
      <rPr>
        <sz val="10"/>
        <rFont val="Arial MT"/>
        <family val="2"/>
      </rPr>
      <t>4.2.10 Requisito: Dispor de espaços adequados, seguros e em conformidade com os requisitos legais e regulatórios, assegurando condições estruturais, ambientais</t>
    </r>
  </si>
  <si>
    <r>
      <rPr>
        <sz val="10"/>
        <rFont val="Arial MT"/>
        <family val="2"/>
      </rPr>
      <t>4.3.1 Requisito: Cumprir o fluxo de informação entre as áreas envolvidas (CORE)</t>
    </r>
  </si>
  <si>
    <r>
      <rPr>
        <sz val="10"/>
        <rFont val="Arial MT"/>
        <family val="2"/>
      </rPr>
      <t xml:space="preserve">ONA 2026:
</t>
    </r>
    <r>
      <rPr>
        <sz val="10"/>
        <rFont val="Arial MT"/>
        <family val="2"/>
      </rPr>
      <t>Subseção 4.3 Limpeza e Desinfecção de Superfícies</t>
    </r>
  </si>
  <si>
    <r>
      <rPr>
        <sz val="10"/>
        <rFont val="Arial MT"/>
        <family val="2"/>
      </rPr>
      <t>4.3.2 Requisito: Monitorar o cumprimento do programa institucional de controle de pragas e vetores</t>
    </r>
  </si>
  <si>
    <r>
      <rPr>
        <sz val="10"/>
        <rFont val="Arial MT"/>
        <family val="2"/>
      </rPr>
      <t>4.3.3 Requisito: Estabelecer e implementar procedimentos de limpeza e desinfecção de superfícies, conforme diretrizes definidas pelo SCIH (CORE)</t>
    </r>
  </si>
  <si>
    <r>
      <rPr>
        <sz val="10"/>
        <rFont val="Arial MT"/>
        <family val="2"/>
      </rPr>
      <t>4.3.4 Requisito: Estabelecer e implementar procedimento para diluição de saneantes, alinhado às diretrizes do Serviço de Controle de Infecção e/ou Biossegurança</t>
    </r>
  </si>
  <si>
    <r>
      <rPr>
        <sz val="10"/>
        <rFont val="Arial MT"/>
        <family val="2"/>
      </rPr>
      <t>4.4.1 Requisito: Identificar o escopo e estabelecer critérios para o atendimento da demanda dos processos da organização</t>
    </r>
  </si>
  <si>
    <r>
      <rPr>
        <sz val="10"/>
        <rFont val="Arial MT"/>
        <family val="2"/>
      </rPr>
      <t xml:space="preserve">ONA 2026:
</t>
    </r>
    <r>
      <rPr>
        <sz val="10"/>
        <rFont val="Arial MT"/>
        <family val="2"/>
      </rPr>
      <t>Subseção 4.4 Processamento de Produtos para a Saúde</t>
    </r>
  </si>
  <si>
    <r>
      <rPr>
        <sz val="10"/>
        <rFont val="Arial MT"/>
        <family val="2"/>
      </rPr>
      <t>4.4.2 Requisito: Estabelecer critérios e procedimentos de segurança para todas as etapas do processamento de produtos para saúde, abrangendo a coleta (CORE)</t>
    </r>
  </si>
  <si>
    <r>
      <rPr>
        <sz val="10"/>
        <rFont val="Arial MT"/>
        <family val="2"/>
      </rPr>
      <t>4.4.3 Requisito: Estabelecer, implementar e cumprir o controle do processamento de produtos por meio da monitorização química e microbiológica (CORE)</t>
    </r>
  </si>
  <si>
    <r>
      <rPr>
        <sz val="10"/>
        <rFont val="Arial MT"/>
        <family val="2"/>
      </rPr>
      <t>4.4.4 Requisito: Documentar todas as etapas do processamento de produtos para a saúde, assegurando a rastreabilidade de cada lote processado (CORE)</t>
    </r>
  </si>
  <si>
    <r>
      <rPr>
        <sz val="10"/>
        <rFont val="Arial MT"/>
        <family val="2"/>
      </rPr>
      <t>4.4.5 Requisito: Estabelecer e disseminar procedimento para a esterilização de instrumentais cirúrgicos e produtos para saúde que não pertençam à Instituição.</t>
    </r>
  </si>
  <si>
    <r>
      <rPr>
        <sz val="10"/>
        <rFont val="Arial MT"/>
        <family val="2"/>
      </rPr>
      <t>4.4.6 Requisito: Dispor de identificação e de procedimentos definidos para o manuseio e/ou processamento de produtos para saúde rotulados de uso único (CORE)</t>
    </r>
  </si>
  <si>
    <r>
      <rPr>
        <sz val="10"/>
        <rFont val="Arial MT"/>
        <family val="2"/>
      </rPr>
      <t>4.4.7 Requisito: Monitorar a qualidade dos instrumentais cirúrgicos e dos produtos para a saúde</t>
    </r>
  </si>
  <si>
    <r>
      <rPr>
        <sz val="10"/>
        <rFont val="Arial MT"/>
        <family val="2"/>
      </rPr>
      <t>4.4.8 Requisito: Acompanhar a qualificação da instalação, operação e desempenho dos equipamentos utilizados nos processos de esterilização</t>
    </r>
  </si>
  <si>
    <r>
      <rPr>
        <sz val="10"/>
        <rFont val="Arial MT"/>
        <family val="2"/>
      </rPr>
      <t>4.4.9 Requisito: Dispor de inventário dos instrumentais cirúrgicos e produtos para a saúde</t>
    </r>
  </si>
  <si>
    <r>
      <rPr>
        <sz val="10"/>
        <rFont val="Arial MT"/>
        <family val="2"/>
      </rPr>
      <t>4.4.10 Requisito: Possuir procedimentos formalizados para o controle de estoque de produtos para a saúde esterilizados</t>
    </r>
  </si>
  <si>
    <r>
      <rPr>
        <sz val="10"/>
        <rFont val="Arial MT"/>
        <family val="2"/>
      </rPr>
      <t>4.4.11 Requisito: Cumprir procedimentos para transporte seguro de instrumental cirúrgico e produtos para a saúde</t>
    </r>
  </si>
  <si>
    <r>
      <rPr>
        <sz val="10"/>
        <rFont val="Arial MT"/>
        <family val="2"/>
      </rPr>
      <t>4.4.12 Requisito: Monitorar a qualidade da água nas etapas de limpeza, desinfecção e esterilização (CORE)</t>
    </r>
  </si>
  <si>
    <r>
      <rPr>
        <sz val="10"/>
        <rFont val="Arial MT"/>
        <family val="2"/>
      </rPr>
      <t>4.5.1 Requisito: Manter o controle do inventário de enxoval atualizado (CORE)</t>
    </r>
  </si>
  <si>
    <r>
      <rPr>
        <sz val="10"/>
        <rFont val="Arial MT"/>
        <family val="2"/>
      </rPr>
      <t xml:space="preserve">ONA 2026:
</t>
    </r>
    <r>
      <rPr>
        <sz val="10"/>
        <rFont val="Arial MT"/>
        <family val="2"/>
      </rPr>
      <t>Subseção 4.5 Processamento de Roupa/Enxoval</t>
    </r>
  </si>
  <si>
    <r>
      <rPr>
        <sz val="10"/>
        <rFont val="Arial MT"/>
        <family val="2"/>
      </rPr>
      <t>4.5.2 Requisito: Monitorar a qualidade da água em todas as etapas do processamento do enxoval, incluindo o tratamento de efluentes (CORE)</t>
    </r>
  </si>
  <si>
    <r>
      <rPr>
        <sz val="10"/>
        <rFont val="Arial MT"/>
        <family val="2"/>
      </rPr>
      <t>4.5.3 Requisito: Estabelecer e executar procedimentos para recebimento, separação, lavagem, secagem, dobra e armazenamento do enxoval (CORE)</t>
    </r>
  </si>
  <si>
    <r>
      <rPr>
        <sz val="10"/>
        <rFont val="Arial MT"/>
        <family val="2"/>
      </rPr>
      <t>4.5.4 Requisito: Estabelecer e implementar processos que garantam o transporte seguro do enxoval</t>
    </r>
  </si>
  <si>
    <r>
      <rPr>
        <sz val="10"/>
        <rFont val="Arial MT"/>
        <family val="2"/>
      </rPr>
      <t>4.5.5 Requisito: Estabelecer e implementar critérios e procedimentos para aferir a integridade e a conformidade do processamento do enxoval</t>
    </r>
  </si>
  <si>
    <r>
      <rPr>
        <sz val="10"/>
        <rFont val="Arial MT"/>
        <family val="2"/>
      </rPr>
      <t>4.6.1 Requisito: Cumprir com a diretriz institucional estabelecida p/ qualificação e avaliação de desempenho dos fornecedores de serviços e insumos (CORE)</t>
    </r>
  </si>
  <si>
    <r>
      <rPr>
        <sz val="10"/>
        <rFont val="Arial MT"/>
        <family val="2"/>
      </rPr>
      <t xml:space="preserve">ONA 2026:
</t>
    </r>
    <r>
      <rPr>
        <sz val="10"/>
        <rFont val="Arial MT"/>
        <family val="2"/>
      </rPr>
      <t>Subseção 4.6 Gestão de Suprimentos e Logística</t>
    </r>
  </si>
  <si>
    <r>
      <rPr>
        <sz val="10"/>
        <rFont val="Arial MT"/>
        <family val="2"/>
      </rPr>
      <t>4.6.2 Requisito: Estabelecer, implementar e manter critérios técnicos multidisciplinares para a padronização e uso seguro de insumos (CORE)</t>
    </r>
  </si>
  <si>
    <r>
      <rPr>
        <sz val="10"/>
        <rFont val="Arial MT"/>
        <family val="2"/>
      </rPr>
      <t>4.6.3 Requisito: Planejar a aquisição de insumos conforme critérios técnicos e as necessidades da organização</t>
    </r>
  </si>
  <si>
    <r>
      <rPr>
        <sz val="10"/>
        <rFont val="Arial MT"/>
        <family val="2"/>
      </rPr>
      <t>4.6.4 Requisito: Estabelecer, implementar e manter critérios seguros para o recebimento de insumos</t>
    </r>
  </si>
  <si>
    <r>
      <rPr>
        <sz val="10"/>
        <rFont val="Arial MT"/>
        <family val="2"/>
      </rPr>
      <t>4.6.5 Requisito: Estabelecer, implementar e manter critérios seguros para o armazenamento de insumos</t>
    </r>
  </si>
  <si>
    <r>
      <rPr>
        <sz val="10"/>
        <rFont val="Arial MT"/>
        <family val="2"/>
      </rPr>
      <t>4.6.6 Requisito: Estabelecer, implementar e manter uma sistemática para a disponibilização de insumos, garantindo que atendam às necessidades dos processos.</t>
    </r>
  </si>
  <si>
    <r>
      <rPr>
        <sz val="10"/>
        <rFont val="Arial MT"/>
        <family val="2"/>
      </rPr>
      <t>4.6.7 Requisito: Estabelecer, implementar e manter mecanismos de rastreabilidade de medicamentos, garantindo suporte até a etapa de administração.</t>
    </r>
  </si>
  <si>
    <r>
      <rPr>
        <sz val="10"/>
        <rFont val="Arial MT"/>
        <family val="2"/>
      </rPr>
      <t>4.6.8 Requisito: Estabelecer, implementar e manter mecanismos de rastreabilidade para OPME (Órteses, Próteses e Materiais Especiais)</t>
    </r>
  </si>
  <si>
    <r>
      <rPr>
        <sz val="10"/>
        <rFont val="Arial MT"/>
        <family val="2"/>
      </rPr>
      <t>4.7.1 Requisito: Planejar as atividades considerando as condições operacionais e de infraestrutura, assegurando a execução segura e eficaz dos processos de trab</t>
    </r>
  </si>
  <si>
    <r>
      <rPr>
        <sz val="10"/>
        <rFont val="Arial MT"/>
        <family val="2"/>
      </rPr>
      <t xml:space="preserve">ONA 2026:
</t>
    </r>
    <r>
      <rPr>
        <sz val="10"/>
        <rFont val="Arial MT"/>
        <family val="2"/>
      </rPr>
      <t>Subseção 4.7 Farmácia</t>
    </r>
  </si>
  <si>
    <r>
      <rPr>
        <sz val="10"/>
        <rFont val="Arial MT"/>
        <family val="2"/>
      </rPr>
      <t>Nadiane Dantas Carvalho</t>
    </r>
  </si>
  <si>
    <r>
      <rPr>
        <sz val="10"/>
        <rFont val="Arial MT"/>
        <family val="2"/>
      </rPr>
      <t>4.7.2 Requisito: Estabelecer planos de contingência, em conjunto com a equipe interdisciplinar, para garantir a manutenção da segurança da cadeia medicamentosa</t>
    </r>
  </si>
  <si>
    <r>
      <rPr>
        <sz val="10"/>
        <rFont val="Arial MT"/>
        <family val="2"/>
      </rPr>
      <t>4.7.3 Requisito: Dispor de processos e fluxos exclusivos para os medicamentos antineoplásicos em todas as etapas da cadeia medicamentosa</t>
    </r>
  </si>
  <si>
    <r>
      <rPr>
        <sz val="10"/>
        <rFont val="Arial MT"/>
        <family val="2"/>
      </rPr>
      <t>4.7.4 Requisito: Dispor de sistemática definida para a validação, o recebimento e o gerenciamento de produtos manipulados provenientes de serviços externos</t>
    </r>
  </si>
  <si>
    <r>
      <rPr>
        <sz val="10"/>
        <rFont val="Arial MT"/>
        <family val="2"/>
      </rPr>
      <t>4.7.5 Requisito: Estabelecer e implementar procedimentos para o gerenciamento do ciclo dos medicamentos, abrangendo a seleção, padronização, programação (CORE)</t>
    </r>
  </si>
  <si>
    <r>
      <rPr>
        <sz val="10"/>
        <rFont val="Arial MT"/>
        <family val="2"/>
      </rPr>
      <t>4.7.6 Requisito: Dispor de sistemática para o controle do recebimento, validação, prescrição, dispensação e rastreabilidade de amostras grátis</t>
    </r>
  </si>
  <si>
    <r>
      <rPr>
        <sz val="10"/>
        <rFont val="Arial MT"/>
        <family val="2"/>
      </rPr>
      <t>4.7.7 Requisito: Dispor de sistemática para o controle do recebimento, validação, prescrição, dispensação e rastreabilidade de medicamentos de uso próprio</t>
    </r>
  </si>
  <si>
    <r>
      <rPr>
        <sz val="10"/>
        <rFont val="Arial MT"/>
        <family val="2"/>
      </rPr>
      <t>4.7.8 Requisito: Dispor de sistema de distribuição de medicamentos e materiais médicos que assegure o atendimento seguro e oportuno p/ o abastecimento de todos</t>
    </r>
  </si>
  <si>
    <r>
      <rPr>
        <sz val="10"/>
        <rFont val="Arial MT"/>
        <family val="2"/>
      </rPr>
      <t>4.7.9 Requisito: Estabelecer mecanismos e procedimentos para identificação segura dos medicamentos, garantindo suporte efetivo à etapa de administração</t>
    </r>
  </si>
  <si>
    <r>
      <rPr>
        <sz val="10"/>
        <rFont val="Arial MT"/>
        <family val="2"/>
      </rPr>
      <t>4.7.10 Requisito: Estabelecer e implementar critérios e procedimentos específicos p/ garantir a segurança no gerenciamento de medicamentos de alto risco (CORE)</t>
    </r>
  </si>
  <si>
    <r>
      <rPr>
        <sz val="10"/>
        <rFont val="Arial MT"/>
        <family val="2"/>
      </rPr>
      <t>4.7.11 Requisito: Estabelecer e implementar processos formais para a análise técnica e validação das prescrições médicas, assegurando a conformidade legal</t>
    </r>
  </si>
  <si>
    <r>
      <rPr>
        <sz val="10"/>
        <rFont val="Arial MT"/>
        <family val="2"/>
      </rPr>
      <t>4.7.12 Requisito: Estabelecer critérios farmacotécnicos p/ fracionamento, unitarização, individualização de doses e manipulação de medicamentos de forma segura</t>
    </r>
  </si>
  <si>
    <r>
      <rPr>
        <sz val="10"/>
        <rFont val="Arial MT"/>
        <family val="2"/>
      </rPr>
      <t>4.8.1 Requisito: Monitorar a qualidade da água em todas as etapas relacionadas à assistência nutricional (CORE)</t>
    </r>
  </si>
  <si>
    <r>
      <rPr>
        <sz val="10"/>
        <rFont val="Arial MT"/>
        <family val="2"/>
      </rPr>
      <t xml:space="preserve">ONA 2026:
</t>
    </r>
    <r>
      <rPr>
        <sz val="10"/>
        <rFont val="Arial MT"/>
        <family val="2"/>
      </rPr>
      <t>Subseção 4.8 Nutrição</t>
    </r>
  </si>
  <si>
    <r>
      <rPr>
        <sz val="10"/>
        <rFont val="Arial MT"/>
        <family val="2"/>
      </rPr>
      <t>Ana Luiza Timoteo Costa</t>
    </r>
  </si>
  <si>
    <r>
      <rPr>
        <sz val="10"/>
        <rFont val="Arial MT"/>
        <family val="2"/>
      </rPr>
      <t>4.8.2 Requisito: Planejar e monitorar a demanda de dietas</t>
    </r>
  </si>
  <si>
    <r>
      <rPr>
        <sz val="10"/>
        <rFont val="Arial MT"/>
        <family val="2"/>
      </rPr>
      <t>4.8.3 Requisito: Dispor de mecanismos e procedimentos para a identificação e rastreabilidade de alimentos e refeições</t>
    </r>
  </si>
  <si>
    <r>
      <rPr>
        <sz val="10"/>
        <rFont val="Arial MT"/>
        <family val="2"/>
      </rPr>
      <t>4.8.4 Requisito: Dispor de mecanismos e procedimentos para o monitoramento e conservação de alimentos e refeições (CORE)</t>
    </r>
  </si>
  <si>
    <r>
      <rPr>
        <sz val="10"/>
        <rFont val="Arial MT"/>
        <family val="2"/>
      </rPr>
      <t>4.8.5 Requisito: Dispor de mecanismos e procedimentos para o porcionamento, transporte, distribuição e amostragem de alimentos e refeições (CORE)</t>
    </r>
  </si>
  <si>
    <r>
      <rPr>
        <sz val="10"/>
        <rFont val="Arial MT"/>
        <family val="2"/>
      </rPr>
      <t>4.8.6 Requisito: Planejar e monitorar a demanda de terapia nutricional enteral, incluindo a terapia nutricional oral (suplementos/complementos).</t>
    </r>
  </si>
  <si>
    <r>
      <rPr>
        <sz val="10"/>
        <rFont val="Arial MT"/>
        <family val="2"/>
      </rPr>
      <t>Flavia de Souza Moura</t>
    </r>
  </si>
  <si>
    <r>
      <rPr>
        <sz val="10"/>
        <rFont val="Arial MT"/>
        <family val="2"/>
      </rPr>
      <t>4.8.7 Requisito: Planejar e monitorar a demanda de terapia nutricional parenteral.</t>
    </r>
  </si>
  <si>
    <r>
      <rPr>
        <sz val="10"/>
        <rFont val="Arial MT"/>
        <family val="2"/>
      </rPr>
      <t>4.8.8 Requisito: Dispor de mecanismos e procedimentos para a identificação e rastreabilidade de dietas enterais, módulos e suplementos/complementos nutricionais</t>
    </r>
  </si>
  <si>
    <r>
      <rPr>
        <sz val="10"/>
        <rFont val="Arial MT"/>
        <family val="2"/>
      </rPr>
      <t>4.8.9 Requisito: Dispor de mecanismos e procedimentos para o monitoramento e a conservação de dietas enterais, módulos e suplementos/complementos nutricionais</t>
    </r>
  </si>
  <si>
    <r>
      <rPr>
        <sz val="10"/>
        <rFont val="Arial MT"/>
        <family val="2"/>
      </rPr>
      <t>4.8.10 Requisito: Dispor de mecanismos e procedimentos para o encaminhamento, distribuição e amostragem de dietas enterais, módulos e suplementos/complementos</t>
    </r>
  </si>
  <si>
    <r>
      <rPr>
        <sz val="10"/>
        <rFont val="Arial MT"/>
        <family val="2"/>
      </rPr>
      <t>4.8.11 Requisito: Estabelecer e implementar critérios e procedimentos para a análise técnica das prescrições dietéticas e nutricionais, assegurando a adequação</t>
    </r>
  </si>
  <si>
    <r>
      <rPr>
        <sz val="10"/>
        <rFont val="Arial MT"/>
        <family val="2"/>
      </rPr>
      <t>4.8.12 Requisito: Planejar e acompanhar a demanda de leite humano e fórmulas infantis, conforme perfil de pacientes</t>
    </r>
  </si>
  <si>
    <r>
      <rPr>
        <sz val="10"/>
        <rFont val="Arial MT"/>
        <family val="2"/>
      </rPr>
      <t>4.8.13 Requisito: Dispor de uma sistemática para mobilização de doadoras de leite humano</t>
    </r>
  </si>
  <si>
    <r>
      <rPr>
        <sz val="10"/>
        <rFont val="Arial MT"/>
        <family val="2"/>
      </rPr>
      <t>4.8.14 Requisito: Dispor de diretrizes claras para o esclarecimento da doadora de leite humano ou de seu responsável sobre os procedimentos de doação</t>
    </r>
  </si>
  <si>
    <r>
      <rPr>
        <sz val="10"/>
        <rFont val="Arial MT"/>
        <family val="2"/>
      </rPr>
      <t>4.8.15 Requisito: Atualizar periodicamente as informações necessárias para a triagem das doadoras de leite humano, considerando mudanças epidemiológicas</t>
    </r>
  </si>
  <si>
    <r>
      <rPr>
        <sz val="10"/>
        <rFont val="Arial MT"/>
        <family val="2"/>
      </rPr>
      <t>4.8.16 Requisito: Estabelecer critérios para a aceitação, processamento e liberação do leite humano.</t>
    </r>
  </si>
  <si>
    <r>
      <rPr>
        <sz val="10"/>
        <rFont val="Arial MT"/>
        <family val="2"/>
      </rPr>
      <t>4.8.17 Requisito: Definir diretriz e cumprir os critérios de restrição e rejeição do leite humano</t>
    </r>
  </si>
  <si>
    <r>
      <rPr>
        <sz val="10"/>
        <rFont val="Arial MT"/>
        <family val="2"/>
      </rPr>
      <t>4.8.18 Requisito: Dispor de mecanismos e procedimentos para a identificação e rastreabilidade do leite humano</t>
    </r>
  </si>
  <si>
    <r>
      <rPr>
        <sz val="10"/>
        <rFont val="Arial MT"/>
        <family val="2"/>
      </rPr>
      <t>4.8.19 Requisito: Dispor de mecanismos e procedimentos para o monitoramento e conservação do leite humano</t>
    </r>
  </si>
  <si>
    <r>
      <rPr>
        <sz val="10"/>
        <rFont val="Arial MT"/>
        <family val="2"/>
      </rPr>
      <t>4.8.20 Requisito: Dispor de mecanismos e procedimentos para o encaminhamento, distribuição e amostragem do leite humano</t>
    </r>
  </si>
  <si>
    <r>
      <rPr>
        <sz val="10"/>
        <rFont val="Arial MT"/>
        <family val="2"/>
      </rPr>
      <t>4.9.1 Requisito: Estabelecer, implementar e manter uma sistemática para o controle de acesso e circulação de visitantes (CORE)</t>
    </r>
  </si>
  <si>
    <r>
      <rPr>
        <sz val="10"/>
        <rFont val="Arial MT"/>
        <family val="2"/>
      </rPr>
      <t xml:space="preserve">ONA 2026:
</t>
    </r>
    <r>
      <rPr>
        <sz val="10"/>
        <rFont val="Arial MT"/>
        <family val="2"/>
      </rPr>
      <t>Subseção 4.9 Segurança Institucional</t>
    </r>
  </si>
  <si>
    <r>
      <rPr>
        <sz val="10"/>
        <rFont val="Arial MT"/>
        <family val="2"/>
      </rPr>
      <t>4.9.2 Requisito: Estabelecer, implementar e manter sistemáticas para controle do acesso e circulação de pacientes (CORE)</t>
    </r>
  </si>
  <si>
    <r>
      <rPr>
        <sz val="10"/>
        <rFont val="Arial MT"/>
        <family val="2"/>
      </rPr>
      <t>4.9.3 Requisito: Estabelecer, implementar e manter uma sistemática p/ controle de acesso e circulação de insumos, equipamentos e veículos da organização (CORE)</t>
    </r>
  </si>
  <si>
    <r>
      <rPr>
        <sz val="10"/>
        <rFont val="Arial MT"/>
        <family val="2"/>
      </rPr>
      <t>4.9.4 Requisito: Estabelecer, implementar e manter uma sistemática para o controle dos bens e mobiliários da organização, incluindo aqueles pertencentes a terce</t>
    </r>
  </si>
  <si>
    <r>
      <rPr>
        <sz val="10"/>
        <rFont val="Arial MT"/>
        <family val="2"/>
      </rPr>
      <t>4.9.5 Requisito: Estabelecer e implementar processos estruturados para identificação, avaliação, tratamento e monitoramento dos riscos e vulnerabilidades</t>
    </r>
  </si>
  <si>
    <r>
      <rPr>
        <sz val="10"/>
        <rFont val="Arial MT"/>
        <family val="2"/>
      </rPr>
      <t>4.9.6 Requisito: Estabelecer e implementar um Plano de Evacuação e Abandono de Área, contemplando procedimentos, responsabilidades e recursos necessários</t>
    </r>
  </si>
  <si>
    <r>
      <rPr>
        <sz val="10"/>
        <rFont val="Arial MT"/>
        <family val="2"/>
      </rPr>
      <t>4.10.1 Requisito: Estabelecer, implementar e manter um plano de contingência para situações de descontinuidade no acesso a dados e informações (CORE)</t>
    </r>
  </si>
  <si>
    <r>
      <rPr>
        <sz val="10"/>
        <rFont val="Arial MT"/>
        <family val="2"/>
      </rPr>
      <t xml:space="preserve">ONA 2026:
</t>
    </r>
    <r>
      <rPr>
        <sz val="10"/>
        <rFont val="Arial MT"/>
        <family val="2"/>
      </rPr>
      <t>Subseção 4.10 Gestão da Tecnologia e Segurança da Informação</t>
    </r>
  </si>
  <si>
    <r>
      <rPr>
        <sz val="10"/>
        <rFont val="Arial MT"/>
        <family val="2"/>
      </rPr>
      <t>Andrew Silva de Lima</t>
    </r>
  </si>
  <si>
    <r>
      <rPr>
        <sz val="10"/>
        <rFont val="Arial MT"/>
        <family val="2"/>
      </rPr>
      <t>4.10.2 Requisito: Dispor de informações integradas do paciente/cliente, permitindo acesso ao histórico dos atendimentos realizados pela equipe multidisciplinar</t>
    </r>
  </si>
  <si>
    <r>
      <rPr>
        <sz val="10"/>
        <rFont val="Arial MT"/>
        <family val="2"/>
      </rPr>
      <t>4.10.3 Requisito: Estabelecer, implementar e manter sistemática p/ registros e evoluções da equipe multidisciplinar, permitindo a continuidade do cuidado (CORE)</t>
    </r>
  </si>
  <si>
    <r>
      <rPr>
        <sz val="10"/>
        <rFont val="Arial MT"/>
        <family val="2"/>
      </rPr>
      <t>4.10.4 Requisito: Estabelecer, implementar e manter procedimento para avaliação sistemática da qualidade das evoluções, registros e informações (CORE)</t>
    </r>
  </si>
  <si>
    <r>
      <rPr>
        <sz val="10"/>
        <rFont val="Arial MT"/>
        <family val="2"/>
      </rPr>
      <t>4.10.5 Requisito: Estabelecer, implementar e manter um método de coleta, análise e disponibilização de dados para apoiar a tomada de decisão em todas as áreas</t>
    </r>
  </si>
  <si>
    <r>
      <rPr>
        <sz val="10"/>
        <rFont val="Arial MT"/>
        <family val="2"/>
      </rPr>
      <t>4.10.6 Requisito: Estabelecer e manter orientações claras aos usuários quanto às regras de segurança da informação (CORE)</t>
    </r>
  </si>
  <si>
    <r>
      <rPr>
        <sz val="10"/>
        <rFont val="Arial MT"/>
        <family val="2"/>
      </rPr>
      <t>4.10.7 Requisito: Estabelecer e implementar diretrizes claras para as permissões de acesso ao prontuário, assegurando a privacidade e a confidencialidade</t>
    </r>
  </si>
  <si>
    <r>
      <rPr>
        <sz val="10"/>
        <rFont val="Arial MT"/>
        <family val="2"/>
      </rPr>
      <t>4.10.8 Requisito: Estabelecer, implementar e manter uma sistemática para a organização e padronização da estrutura e do conteúdo do prontuário/dados do paciente</t>
    </r>
  </si>
  <si>
    <r>
      <rPr>
        <sz val="10"/>
        <rFont val="Arial MT"/>
        <family val="2"/>
      </rPr>
      <t>4.10.9 Requisito: Estabelecer programa de privacidade de dados, especificando o fluxo de acesso e a tratativa das informações.</t>
    </r>
  </si>
  <si>
    <r>
      <rPr>
        <sz val="10"/>
        <rFont val="Arial MT"/>
        <family val="2"/>
      </rPr>
      <t>4.10.10 Requisito: Estabelecer mecanismos de segurança para garantir a proteção, confidencialidade e integridade nas comunicações virtuais com pacientes/usuário</t>
    </r>
  </si>
  <si>
    <r>
      <rPr>
        <sz val="10"/>
        <rFont val="Arial MT"/>
        <family val="2"/>
      </rPr>
      <t>4.10.11 Requisito: Estabelecer, implementar e manter uma sistemática para qualificar e testar os sistemas de informática e softwares antes da entrada em uso</t>
    </r>
  </si>
  <si>
    <r>
      <rPr>
        <sz val="10"/>
        <rFont val="Arial MT"/>
        <family val="2"/>
      </rPr>
      <t>4.10.12 Requisito: Capacitar os usuários periodicamente para o uso correto e seguro dos sistemas de informática.</t>
    </r>
  </si>
  <si>
    <r>
      <rPr>
        <sz val="10"/>
        <rFont val="Arial MT"/>
        <family val="2"/>
      </rPr>
      <t>4.10.13 Requisito: Estabelecer e implementar critérios para aquisição e incorporação de novas tecnologias.</t>
    </r>
  </si>
  <si>
    <r>
      <rPr>
        <sz val="10"/>
        <rFont val="Arial MT"/>
        <family val="2"/>
      </rPr>
      <t>4.10.14 Requisito: Identificar, planejar e implementar ações para aquisição, manutenção e atualização de softwares e hardwares com a participação da equipe mult</t>
    </r>
  </si>
  <si>
    <r>
      <rPr>
        <sz val="10"/>
        <rFont val="Arial MT"/>
        <family val="2"/>
      </rPr>
      <t>4.10.15 Requisito: Estabelecer um plano de treinamento para modificações e incorporações de novos documentos de prontuário.</t>
    </r>
  </si>
  <si>
    <r>
      <rPr>
        <sz val="10"/>
        <rFont val="Arial MT"/>
        <family val="2"/>
      </rPr>
      <t>4.10.16 Requisito: Estabelecer e implementar procedimentos para garantir o sigilo, a confidencialidade e o consentimento</t>
    </r>
  </si>
  <si>
    <r>
      <rPr>
        <sz val="10"/>
        <rFont val="Arial MT"/>
        <family val="2"/>
      </rPr>
      <t>4.10.17 Requisito: Estabelecer e implementar procedimentos de segurança para proteção e armazenamento de dados</t>
    </r>
  </si>
  <si>
    <r>
      <rPr>
        <sz val="10"/>
        <rFont val="Arial MT"/>
        <family val="2"/>
      </rPr>
      <t>4.10.18 Requisito: Estabelecer e implementar procedimentos de segurança para prevenir, detectar e mitigar ameaças cibernéticas</t>
    </r>
  </si>
  <si>
    <r>
      <rPr>
        <sz val="10"/>
        <rFont val="Arial MT"/>
        <family val="2"/>
      </rPr>
      <t>4.10.19 Requisito: Definir critérios, limites e responsabilidades para a incorporação de agentes de IA (Inteligência Artificial) e IAG (Inteligência Artificial</t>
    </r>
  </si>
  <si>
    <r>
      <rPr>
        <sz val="10"/>
        <rFont val="Arial MT"/>
        <family val="2"/>
      </rPr>
      <t>4.10.20 Requisito: Estabelecer uma sistemática para o controle do registro de acesso dos colaboradores ao sistema de informações do paciente.</t>
    </r>
  </si>
  <si>
    <r>
      <rPr>
        <sz val="10"/>
        <rFont val="Arial MT"/>
        <family val="2"/>
      </rPr>
      <t>4.10.21 Requisito: Estabelecer e implementar um plano de resposta a incidentes de violação de dados que assegure a proteção das informações pessoais e sensíveis</t>
    </r>
  </si>
  <si>
    <r>
      <rPr>
        <sz val="10"/>
        <rFont val="Arial MT"/>
        <family val="2"/>
      </rPr>
      <t>4.10.22 Requisito: Estabelecer e implementar um processo documentado para avaliação, custeio, implementação e gerenciamento contínuo de sistemas de assistência</t>
    </r>
  </si>
  <si>
    <r>
      <rPr>
        <sz val="10"/>
        <rFont val="Arial MT"/>
        <family val="2"/>
      </rPr>
      <t>4.10.23 Requisito: Estabelecer e implementar processos que assegurem a acessibilidade e a equidade no uso de serviços de atendimento digital, garantindo que pac</t>
    </r>
  </si>
  <si>
    <r>
      <rPr>
        <sz val="10"/>
        <rFont val="Arial MT"/>
        <family val="2"/>
      </rPr>
      <t>4.10.24 Requisito: Sustentar o acesso contínuo a conhecimento técnico especializado para o uso seguro, eficaz e sustentável de sistemas de assistência digital</t>
    </r>
  </si>
  <si>
    <r>
      <rPr>
        <sz val="10"/>
        <rFont val="Arial MT"/>
        <family val="2"/>
      </rPr>
      <t>4.10.25 Requisito: Estabelecer e implementar processos formais de monitoramento, avaliação e mitigação de riscos associados ao uso de sistemas baseados em IA</t>
    </r>
  </si>
  <si>
    <r>
      <rPr>
        <sz val="10"/>
        <rFont val="Arial MT"/>
        <family val="2"/>
      </rPr>
      <t>4.10.26 Requisito: Estabelecer e implementar mecanismos de responsabilização e governança ética para todos os processos assistenciais e administrativos apoiados</t>
    </r>
  </si>
  <si>
    <r>
      <rPr>
        <sz val="10"/>
        <rFont val="Arial MT"/>
        <family val="2"/>
      </rPr>
      <t>4.10.27 Requisito: Garantir que pacientes, clientes e usuários dos serviços sejam informados, de forma clara, acessível e transparente</t>
    </r>
  </si>
  <si>
    <r>
      <rPr>
        <sz val="10"/>
        <rFont val="Arial MT"/>
        <family val="2"/>
      </rPr>
      <t>4.11.1 Requisito: Dispor de profissionais com competências e capacitação compatíveis com o perfil institucional e os processos de apoio</t>
    </r>
  </si>
  <si>
    <r>
      <rPr>
        <sz val="10"/>
        <rFont val="Arial MT"/>
        <family val="2"/>
      </rPr>
      <t xml:space="preserve">ONA 2026:
</t>
    </r>
    <r>
      <rPr>
        <sz val="10"/>
        <rFont val="Arial MT"/>
        <family val="2"/>
      </rPr>
      <t>Subseção 4.11 Requisitos Transversais</t>
    </r>
  </si>
  <si>
    <r>
      <rPr>
        <sz val="10"/>
        <rFont val="Arial MT"/>
        <family val="2"/>
      </rPr>
      <t>4.11.2 Requisito: Dimensionar recursos humanos, tecnológicos e insumos para garantir a execução contínua e segura dos processos de apoio.</t>
    </r>
  </si>
  <si>
    <r>
      <rPr>
        <sz val="10"/>
        <rFont val="Arial MT"/>
        <family val="2"/>
      </rPr>
      <t>4.11.3 Requisito: Planejar as atividades dos processos de apoio com base na infraestrutura disponível e considerando o impacto na jornada do paciente</t>
    </r>
  </si>
  <si>
    <r>
      <rPr>
        <sz val="10"/>
        <rFont val="Arial MT"/>
        <family val="2"/>
      </rPr>
      <t>4.11.4 Requisito: Acompanhar a manutenção preventiva e corretiva da infraestrutura e equipamentos, assegurando suporte contínuo à assistência</t>
    </r>
  </si>
  <si>
    <r>
      <rPr>
        <sz val="10"/>
        <rFont val="Arial MT"/>
        <family val="2"/>
      </rPr>
      <t>4.11.5 Requisito: Cumprir diretrizes de segurança aplicáveis nos processos de apoio (CORE)</t>
    </r>
  </si>
  <si>
    <r>
      <rPr>
        <sz val="10"/>
        <rFont val="Arial MT"/>
        <family val="2"/>
      </rPr>
      <t>4.11.6 Requisito: Cumprir as diretrizes de Serviço de Controle de Infecção e/ou Biossegurança) nos processos de apoio</t>
    </r>
  </si>
  <si>
    <r>
      <rPr>
        <sz val="10"/>
        <rFont val="Arial MT"/>
        <family val="2"/>
      </rPr>
      <t>4.11.7 Requisito: Identificar os riscos dos processos de apoio e sua interface com a jornada do paciente com foco na continuidade e segurança do cuidado (CORE)</t>
    </r>
  </si>
  <si>
    <r>
      <rPr>
        <sz val="10"/>
        <rFont val="Arial MT"/>
        <family val="2"/>
      </rPr>
      <t>4.11.8 Requisito: Cumprir as diretrizes do PGRSS (Plano de Gerenciamento de Resíduos de Serviços de Saúde), minimizando o impacto ambiental.</t>
    </r>
  </si>
  <si>
    <r>
      <rPr>
        <sz val="10"/>
        <rFont val="Arial MT"/>
        <family val="2"/>
      </rPr>
      <t>4.11.9 Requisito: Estimular a equipe a registrar circunstâncias de risco, quase erros, eventos sem danos, eventos adversos, reações adversas (CORE)</t>
    </r>
  </si>
  <si>
    <r>
      <rPr>
        <sz val="10"/>
        <rFont val="Arial MT"/>
        <family val="2"/>
      </rPr>
      <t>4.11.10 Requisito: Realizar a capacitação contínua dos profissionais envolvidos nos processos diagnósticos e terapêuticos, com foco na qualidade técnica</t>
    </r>
  </si>
  <si>
    <r>
      <rPr>
        <sz val="10"/>
        <rFont val="Arial MT"/>
        <family val="2"/>
      </rPr>
      <t>4.11.11 Requisito: Estabelecer e implementar mecanismos integrados de gestão, comunicação e contingência que assegurem a continuidade, a disponibilidade</t>
    </r>
  </si>
  <si>
    <r>
      <rPr>
        <sz val="10"/>
        <rFont val="Arial MT"/>
        <family val="2"/>
      </rPr>
      <t>4.11.12 Requisito: Estabelecer e implementar processos padronizados e integrados de segurança para a utilização, manuseio, armazenamento, transporte e descarte</t>
    </r>
  </si>
  <si>
    <r>
      <rPr>
        <sz val="10"/>
        <rFont val="Arial MT"/>
        <family val="2"/>
      </rPr>
      <t>4.12.1 Requisito: Gerenciar de forma estruturada os processos de apoio com impacto direto na jornada do paciente, assegurando sua disponibilidade (CORE)</t>
    </r>
  </si>
  <si>
    <r>
      <rPr>
        <sz val="10"/>
        <rFont val="Arial MT"/>
        <family val="2"/>
      </rPr>
      <t xml:space="preserve">ONA 2026:
</t>
    </r>
    <r>
      <rPr>
        <sz val="10"/>
        <rFont val="Arial MT"/>
        <family val="2"/>
      </rPr>
      <t>Subseção 4.12 Requisitos de Nível 2 - Seção 4 - Gestão do Apoio</t>
    </r>
  </si>
  <si>
    <r>
      <rPr>
        <sz val="10"/>
        <rFont val="Arial MT"/>
        <family val="2"/>
      </rPr>
      <t>4.12.2 Requisito: Monitorar de forma sistemática a execução dos processos de apoio, identificando falhas, riscos e melhoria (CORE)</t>
    </r>
  </si>
  <si>
    <r>
      <rPr>
        <sz val="10"/>
        <rFont val="Arial MT"/>
        <family val="2"/>
      </rPr>
      <t>4.12.3 Requisito: Integrar os processos de apoio com as áreas assistenciais, promovendo comunicação eficaz e fluidez na jornada do paciente.</t>
    </r>
  </si>
  <si>
    <r>
      <rPr>
        <sz val="10"/>
        <rFont val="Arial MT"/>
        <family val="2"/>
      </rPr>
      <t>4.12.4 Requisito: Incorporar a escuta ativa das partes interessadas no planejamento e aprimoramento dos processos de apoio.</t>
    </r>
  </si>
  <si>
    <r>
      <rPr>
        <sz val="10"/>
        <rFont val="Arial MT"/>
        <family val="2"/>
      </rPr>
      <t>4.12.5 Requisito: Gerenciar os prazos, entregas e interações dos processos de apoio</t>
    </r>
  </si>
  <si>
    <r>
      <rPr>
        <sz val="10"/>
        <rFont val="Arial MT"/>
        <family val="2"/>
      </rPr>
      <t>4.12.6 Requisito: Estabelecer práticas de avaliação econômica, relacionadas à utilização de medicamentos, como: análise de custos, desperdícios, custo-efetivida</t>
    </r>
  </si>
  <si>
    <r>
      <rPr>
        <sz val="10"/>
        <rFont val="Arial MT"/>
        <family val="2"/>
      </rPr>
      <t>4.12.7 Requisito: Evidenciar as melhorias e transformações implementadas nos processos a partir da análise dos resultados das auditorias realizadas</t>
    </r>
  </si>
  <si>
    <r>
      <rPr>
        <sz val="10"/>
        <rFont val="Arial MT"/>
        <family val="2"/>
      </rPr>
      <t>4.12.8 Requisito: Utilizar dados dos sistemas de informática, infraestrutura tecnológica e ferramentas de análise para promover ações de melhoria</t>
    </r>
  </si>
  <si>
    <r>
      <rPr>
        <sz val="10"/>
        <rFont val="Arial MT"/>
        <family val="2"/>
      </rPr>
      <t>4.13.1 Requisito: Fomentar a cultura da inovação e promover mudanças estruturadas nos processos de apoio, com impacto na jornada do paciente.</t>
    </r>
  </si>
  <si>
    <r>
      <rPr>
        <sz val="10"/>
        <rFont val="Arial MT"/>
        <family val="2"/>
      </rPr>
      <t xml:space="preserve">ONA 2026:
</t>
    </r>
    <r>
      <rPr>
        <sz val="10"/>
        <rFont val="Arial MT"/>
        <family val="2"/>
      </rPr>
      <t>Subseção 4.13 Requisitos de Nível 3 - Seção 4 - Gestão do Apoio</t>
    </r>
  </si>
  <si>
    <r>
      <rPr>
        <sz val="10"/>
        <rFont val="Arial MT"/>
        <family val="2"/>
      </rPr>
      <t>4.13.2 Requisito: Avaliar sistematicamente a efetividade dos processos de apoio, considerando o impacto na jornada do paciente na qualidade do cuidado.</t>
    </r>
  </si>
  <si>
    <r>
      <rPr>
        <sz val="10"/>
        <rFont val="Arial MT"/>
        <family val="2"/>
      </rPr>
      <t>4.13.3 Requisito: Consolidar ciclos de melhoria contínua nos processos de apoio, com base em dados, riscos, auditorias de processos, evidências (CORE)</t>
    </r>
  </si>
  <si>
    <r>
      <rPr>
        <sz val="10"/>
        <rFont val="Arial MT"/>
        <family val="2"/>
      </rPr>
      <t>4.13.4 Requisito: Gerenciar a efetividade das ações de prevenção definidas frente aos riscos dos processos (CORE)</t>
    </r>
  </si>
  <si>
    <r>
      <rPr>
        <sz val="10"/>
        <rFont val="Arial MT"/>
        <family val="2"/>
      </rPr>
      <t>4.13.5 Requisito: Sustentar um ambiente favorável para a aprendizagem, cultura justa e colaboração entre as equipes</t>
    </r>
  </si>
  <si>
    <r>
      <rPr>
        <sz val="10"/>
        <rFont val="Arial MT"/>
        <family val="2"/>
      </rPr>
      <t>Nível 1 - 1.1.17.1 Requisito: Definir diretrizes formais para prevenção, controle de infecção e biossegurança e implementa ações sistemáticas (CORE)</t>
    </r>
  </si>
  <si>
    <r>
      <rPr>
        <sz val="10"/>
        <rFont val="Arial MT"/>
        <family val="2"/>
      </rPr>
      <t xml:space="preserve">ONA 2026:
</t>
    </r>
    <r>
      <rPr>
        <sz val="10"/>
        <rFont val="Arial MT"/>
        <family val="2"/>
      </rPr>
      <t>Grupo 1.1.17 - Prevenção e Controle de Infecção e Biossegurança</t>
    </r>
  </si>
  <si>
    <r>
      <rPr>
        <sz val="10"/>
        <rFont val="Arial MT"/>
        <family val="2"/>
      </rPr>
      <t>Aliny Lopes Coelho</t>
    </r>
  </si>
  <si>
    <r>
      <rPr>
        <sz val="10"/>
        <rFont val="Arial MT"/>
        <family val="2"/>
      </rPr>
      <t>Nível 1 - 1.1.17.2 Requisito: Prover condições para que o Serviço de Prevenção, Controle de Infecção e Biossegurança assessore tecnicamente os processos</t>
    </r>
  </si>
  <si>
    <r>
      <rPr>
        <sz val="10"/>
        <rFont val="Arial MT"/>
        <family val="2"/>
      </rPr>
      <t>Nível 2 - 1.1.17.3 Requisito: Monitorar e gerenciar o Programa de Prevenção, Controle de Infecção e Biossegurança com base em evidências, análises de causa</t>
    </r>
  </si>
  <si>
    <r>
      <rPr>
        <sz val="10"/>
        <rFont val="Arial MT"/>
        <family val="2"/>
      </rPr>
      <t>Nível 3 - 1.1.17.4 Requisito: Utilizar os resultados do Programa de Prevenção, Controle de Infecção e Biossegurança para promover ciclos de melhoria (CORE)</t>
    </r>
  </si>
  <si>
    <r>
      <rPr>
        <sz val="10"/>
        <rFont val="Arial MT"/>
        <family val="2"/>
      </rPr>
      <t>Nível 1 - 1.1.18.1 Requisito: Estabelecer canal formal para comunicação de questões relacionadas à integridade, conformidade (compliance), dilemas éticos</t>
    </r>
  </si>
  <si>
    <r>
      <rPr>
        <sz val="10"/>
        <rFont val="Arial MT"/>
        <family val="2"/>
      </rPr>
      <t>Nível 1 - 1.1.18.2 Requisito: Estabelecer, implementar e manter um plano de comunicação estruturado para interação com os públicos interno e externo.</t>
    </r>
  </si>
  <si>
    <r>
      <rPr>
        <sz val="10"/>
        <rFont val="Arial MT"/>
        <family val="2"/>
      </rPr>
      <t>Nível 1 - 1.1.18.3 Requisito: Estabelecer, implementar e manter meios e canais acessíveis e eficazes de comunicação com pacientes/clientes (CORE)</t>
    </r>
  </si>
  <si>
    <r>
      <rPr>
        <sz val="10"/>
        <rFont val="Arial MT"/>
        <family val="2"/>
      </rPr>
      <t>Nível 1 - 1.1.18.4 Requisito: Estabelecer, implementar e manter meios e canais de comunicação eficazes entre os diferentes níveis hierárquicos e perfis</t>
    </r>
  </si>
  <si>
    <r>
      <rPr>
        <sz val="10"/>
        <rFont val="Arial MT"/>
        <family val="2"/>
      </rPr>
      <t>Nível 2 - .1.18.5 Requisito: Avaliar os canais de comunicação, identificando causas de falhas e promovendo ações de melhoria contínua.</t>
    </r>
  </si>
  <si>
    <r>
      <rPr>
        <sz val="10"/>
        <rFont val="Arial MT"/>
        <family val="2"/>
      </rPr>
      <t>Nível 3 - 1.1.18.6 Requisito: Utilizar os resultados da comunicação para avaliar a efetividade dos canais e promover ciclos de melhoria.</t>
    </r>
  </si>
  <si>
    <r>
      <rPr>
        <sz val="10"/>
        <rFont val="Arial MT"/>
        <family val="2"/>
      </rPr>
      <t>Nível 1 - 1.1.19.1 Requisito: Definir, divulgar e assegurar o cumprimento dos direitos e deveres dos pacientes e usuários dos serviços</t>
    </r>
  </si>
  <si>
    <r>
      <rPr>
        <sz val="10"/>
        <rFont val="Arial MT"/>
        <family val="2"/>
      </rPr>
      <t>Nível 1 - 1.1.19.2 Requisito: Assegurar que todos os profissionais envolvidos na assistência recebam educação e capacitação que promovam o cuidado centrado</t>
    </r>
  </si>
  <si>
    <r>
      <rPr>
        <sz val="10"/>
        <rFont val="Arial MT"/>
        <family val="2"/>
      </rPr>
      <t>Nível 1 - 1.1.19.3 Requisito: Fornecer aos pacientes e usuários informações claras, acessíveis e compreensíveis sobre suas necessidades de cuidado, alternativas</t>
    </r>
  </si>
  <si>
    <r>
      <rPr>
        <sz val="10"/>
        <rFont val="Arial MT"/>
        <family val="2"/>
      </rPr>
      <t>Nível 1 - 1.1.19.4 Requisito: Assegurar a participação ativa do paciente e/ou de seus representantes nas decisões relacionadas ao seu cuidado e tratamento</t>
    </r>
  </si>
  <si>
    <r>
      <rPr>
        <sz val="10"/>
        <rFont val="Arial MT"/>
        <family val="2"/>
      </rPr>
      <t>Nível 1 - 1.1.19.5 Requisito: Respeitar a autonomia do paciente e registrar suas preferências, valores e escolhas relativas ao cuidado e tratamento</t>
    </r>
  </si>
  <si>
    <r>
      <rPr>
        <sz val="10"/>
        <rFont val="Arial MT"/>
        <family val="2"/>
      </rPr>
      <t>Nível 1 - 1.1.19.6 Requisito: Identificar, registrar e envolver os familiares ou representantes legalmente designados que possam participar das discussões</t>
    </r>
  </si>
  <si>
    <r>
      <rPr>
        <sz val="10"/>
        <rFont val="Arial MT"/>
        <family val="2"/>
      </rPr>
      <t>Nível 1 - 1.1.19.7 Requisito: Assegurar a privacidade, a dignidade e o respeito aos pacientes e usuários dos serviços em todas as etapas do cuidado</t>
    </r>
  </si>
  <si>
    <r>
      <rPr>
        <sz val="10"/>
        <rFont val="Arial MT"/>
        <family val="2"/>
      </rPr>
      <t>Nível 1 - 1.1.19.8 Requisito: Respeitar, acolher e responder às diferenças culturais, espirituais, religiosas e aos valores individuais dos pacientes e usuários</t>
    </r>
  </si>
  <si>
    <r>
      <rPr>
        <sz val="10"/>
        <rFont val="Arial MT"/>
        <family val="2"/>
      </rPr>
      <t>Nível 1 - 1.1.19.9 Requisito: Assegurar acessibilidade e atendimento equitativo a todos os pacientes e usuários dos serviços, atendendo às necessidades</t>
    </r>
  </si>
  <si>
    <r>
      <rPr>
        <sz val="10"/>
        <rFont val="Arial MT"/>
        <family val="2"/>
      </rPr>
      <t>Nível 2 - 1.1.19.10 Requisito: Adotar uma abordagem de cuidado integral e holística, que considere a pessoa em sua totalidade, dimensões física, mental</t>
    </r>
  </si>
  <si>
    <r>
      <rPr>
        <sz val="10"/>
        <rFont val="Arial MT"/>
        <family val="2"/>
      </rPr>
      <t>Nível 3 - 1.1.19.11 Requisito: Possuir processos sistemáticos para consultar e envolver pacientes, familiares e a comunidade na avaliação e melhoria contínua</t>
    </r>
  </si>
  <si>
    <t>Natacha Flora Alves de Moraes</t>
  </si>
  <si>
    <t>Assessoria da Diretoria Geral</t>
  </si>
  <si>
    <t>Concluída</t>
  </si>
  <si>
    <t>Em Andamento</t>
  </si>
  <si>
    <t>Não Iniciada</t>
  </si>
  <si>
    <t>Reduzir perdas de insumos (Mat/Med) por vencimento e obsolescência</t>
  </si>
  <si>
    <t>Indicadores</t>
  </si>
  <si>
    <t>Serial</t>
  </si>
  <si>
    <t>Responsavel</t>
  </si>
  <si>
    <t>Atraso na Alimentação</t>
  </si>
  <si>
    <t xml:space="preserve"> Percentual de Atendimento (Processo)</t>
  </si>
  <si>
    <t>NC 3316 / 2026</t>
  </si>
  <si>
    <t>08/05/2026</t>
  </si>
  <si>
    <t xml:space="preserve"> Perda Por Validade E Avarias (Resultado)</t>
  </si>
  <si>
    <t>NC 3317 / 2026</t>
  </si>
  <si>
    <t xml:space="preserve"> Percentual de Acurácia de Alto Custo - Almoxarifado (Resultado)</t>
  </si>
  <si>
    <t>NC 3318 / 2026</t>
  </si>
  <si>
    <t xml:space="preserve"> Número de Itens Solicitados (Estrutura)</t>
  </si>
  <si>
    <t>NC 3319 / 2026</t>
  </si>
  <si>
    <t xml:space="preserve"> Percentual de Compras de Urgência (Resultado)</t>
  </si>
  <si>
    <t>NC 3320 / 2026</t>
  </si>
  <si>
    <t>Percentual de Desabastecimento de Medicamento e Material Médico Hospitalar (Processo)</t>
  </si>
  <si>
    <t>NC 3321 / 2026</t>
  </si>
  <si>
    <t xml:space="preserve"> Cobertura De Estoque De Itens Críticos (Processo)</t>
  </si>
  <si>
    <t>NC 3322 / 2026</t>
  </si>
  <si>
    <t xml:space="preserve"> Percentual de Entrega de Compras (Resultado)</t>
  </si>
  <si>
    <t>NC 3323 / 2026</t>
  </si>
  <si>
    <t xml:space="preserve"> Quantidade de Solicitações (Estrutura)</t>
  </si>
  <si>
    <t>NC 3324 / 2026</t>
  </si>
  <si>
    <t xml:space="preserve"> Índice de Disponibilidade dos Equipamentos (Resultado)</t>
  </si>
  <si>
    <t>NC 3325 / 2026</t>
  </si>
  <si>
    <t xml:space="preserve"> Taxa de Conformidade de Limpeza Terminal (Resultado)</t>
  </si>
  <si>
    <t>NC 3326 / 2026</t>
  </si>
  <si>
    <t xml:space="preserve"> Índice de Conformidade de Roupa Processada (Resultado)</t>
  </si>
  <si>
    <t>NC 3327 / 2026</t>
  </si>
  <si>
    <t xml:space="preserve"> Quantidade de Solicitações de Materiais e Medicamentos Recebidas (Estrutura)</t>
  </si>
  <si>
    <t>NC 3328 / 2026</t>
  </si>
  <si>
    <t>FAR - Farmácia</t>
  </si>
  <si>
    <t xml:space="preserve"> Volume de Atendimentos Ocupacionais</t>
  </si>
  <si>
    <t>NC 3329 / 2026</t>
  </si>
  <si>
    <t xml:space="preserve"> Percentual de Inspeções de Segurança Realizadas (Processo)</t>
  </si>
  <si>
    <t>NC 3330 / 2026</t>
  </si>
  <si>
    <t xml:space="preserve"> Quantidades de Notas Fiscais (Estrutura)</t>
  </si>
  <si>
    <t>NC 3331 / 2026</t>
  </si>
  <si>
    <t xml:space="preserve"> Taxa de Entrega de Parecer no Prazo (Processo)</t>
  </si>
  <si>
    <t>NC 3332 / 2026</t>
  </si>
  <si>
    <t xml:space="preserve"> Percentual de Contratos com Documentação Completa (Processo)</t>
  </si>
  <si>
    <t>NC 3333 / 2026</t>
  </si>
  <si>
    <t xml:space="preserve"> Taxa de Renovação de Contratos (Resultado)</t>
  </si>
  <si>
    <t>NC 3334 / 2026</t>
  </si>
  <si>
    <t xml:space="preserve"> Totais de Custos a Pagamento (Estrutura)</t>
  </si>
  <si>
    <t>NC 3335 / 2026</t>
  </si>
  <si>
    <t>NC 3336 / 2026</t>
  </si>
  <si>
    <t xml:space="preserve"> Índice de Pagamento no Vencimento (Resultado)</t>
  </si>
  <si>
    <t>NC 3337 / 2026</t>
  </si>
  <si>
    <t xml:space="preserve"> Índice de Devolução de Itens Consignados (Processo)</t>
  </si>
  <si>
    <t>NC 3338 / 2026</t>
  </si>
  <si>
    <t>Taxa de Intercorrências com Materiais de OPME (Resultado)</t>
  </si>
  <si>
    <t>NC 3339 / 2026</t>
  </si>
  <si>
    <t xml:space="preserve"> Número de Solicitações de OPME Realizadas (Estrutura)</t>
  </si>
  <si>
    <t>NC 3340 / 2026</t>
  </si>
  <si>
    <t>Número De Internações HGP (Estrutura)</t>
  </si>
  <si>
    <t>NC 3341 / 2026</t>
  </si>
  <si>
    <t>Percentual de Pacientes em Longa Permanência (30 dias) (Resultado)</t>
  </si>
  <si>
    <t>NC 3342 / 2026</t>
  </si>
  <si>
    <t xml:space="preserve"> Taxa de Recusa de Vaga (Médico Regulador Interno) (Processo)</t>
  </si>
  <si>
    <t>NC 3343 / 2026</t>
  </si>
  <si>
    <t>NC 3344 / 2026</t>
  </si>
  <si>
    <t xml:space="preserve"> Percentual de Altas Hospitalar Efetivadas Até Horário/Meta (Meio - dia) (Processo)</t>
  </si>
  <si>
    <t>NC 3345 / 2026</t>
  </si>
  <si>
    <t xml:space="preserve"> Taxa de Altas Impedidas por Pendência (Processo)</t>
  </si>
  <si>
    <t>NC 3346 / 2026</t>
  </si>
  <si>
    <t xml:space="preserve"> Taxa de suspensão de cirurgias por indisponibilidade de leito (Processo)</t>
  </si>
  <si>
    <t>NC 3347 / 2026</t>
  </si>
  <si>
    <t xml:space="preserve"> Taxa de Leito Operacional X Leito Bloqueado (Estrutura)</t>
  </si>
  <si>
    <t>NC 3348 / 2026</t>
  </si>
  <si>
    <t xml:space="preserve"> Taxa de Reinternação Geral em até 30 Dias</t>
  </si>
  <si>
    <t>NC 3349 / 2026</t>
  </si>
  <si>
    <t xml:space="preserve"> Número de Prontuários de Solicitações Particulares Entregue (Estrutura)</t>
  </si>
  <si>
    <t>NC 3350 / 2026</t>
  </si>
  <si>
    <t xml:space="preserve"> Número de Prontuários de Solicitações de Seguradoras Entregue (Estrutura)</t>
  </si>
  <si>
    <t>NC 3351 / 2026</t>
  </si>
  <si>
    <t xml:space="preserve"> Taxa de Não Entrega de Prontuários ao Requerente (Resultado)</t>
  </si>
  <si>
    <t>NC 3352 / 2026</t>
  </si>
  <si>
    <t xml:space="preserve"> Total de Prontuários Solicitados ao SPP (Processo)</t>
  </si>
  <si>
    <t>NC 3353 / 2026</t>
  </si>
  <si>
    <t xml:space="preserve"> Taxa de Prontuários Não Localizados (Resultado)</t>
  </si>
  <si>
    <t>NC 3354 / 2026</t>
  </si>
  <si>
    <t xml:space="preserve"> Tempo Médio de Localização e Entrega de Prontuário (Processo)</t>
  </si>
  <si>
    <t>NC 3355 / 2026</t>
  </si>
  <si>
    <t xml:space="preserve"> Percentual de Entrega de Prontuários Dentro do Prazo (Processo)</t>
  </si>
  <si>
    <t>NC 3356 / 2026</t>
  </si>
  <si>
    <t>NC 3357 / 2026</t>
  </si>
  <si>
    <t xml:space="preserve"> Total de Prontuarios Encaminhados ao Faturamento (Processo)</t>
  </si>
  <si>
    <t>NC 3358 / 2026</t>
  </si>
  <si>
    <t xml:space="preserve"> Taxa de prontuários Conformes (Resultado)</t>
  </si>
  <si>
    <t>NC 3359 / 2026</t>
  </si>
  <si>
    <t xml:space="preserve"> Cobertura de Postos de Acesso (Estrutura)</t>
  </si>
  <si>
    <t>NC 3360 / 2026</t>
  </si>
  <si>
    <t xml:space="preserve"> Disponibilidade de Equipe por Turno (Estrutura)</t>
  </si>
  <si>
    <t>NC 3361 / 2026</t>
  </si>
  <si>
    <t xml:space="preserve"> Funcionamento das Catracas (Estrutura)</t>
  </si>
  <si>
    <t>NC 3362 / 2026</t>
  </si>
  <si>
    <t xml:space="preserve"> Total de Acesso (Estrutura)</t>
  </si>
  <si>
    <t>NC 3363 / 2026</t>
  </si>
  <si>
    <t xml:space="preserve"> Percentual de Rondas /verificações de Acesso Realizadas (Processo)</t>
  </si>
  <si>
    <t>NC 3364 / 2026</t>
  </si>
  <si>
    <t>NC 3365 / 2026</t>
  </si>
  <si>
    <t xml:space="preserve"> Taxa de Ocorrências Relacionadas a Falha no Controle de Acesso (Resultado)</t>
  </si>
  <si>
    <t>NC 3366 / 2026</t>
  </si>
  <si>
    <t>NC 3367 / 2026</t>
  </si>
  <si>
    <t xml:space="preserve"> Quantitativo de TRansporte Realizado (Estrutura)</t>
  </si>
  <si>
    <t>NC 3368 / 2026</t>
  </si>
  <si>
    <t xml:space="preserve"> Cobertura de Maqueiro por Turno (Estrutura)</t>
  </si>
  <si>
    <t>NC 3369 / 2026</t>
  </si>
  <si>
    <t xml:space="preserve"> Taxa de Ambulâncias Aptas (Estrutura)</t>
  </si>
  <si>
    <t>NC 3370 / 2026</t>
  </si>
  <si>
    <t xml:space="preserve"> Disponibilidade de Macas e Cadeiras de Rodas Operacionais (Estrutura)</t>
  </si>
  <si>
    <t>NC 3371 / 2026</t>
  </si>
  <si>
    <t xml:space="preserve"> Taxa de Transporte com Classificação de Risco Registrada (Processo)</t>
  </si>
  <si>
    <t>NC 3372 / 2026</t>
  </si>
  <si>
    <t>Taxa de Transporte de Emergência (Processo)</t>
  </si>
  <si>
    <t>NC 3373 / 2026</t>
  </si>
  <si>
    <t>Tempo Médio de Transporte Extra Hospitalar (Demandas do HGP) (Processo)</t>
  </si>
  <si>
    <t>NC 3374 / 2026</t>
  </si>
  <si>
    <t>Taxa de Intercorrências no Transporte IntraHospitalar (Resultado)</t>
  </si>
  <si>
    <t>NC 3375 / 2026</t>
  </si>
  <si>
    <t xml:space="preserve"> Taxa de Transporte Resolutivo (Resultado)</t>
  </si>
  <si>
    <t>NC 3376 / 2026</t>
  </si>
  <si>
    <t xml:space="preserve"> Consumo de Resíduos Infectantes (Resultado)</t>
  </si>
  <si>
    <t>NC 3377 / 2026</t>
  </si>
  <si>
    <t>GRSS - Gerenciamento de Resíduos de serviço de Saúde</t>
  </si>
  <si>
    <t xml:space="preserve"> Índice de Resíduo Infectantes por Paciente Dia (Processo)</t>
  </si>
  <si>
    <t>NC 3378 / 2026</t>
  </si>
  <si>
    <t>NC 3379 / 2026</t>
  </si>
  <si>
    <t xml:space="preserve"> Proporção de Mortalidade Institucional por Doenças e Agravos de Notificação Compulsória (Resultado)</t>
  </si>
  <si>
    <t>NC 3380 / 2026</t>
  </si>
  <si>
    <t>Proporção de Óbitos Maternos Investigados (Processo)</t>
  </si>
  <si>
    <t>NC 3381 / 2026</t>
  </si>
  <si>
    <t>Proporção de Óbitos Infantis e Fetais Investigados (Processo)</t>
  </si>
  <si>
    <t>NC 3382 / 2026</t>
  </si>
  <si>
    <t>Proporção de Óbitos de Mulheres em Idade Fértil (MIF) (Porcesso)</t>
  </si>
  <si>
    <t>NC 3383 / 2026</t>
  </si>
  <si>
    <t xml:space="preserve"> PE Protocolo - Sepse- Tempo para Antibioticoterapia na Sepse (Processo)</t>
  </si>
  <si>
    <t>NC 3384 / 2026</t>
  </si>
  <si>
    <t>SCIH - Serviço de Controle de Infecção Hospitalar</t>
  </si>
  <si>
    <t xml:space="preserve"> PE Protocolo - Sepse - Taxa de Mortalidade em Sepse e Choque Séptico (Resultado)</t>
  </si>
  <si>
    <t>NC 3385 / 2026</t>
  </si>
  <si>
    <t xml:space="preserve"> Total de pacientes internados na CGO (Estrutura)</t>
  </si>
  <si>
    <t>NC 3386 / 2026</t>
  </si>
  <si>
    <t>CGO - Unidade de Internação Ginecobstétrica</t>
  </si>
  <si>
    <t xml:space="preserve"> Total de Internação de recém-nascidos em alojamento conjunto (Estrutura)</t>
  </si>
  <si>
    <t>NC 3387 / 2026</t>
  </si>
  <si>
    <t>NC 3388 / 2026</t>
  </si>
  <si>
    <t>NC 3389 / 2026</t>
  </si>
  <si>
    <t>NC 3390 / 2026</t>
  </si>
  <si>
    <t xml:space="preserve"> Taxa De Aleitamento Materno Exclusivo</t>
  </si>
  <si>
    <t>NC 3391 / 2026</t>
  </si>
  <si>
    <t>NC 3392 / 2026</t>
  </si>
  <si>
    <t>Taxa de Amamentação na Primeira Hora (Resultado)</t>
  </si>
  <si>
    <t>NC 3393 / 2026</t>
  </si>
  <si>
    <t>Taxa de Transferência para Centro Cirúrgico (Resultado)</t>
  </si>
  <si>
    <t>NC 3394 / 2026</t>
  </si>
  <si>
    <t xml:space="preserve"> Taxa de Hemorragia Pós Parto (Resultado)</t>
  </si>
  <si>
    <t>NC 3395 / 2026</t>
  </si>
  <si>
    <t xml:space="preserve"> Nº de Atendimentos no Centro de Parto Normal (Estrutura)</t>
  </si>
  <si>
    <t>NC 3396 / 2026</t>
  </si>
  <si>
    <t>Taxa de Intervenção Obstétrica (Processo)</t>
  </si>
  <si>
    <t>NC 3397 / 2026</t>
  </si>
  <si>
    <t>Taxa de Ocupação na Sala Vermelha (Processo)</t>
  </si>
  <si>
    <t>NC 3398 / 2026</t>
  </si>
  <si>
    <t xml:space="preserve"> Taxa de Tempo Porta-Médico (Processo)</t>
  </si>
  <si>
    <t>NC 3399 / 2026</t>
  </si>
  <si>
    <t xml:space="preserve"> Taxa de Testagem Positivas (Resultado)</t>
  </si>
  <si>
    <t>NC 3400 / 2026</t>
  </si>
  <si>
    <t>NC 3401 / 2026</t>
  </si>
  <si>
    <t xml:space="preserve"> Taxa de Mortalidade - Clínica Pediátrica (Resultado)</t>
  </si>
  <si>
    <t>NC 3402 / 2026</t>
  </si>
  <si>
    <t xml:space="preserve"> Taxa de Reinternação em 30 Dias - Clínica Pediátrica (Resultado)</t>
  </si>
  <si>
    <t>NC 3403 / 2026</t>
  </si>
  <si>
    <t>Taxa de Mortalidade - UCI Neonatal (Resultado)</t>
  </si>
  <si>
    <t>NC 3406 / 2026</t>
  </si>
  <si>
    <t xml:space="preserve"> Taxa de Reinternação em 24 horas - UCI Neonatal (Resultado)</t>
  </si>
  <si>
    <t>NC 3407 / 2026</t>
  </si>
  <si>
    <t xml:space="preserve"> Número de Pacientes Internados na UCI (Estrutura)</t>
  </si>
  <si>
    <t>NC 3408 / 2026</t>
  </si>
  <si>
    <t xml:space="preserve"> Taxa de Pacientes em Aleitamento Materno Exclusivo (Processo)</t>
  </si>
  <si>
    <t>NC 3409 / 2026</t>
  </si>
  <si>
    <t xml:space="preserve"> Taxa de Transferência para UTI NEO (Processo)</t>
  </si>
  <si>
    <t>NC 3410 / 2026</t>
  </si>
  <si>
    <t xml:space="preserve"> Auditorias dos Processos Laboratoriais (Processo)</t>
  </si>
  <si>
    <t>NC 3411 / 2026</t>
  </si>
  <si>
    <t>NC 3412 / 2026</t>
  </si>
  <si>
    <t xml:space="preserve"> Auditoria Não Conformidade Transfusional (Processo)</t>
  </si>
  <si>
    <t>NC 3413 / 2026</t>
  </si>
  <si>
    <t>NC 3414 / 2026</t>
  </si>
  <si>
    <t xml:space="preserve"> Disponibilidade de Equipamentos Críticos (Estrutura)</t>
  </si>
  <si>
    <t>NC 3415 / 2026</t>
  </si>
  <si>
    <t>NC 3416 / 2026</t>
  </si>
  <si>
    <t xml:space="preserve"> Índice de Falha em Indicadores Biológicos (Processo)</t>
  </si>
  <si>
    <t>NC 3417 / 2026</t>
  </si>
  <si>
    <t xml:space="preserve"> Índice de Não Conformidade na Embalagem (Processo)</t>
  </si>
  <si>
    <t>NC 3418 / 2026</t>
  </si>
  <si>
    <t>Taxa de conformidade de esterilização (Resultado)</t>
  </si>
  <si>
    <t>NC 3419 / 2026</t>
  </si>
  <si>
    <t xml:space="preserve"> Taxa de Conformidade do Processo de Limpeza (Resultado)</t>
  </si>
  <si>
    <t>NC 3420 / 2026</t>
  </si>
  <si>
    <t xml:space="preserve"> Quantidade de Voluntários Ativos no Período (Estrutura)</t>
  </si>
  <si>
    <t>NC 3421 / 2026</t>
  </si>
  <si>
    <t>NGAH - Núcleo de Gestão de Atendimento e Humanização</t>
  </si>
  <si>
    <t>Número de Profissionais Vinculados (Estrutura)</t>
  </si>
  <si>
    <t>NC 3422 / 2026</t>
  </si>
  <si>
    <t xml:space="preserve"> Registro e Acompanhamento das Atividades Acadêmicas (Processo)</t>
  </si>
  <si>
    <t>NC 3423 / 2026</t>
  </si>
  <si>
    <t xml:space="preserve"> Avaliação de Desempenho dos Internos/residentes (Resultado)</t>
  </si>
  <si>
    <t>NC 3424 / 2026</t>
  </si>
  <si>
    <t>Atraso na Análise</t>
  </si>
  <si>
    <t xml:space="preserve"> Quantidade de Itens Solicitados (Estrutura)</t>
  </si>
  <si>
    <t>NC 3438 / 2026</t>
  </si>
  <si>
    <t>11/05/2026</t>
  </si>
  <si>
    <t>NC 3439 / 2026</t>
  </si>
  <si>
    <t>NC 3440 / 2026</t>
  </si>
  <si>
    <t>NC 3441 / 2026</t>
  </si>
  <si>
    <t xml:space="preserve"> Quantidade de Ordens de Serviços Solicitados (Estrurua)</t>
  </si>
  <si>
    <t>NC 3442 / 2026</t>
  </si>
  <si>
    <t xml:space="preserve"> Quantidade de Bens Movimentados (Estrutura)</t>
  </si>
  <si>
    <t>NC 3443 / 2026</t>
  </si>
  <si>
    <t xml:space="preserve"> Quantidade de Bens Recuperados de Depósito (Resultado)</t>
  </si>
  <si>
    <t>NC 3444 / 2026</t>
  </si>
  <si>
    <t xml:space="preserve"> Ordens de Serviço Aberta x Finalizadas (Processo)</t>
  </si>
  <si>
    <t>NC 3445 / 2026</t>
  </si>
  <si>
    <t xml:space="preserve"> Percentual de Tempo de Atendimento (Processo)</t>
  </si>
  <si>
    <t>NC 3446 / 2026</t>
  </si>
  <si>
    <t xml:space="preserve"> Percentual de de Resolutividade (Resultado)</t>
  </si>
  <si>
    <t>NC 3447 / 2026</t>
  </si>
  <si>
    <t>NC 3448 / 2026</t>
  </si>
  <si>
    <t>NC 3449 / 2026</t>
  </si>
  <si>
    <t xml:space="preserve"> Percentual de Desabastecimento de Medicamento e Material Médico Hospitalar (Processo)</t>
  </si>
  <si>
    <t>NC 3450 / 2026</t>
  </si>
  <si>
    <t>NC 3451 / 2026</t>
  </si>
  <si>
    <t>NC 3452 / 2026</t>
  </si>
  <si>
    <t>NC 3453 / 2026</t>
  </si>
  <si>
    <t>NC 3454 / 2026</t>
  </si>
  <si>
    <t xml:space="preserve"> Taxa de Renovação de Equipamentos (Processo)</t>
  </si>
  <si>
    <t>NC 3455 / 2026</t>
  </si>
  <si>
    <t>NC 3456 / 2026</t>
  </si>
  <si>
    <t>Índice de Ordens de Serviços Solicitados x Realizadas (Processo)</t>
  </si>
  <si>
    <t>NC 3457 / 2026</t>
  </si>
  <si>
    <t xml:space="preserve"> Taxa Cumprimento do Plano de Manutenção Preventiva (Processo)</t>
  </si>
  <si>
    <t>NC 3458 / 2026</t>
  </si>
  <si>
    <t>NC 3459 / 2026</t>
  </si>
  <si>
    <t>NC 3460 / 2026</t>
  </si>
  <si>
    <t xml:space="preserve"> Índice de Manutenção Preventiva (Processo)</t>
  </si>
  <si>
    <t>NC 3461 / 2026</t>
  </si>
  <si>
    <t xml:space="preserve"> Taxa de Cumprimento do Cardápio Planejado (Processo)</t>
  </si>
  <si>
    <t>NC 3462 / 2026</t>
  </si>
  <si>
    <t>NC 3463 / 2026</t>
  </si>
  <si>
    <t>NC 3464 / 2026</t>
  </si>
  <si>
    <t xml:space="preserve"> Taxa de Alcance das Ações do Núcleo de Bem-Estar e Saúde do Colaborador (Processo)</t>
  </si>
  <si>
    <t>NC 3466 / 2026</t>
  </si>
  <si>
    <t>NC 3467 / 2026</t>
  </si>
  <si>
    <t>NC 3468 / 2026</t>
  </si>
  <si>
    <t xml:space="preserve"> Índice de Afastamentos (Resultado)</t>
  </si>
  <si>
    <t>NC 3469 / 2026</t>
  </si>
  <si>
    <t>NC 3470 / 2026</t>
  </si>
  <si>
    <t>NC 3471 / 2026</t>
  </si>
  <si>
    <t>NC 3472 / 2026</t>
  </si>
  <si>
    <t>NC 3473 / 2026</t>
  </si>
  <si>
    <t xml:space="preserve"> Taxa de Conformidade dos Prontuários Auditados (Processo)</t>
  </si>
  <si>
    <t>NC 3474 / 2026</t>
  </si>
  <si>
    <t>NC 3475 / 2026</t>
  </si>
  <si>
    <t>NC 3476 / 2026</t>
  </si>
  <si>
    <t>NC 3479 / 2026</t>
  </si>
  <si>
    <t>12/05/2026</t>
  </si>
  <si>
    <t>NC 3480 / 2026</t>
  </si>
  <si>
    <t>NC 3481 / 2026</t>
  </si>
  <si>
    <t xml:space="preserve"> Taxa de Intercorrências com Materiais de OPME (Resultado)</t>
  </si>
  <si>
    <t>NC 3482 / 2026</t>
  </si>
  <si>
    <t>Número de Solicitações de OPME Realizadas (Estrutura)</t>
  </si>
  <si>
    <t>NC 3483 / 2026</t>
  </si>
  <si>
    <t xml:space="preserve"> Número De Internações HGP (Estrutura)</t>
  </si>
  <si>
    <t>NC 3484 / 2026</t>
  </si>
  <si>
    <t xml:space="preserve"> Taxa de Ocupação Hospitalar Geral</t>
  </si>
  <si>
    <t>NC 3485 / 2026</t>
  </si>
  <si>
    <t>NC 3486 / 2026</t>
  </si>
  <si>
    <t>NC 3487 / 2026</t>
  </si>
  <si>
    <t>NC 3488 / 2026</t>
  </si>
  <si>
    <t>NC 3489 / 2026</t>
  </si>
  <si>
    <t>NC 3490 / 2026</t>
  </si>
  <si>
    <t xml:space="preserve"> Taxa de Utilização de Leitos Extras - Virtuais (Estrutura)</t>
  </si>
  <si>
    <t>NC 3491 / 2026</t>
  </si>
  <si>
    <t xml:space="preserve"> Taxa de Liberação de Leitos Para Transferência Externa (Processo)</t>
  </si>
  <si>
    <t>NC 3492 / 2026</t>
  </si>
  <si>
    <t xml:space="preserve"> Média de Permanência Geral</t>
  </si>
  <si>
    <t>NC 3493 / 2026</t>
  </si>
  <si>
    <t>Número de Prontuários de Solicitações Particulares Entregue (Estrutura)</t>
  </si>
  <si>
    <t>NC 3494 / 2026</t>
  </si>
  <si>
    <t>NC 3495 / 2026</t>
  </si>
  <si>
    <t>NC 3496 / 2026</t>
  </si>
  <si>
    <t>NC 3497 / 2026</t>
  </si>
  <si>
    <t>NC 3498 / 2026</t>
  </si>
  <si>
    <t>NC 3499 / 2026</t>
  </si>
  <si>
    <t>NC 3500 / 2026</t>
  </si>
  <si>
    <t xml:space="preserve"> Percentual de Prontuários Completos na Alta (Processo)</t>
  </si>
  <si>
    <t>NC 3501 / 2026</t>
  </si>
  <si>
    <t>Total de Prontuários Digitalizados (Estrutura)</t>
  </si>
  <si>
    <t>NC 3502 / 2026</t>
  </si>
  <si>
    <t>NC 3503 / 2026</t>
  </si>
  <si>
    <t>NC 3504 / 2026</t>
  </si>
  <si>
    <t xml:space="preserve"> Total de Atendimentos (Processo)</t>
  </si>
  <si>
    <t>NC 3505 / 2026</t>
  </si>
  <si>
    <t xml:space="preserve"> Cobertura dos Postos de Recepção (Estrutura)</t>
  </si>
  <si>
    <t>NC 3506 / 2026</t>
  </si>
  <si>
    <t xml:space="preserve"> Tempo Porta PAM (Processo)</t>
  </si>
  <si>
    <t>NC 3507 / 2026</t>
  </si>
  <si>
    <t xml:space="preserve"> Tempo Porta Pronto Socorro (Processo)</t>
  </si>
  <si>
    <t>NC 3508 / 2026</t>
  </si>
  <si>
    <t xml:space="preserve"> Tempo Porta Ambulatório (Processo)</t>
  </si>
  <si>
    <t>NC 3509 / 2026</t>
  </si>
  <si>
    <t xml:space="preserve"> Taxa de Duplicidade de Cadastro (Resultado)</t>
  </si>
  <si>
    <t>NC 3510 / 2026</t>
  </si>
  <si>
    <t>NC 3511 / 2026</t>
  </si>
  <si>
    <t>NC 3512 / 2026</t>
  </si>
  <si>
    <t>NC 3513 / 2026</t>
  </si>
  <si>
    <t>NC 3514 / 2026</t>
  </si>
  <si>
    <t>NC 3515 / 2026</t>
  </si>
  <si>
    <t>NC 3516 / 2026</t>
  </si>
  <si>
    <t xml:space="preserve"> Taxa de Acesso Não Autorizados Interceptados (Processo)</t>
  </si>
  <si>
    <t>NC 3517 / 2026</t>
  </si>
  <si>
    <t>NC 3518 / 2026</t>
  </si>
  <si>
    <t>NC 3519 / 2026</t>
  </si>
  <si>
    <t>NC 3520 / 2026</t>
  </si>
  <si>
    <t>NC 3521 / 2026</t>
  </si>
  <si>
    <t>NC 3522 / 2026</t>
  </si>
  <si>
    <t>NC 3523 / 2026</t>
  </si>
  <si>
    <t>NC 3524 / 2026</t>
  </si>
  <si>
    <t>NC 3525 / 2026</t>
  </si>
  <si>
    <t xml:space="preserve"> Tempo Médio de Transporte Extra Hospitalar (Demandas do HGP) (Processo)</t>
  </si>
  <si>
    <t>NC 3526 / 2026</t>
  </si>
  <si>
    <t>NC 3527 / 2026</t>
  </si>
  <si>
    <t>NC 3528 / 2026</t>
  </si>
  <si>
    <t>NC 3529 / 2026</t>
  </si>
  <si>
    <t xml:space="preserve"> Consumo de Resíduos Comum (Estrutura)</t>
  </si>
  <si>
    <t>NC 3530 / 2026</t>
  </si>
  <si>
    <t>NC 3531 / 2026</t>
  </si>
  <si>
    <t xml:space="preserve"> Número de casos suspeitos de Doenças e Agravos de Notificações Compulsórias (Estrutura)</t>
  </si>
  <si>
    <t>NC 3532 / 2026</t>
  </si>
  <si>
    <t>NC 3533 / 2026</t>
  </si>
  <si>
    <t>NC 3534 / 2026</t>
  </si>
  <si>
    <t xml:space="preserve"> Proporção de Óbitos Infantis e Fetais Investigados (Processo)</t>
  </si>
  <si>
    <t>NC 3535 / 2026</t>
  </si>
  <si>
    <t xml:space="preserve"> Consumo de Preparação Alcóolica na UTI adulto para higiene das mãos (Estrutura)</t>
  </si>
  <si>
    <t>NC 3536 / 2026</t>
  </si>
  <si>
    <t xml:space="preserve"> Taxa de Infecção de Sítio Cirúrgico em Cirurgias Limpas (Resultado)</t>
  </si>
  <si>
    <t>NC 3537 / 2026</t>
  </si>
  <si>
    <t xml:space="preserve"> Percentual de adesão ao Bundle Prevenção de Infecção do Trato Urinário (Processo)</t>
  </si>
  <si>
    <t>NC 3538 / 2026</t>
  </si>
  <si>
    <t xml:space="preserve"> Percentual de Adesão ao Bundle de IPCS associadas a CVC (Processo)</t>
  </si>
  <si>
    <t>NC 3539 / 2026</t>
  </si>
  <si>
    <t>NC 3540 / 2026</t>
  </si>
  <si>
    <t xml:space="preserve"> Taxa de Infecções de Sitio Cirúrgico em Cesariana (Processo)</t>
  </si>
  <si>
    <t>NC 3541 / 2026</t>
  </si>
  <si>
    <t>NC 3542 / 2026</t>
  </si>
  <si>
    <t xml:space="preserve"> Densidade de Infecção do Trato Urinário (ITU) Associada a Cateter Vesical de Demora na UTI adulto (Resultado)</t>
  </si>
  <si>
    <t>NC 3543 / 2026</t>
  </si>
  <si>
    <t xml:space="preserve"> PE Protocolo - Sepse Tempo para Antibioticoterapia na Sepse (Processo)</t>
  </si>
  <si>
    <t>NC 3544 / 2026</t>
  </si>
  <si>
    <t xml:space="preserve"> PE Protocolo - Sepse Taxa de Mortalidade em Sepse e Choque Séptico (Resultado)</t>
  </si>
  <si>
    <t>NC 3545 / 2026</t>
  </si>
  <si>
    <t>NC 3546 / 2026</t>
  </si>
  <si>
    <t>NC 3547 / 2026</t>
  </si>
  <si>
    <t xml:space="preserve"> Taxa de tempo médio de internação (Processo)</t>
  </si>
  <si>
    <t>NC 3548 / 2026</t>
  </si>
  <si>
    <t xml:space="preserve"> Taxa de Reinternação em 45 dias - Clínica Gineco Obstétrica (Resultado)</t>
  </si>
  <si>
    <t>NC 3549 / 2026</t>
  </si>
  <si>
    <t xml:space="preserve"> Taxa de acompanhamento por partograma (Processo)</t>
  </si>
  <si>
    <t>NC 3550 / 2026</t>
  </si>
  <si>
    <t xml:space="preserve"> Taxa de mortalidade - Clínica Gineco Obstétrica (Resultado)</t>
  </si>
  <si>
    <t>NC 3551 / 2026</t>
  </si>
  <si>
    <t>Taxa De Aleitamento Materno Exclusivo</t>
  </si>
  <si>
    <t>NC 3552 / 2026</t>
  </si>
  <si>
    <t>Número de Hemorragia Pós - Parto Mensal (Estrutura)</t>
  </si>
  <si>
    <t>NC 3553 / 2026</t>
  </si>
  <si>
    <t xml:space="preserve"> Número de RN com Apgar Menor que 7 (No 5°Minuto) Mensal (Estrutura)</t>
  </si>
  <si>
    <t>NC 3554 / 2026</t>
  </si>
  <si>
    <t xml:space="preserve"> Taxa de Amamentação na Primeira Hora (Resultado)</t>
  </si>
  <si>
    <t>NC 3555 / 2026</t>
  </si>
  <si>
    <t xml:space="preserve"> Taxa de Transferência para Centro Cirúrgico (Resultado)</t>
  </si>
  <si>
    <t>NC 3556 / 2026</t>
  </si>
  <si>
    <t>NC 3557 / 2026</t>
  </si>
  <si>
    <t>NC 3558 / 2026</t>
  </si>
  <si>
    <t xml:space="preserve"> Taxa de Intervenção Obstétrica (Processo)</t>
  </si>
  <si>
    <t>NC 3559 / 2026</t>
  </si>
  <si>
    <t xml:space="preserve"> Nº de Atendimentos no Pronto Atendimento Materno (Estrutura)</t>
  </si>
  <si>
    <t>NC 3560 / 2026</t>
  </si>
  <si>
    <t xml:space="preserve"> Taxa de Ocupação na Sala Vermelha (Processo)</t>
  </si>
  <si>
    <t>NC 3561 / 2026</t>
  </si>
  <si>
    <t>NC 3562 / 2026</t>
  </si>
  <si>
    <t>NC 3563 / 2026</t>
  </si>
  <si>
    <t xml:space="preserve"> Tempo Médio de Permanência - Clínica Pediátrica (Processo)</t>
  </si>
  <si>
    <t>NC 3564 / 2026</t>
  </si>
  <si>
    <t>NC 3565 / 2026</t>
  </si>
  <si>
    <t>NC 3566 / 2026</t>
  </si>
  <si>
    <t xml:space="preserve"> Número Total de pacientes Internados da Pediatria (Estrutura)</t>
  </si>
  <si>
    <t>NC 3567 / 2026</t>
  </si>
  <si>
    <t xml:space="preserve"> Taxa de Mortalidade - UCI Neonatal (Resultado)</t>
  </si>
  <si>
    <t>NC 3568 / 2026</t>
  </si>
  <si>
    <t>Taxa de Reinternação em 24 horas - UCI Neonatal (Resultado)</t>
  </si>
  <si>
    <t>NC 3569 / 2026</t>
  </si>
  <si>
    <t>NC 3570 / 2026</t>
  </si>
  <si>
    <t>NC 3571 / 2026</t>
  </si>
  <si>
    <t>NC 3572 / 2026</t>
  </si>
  <si>
    <t>NC 3573 / 2026</t>
  </si>
  <si>
    <t xml:space="preserve"> Percentual de Pacientes com Tempo de Espera Superior a 30 Minutos no Ambulatório (Processo)</t>
  </si>
  <si>
    <t>NC 3574 / 2026</t>
  </si>
  <si>
    <t xml:space="preserve"> Número Total de Atendimento na Sala de Terapia Infusional (Estrutura)</t>
  </si>
  <si>
    <t>NC 3575 / 2026</t>
  </si>
  <si>
    <t>NC 3576 / 2026</t>
  </si>
  <si>
    <t>NC 3578 / 2026</t>
  </si>
  <si>
    <t xml:space="preserve"> Taxa de Absenteísmo em Atendimento na Sala de Terapia Infusional (Resultado)</t>
  </si>
  <si>
    <t>NC 3579 / 2026</t>
  </si>
  <si>
    <t>NC 3580 / 2026</t>
  </si>
  <si>
    <t>SADT - Unidade de Diagnóstico por Imagem</t>
  </si>
  <si>
    <t xml:space="preserve"> Tempo de Elaboração do Laudo de Urgência e Emergência (Processo)</t>
  </si>
  <si>
    <t>NC 3581 / 2026</t>
  </si>
  <si>
    <t>NC 3582 / 2026</t>
  </si>
  <si>
    <t xml:space="preserve"> Taxa de Exames Solicitados como Urgentes (Estrutura)</t>
  </si>
  <si>
    <t>NC 3583 / 2026</t>
  </si>
  <si>
    <t xml:space="preserve"> Quantitativo de Exames Realizados (Estrutura)</t>
  </si>
  <si>
    <t>NC 3584 / 2026</t>
  </si>
  <si>
    <t xml:space="preserve"> Taxa de Re-Coletas de Amostras (Processo)</t>
  </si>
  <si>
    <t>NC 3585 / 2026</t>
  </si>
  <si>
    <t>NC 3586 / 2026</t>
  </si>
  <si>
    <t>NC 3587 / 2026</t>
  </si>
  <si>
    <t xml:space="preserve"> Acompanhamento Transfusional (Processo)</t>
  </si>
  <si>
    <t>NC 3588 / 2026</t>
  </si>
  <si>
    <t xml:space="preserve"> Taxa de Atraso da Primeira Cirurgia do Dia (Processo)</t>
  </si>
  <si>
    <t>NC 3589 / 2026</t>
  </si>
  <si>
    <t xml:space="preserve"> Taxa de Ocupação de Sala Cirúrgica (Processo)</t>
  </si>
  <si>
    <t>NC 3590 / 2026</t>
  </si>
  <si>
    <t xml:space="preserve"> Taxa de Intercorrências na Sala de Recuperação Pós Anestésica (Resultado)</t>
  </si>
  <si>
    <t>NC 3591 / 2026</t>
  </si>
  <si>
    <t>NC 3592 / 2026</t>
  </si>
  <si>
    <t xml:space="preserve"> Esterilização (Processo)</t>
  </si>
  <si>
    <t>NC 3593 / 2026</t>
  </si>
  <si>
    <t>NC 3594 / 2026</t>
  </si>
  <si>
    <t>NC 3595 / 2026</t>
  </si>
  <si>
    <t>NC 3596 / 2026</t>
  </si>
  <si>
    <t>NC 3597 / 2026</t>
  </si>
  <si>
    <t xml:space="preserve"> Tempo Médio de Internação na Unidade de Internação Cirúrgica (Processo)</t>
  </si>
  <si>
    <t>NC 3598 / 2026</t>
  </si>
  <si>
    <t xml:space="preserve"> Diárias de Pacientes na Unidade de Internação Cirúrgica (Estrutura)</t>
  </si>
  <si>
    <t>NC 3602 / 2026</t>
  </si>
  <si>
    <t>13/05/2026</t>
  </si>
  <si>
    <t xml:space="preserve"> Taxa de Ocupação da Unidade de Internação Cirúrgica (Processo)</t>
  </si>
  <si>
    <t>NC 3603 / 2026</t>
  </si>
  <si>
    <t xml:space="preserve"> Taxa de Altas Médica Realizadas até as 10h (Clínica Cirúrgica) (Resultado)</t>
  </si>
  <si>
    <t>NC 3604 / 2026</t>
  </si>
  <si>
    <t xml:space="preserve"> Tempo Médio de Internação da Unidade de Internação Ortopédica (Processo)</t>
  </si>
  <si>
    <t>NC 3605 / 2026</t>
  </si>
  <si>
    <t>NC 3606 / 2026</t>
  </si>
  <si>
    <t xml:space="preserve"> Taxa de Ocupação da Unidade de Internação Ortopédica (Processo)</t>
  </si>
  <si>
    <t>NC 3607 / 2026</t>
  </si>
  <si>
    <t>NC 3608 / 2026</t>
  </si>
  <si>
    <t>PSICO - Unidade de Atendimento a Saúde Mental</t>
  </si>
  <si>
    <t xml:space="preserve"> Reinternação de Pacientes em até 30 dias após Alta Hospitalar (Resultado)</t>
  </si>
  <si>
    <t>NC 3609 / 2026</t>
  </si>
  <si>
    <t xml:space="preserve"> Tempo Médio de Internação - Clínica Médica (Processo)</t>
  </si>
  <si>
    <t>NC 3610 / 2026</t>
  </si>
  <si>
    <t>UICM - Unidade de Internação Clínica Médica</t>
  </si>
  <si>
    <t xml:space="preserve"> Reinternações de Pacientes em até 30 dias após Alta Hospitalar (Resultado)</t>
  </si>
  <si>
    <t>NC 3611 / 2026</t>
  </si>
  <si>
    <t xml:space="preserve"> Taxa de Óbitos + 24hs - Clinica Médica (resultado)</t>
  </si>
  <si>
    <t>NC 3612 / 2026</t>
  </si>
  <si>
    <t>NC 3613 / 2026</t>
  </si>
  <si>
    <t>TI - Serviço de Tecnologia da Informação e Comunicação</t>
  </si>
  <si>
    <t xml:space="preserve"> Percentual de Atendimento em 24 horas (Estrutura)</t>
  </si>
  <si>
    <t>NC 3614 / 2026</t>
  </si>
  <si>
    <t xml:space="preserve"> Percentual de Satisfação do Cliente (Resultado)</t>
  </si>
  <si>
    <t>NC 3615 / 2026</t>
  </si>
  <si>
    <t>NC 3616 / 2026</t>
  </si>
  <si>
    <t xml:space="preserve"> NPS (Net Promoter Score) (Resultado)</t>
  </si>
  <si>
    <t>NC 3617 / 2026</t>
  </si>
  <si>
    <t>NC 3618 / 2026</t>
  </si>
  <si>
    <t>NC 3619 / 2026</t>
  </si>
  <si>
    <t xml:space="preserve"> Número de Profissionais Vinculados (Estrutura)</t>
  </si>
  <si>
    <t>NC 3620 / 2026</t>
  </si>
  <si>
    <t>NC 3621 / 2026</t>
  </si>
  <si>
    <t>NC 3622 / 2026</t>
  </si>
  <si>
    <t>Fora do Prazo</t>
  </si>
  <si>
    <t>TiPO</t>
  </si>
  <si>
    <t>Data da Verificação</t>
  </si>
  <si>
    <t>Taxa Conformidade de Documentos (Processo)</t>
  </si>
  <si>
    <t>Taxa de Liberação de Leitos Para Transferência Externa (Processo)</t>
  </si>
  <si>
    <t>Taxa de Acesso Não Autorizados Interceptados (Processo)</t>
  </si>
  <si>
    <t>Taxa de Invasão ou Entrada Indevida em Áreas Restritas (Resultado)</t>
  </si>
  <si>
    <t>Número de casos suspeitos de Doenças e Agravos de Notificações Compulsórias (Estrutura)</t>
  </si>
  <si>
    <t>Taxa de tempo médio de internação (Processo)</t>
  </si>
  <si>
    <t>Taxa de Reinternação em 45 dias - Clínica Gineco Obstétrica (Resultado)</t>
  </si>
  <si>
    <t>Taxa de acompanhamento por partograma (Processo)</t>
  </si>
  <si>
    <t>Tempo Médio de Permanência - Clínica Pediátrica (Processo)</t>
  </si>
  <si>
    <t>Taxa de Exames Retificados (Processo)</t>
  </si>
  <si>
    <t>Taxa de Reoperação em até 30 dias (Resultado)</t>
  </si>
  <si>
    <t>Índice de Falha em Indicadores Químicos (Processo)</t>
  </si>
  <si>
    <t>Índice de OS Finalizados no Prazo (Infraestrutura) (Resultado)</t>
  </si>
  <si>
    <t>Índice de Reestruturação da Infraestrutura (Estrutura)</t>
  </si>
  <si>
    <t>Taxa de Erro de Montagem de Fita (Resultado)</t>
  </si>
  <si>
    <t>Volume de Atendimentos Ocupacionais</t>
  </si>
  <si>
    <t>Índice de Pagamento no Vencimento (Resultado)</t>
  </si>
  <si>
    <t>Taxa de Recusa de Vaga (Médico Regulador Interno) (Processo)</t>
  </si>
  <si>
    <t>Percentual de Altas Hospitalar Efetivadas Até Horário/Meta (Meio - dia) (Processo)</t>
  </si>
  <si>
    <t>Taxa de Não Entrega de Prontuários ao Requerente (Resultado)</t>
  </si>
  <si>
    <t>Tempo Médio de Localização e Entrega de Prontuário (Processo)</t>
  </si>
  <si>
    <t>Taxa de prontuários Conformes (Resultado)</t>
  </si>
  <si>
    <t>Taxa de Não Conformidade no Cadastro (Resultado)</t>
  </si>
  <si>
    <t>Total de Acesso (Estrutura)</t>
  </si>
  <si>
    <t>Taxa de Ocorrências Relacionadas a Falha no Controle de Acesso (Resultado)</t>
  </si>
  <si>
    <t>Taxa de Ambulâncias Aptas (Estrutura)</t>
  </si>
  <si>
    <t>Percentual de Adesão ao Bundle de Prevenção Pneumonia Associada a Ventilação Mecânica (PAVM) (Processo)</t>
  </si>
  <si>
    <t>Densidade de infecção de corrente sanguínea associada a cateter venoso central (CVC) na UTI Adulto (Resultado)</t>
  </si>
  <si>
    <t>Total de Internação de recém-nascidos em alojamento conjunto (Estrutura)</t>
  </si>
  <si>
    <t>Taxa de Absenteismo em Consultas Ambulatoriais (Resultado)</t>
  </si>
  <si>
    <t>Taxa de Atraso na Administração de Medicação (Processo)</t>
  </si>
  <si>
    <t>Taxa de Não Conformidades (Processo)</t>
  </si>
  <si>
    <t>Taxa de Hemoculturas Contaminadas (Resultado)</t>
  </si>
  <si>
    <t>Taxa de Exames com Liberação Superior a Meta (Resultado)</t>
  </si>
  <si>
    <t>Desinfecção (Estrutura)</t>
  </si>
  <si>
    <t>Diárias de Pacientes na Unidade de Internação Ortopédica (Estrutura)</t>
  </si>
  <si>
    <t>Tempo Médio de Internação - Clínica Psicossocial (Processo)</t>
  </si>
  <si>
    <t>Tempo Médio de Atendimento (Processo)</t>
  </si>
  <si>
    <t>Satisfação do Usuário (Resultado)</t>
  </si>
  <si>
    <t>Índice de ações de melhoria (do ISP) tratadas no prazo (Processo)</t>
  </si>
  <si>
    <t>Percentual de Atendimento (Processo)</t>
  </si>
  <si>
    <t>Número de Itens Solicitados (Estrutura)</t>
  </si>
  <si>
    <t>Percentual de Compras de Urgência (Resultado)</t>
  </si>
  <si>
    <t>Cobertura De Estoque De Itens Críticos (Processo)</t>
  </si>
  <si>
    <t>Percentual de Entrega de Compras (Resultado)</t>
  </si>
  <si>
    <t>Quantidade de Solicitações (Estrutura)</t>
  </si>
  <si>
    <t>Índice de Disponibilidade dos Equipamentos (Resultado)</t>
  </si>
  <si>
    <t>Taxa de Conformidade de Limpeza Terminal (Resultado)</t>
  </si>
  <si>
    <t>Índice de Conformidade de Roupa Processada (Resultado)</t>
  </si>
  <si>
    <t>Quantidade de Solicitações de Materiais e Medicamentos Recebidas (Estrutura)</t>
  </si>
  <si>
    <t>Percentual de Inspeções de Segurança Realizadas (Processo)</t>
  </si>
  <si>
    <t>Quantidades de Notas Fiscais (Estrutura)</t>
  </si>
  <si>
    <t>Taxa de Entrega de Parecer no Prazo (Processo)</t>
  </si>
  <si>
    <t>Percentual de Contratos com Documentação Completa (Processo)</t>
  </si>
  <si>
    <t>Taxa de Renovação de Contratos (Resultado)</t>
  </si>
  <si>
    <t>Totais de Custos a Pagamento (Estrutura)</t>
  </si>
  <si>
    <t>Índice de Devolução de Itens Consignados (Processo)</t>
  </si>
  <si>
    <t>Taxa de Altas Impedidas por Pendência (Processo)</t>
  </si>
  <si>
    <t>Taxa de suspensão de cirurgias por indisponibilidade de leito (Processo)</t>
  </si>
  <si>
    <t>Taxa de Leito Operacional X Leito Bloqueado (Estrutura)</t>
  </si>
  <si>
    <t>Taxa de Reinternação Geral em até 30 Dias</t>
  </si>
  <si>
    <t>Número de Prontuários de Solicitações de Seguradoras Entregue (Estrutura)</t>
  </si>
  <si>
    <t>Total de Prontuários Solicitados ao SPP (Processo)</t>
  </si>
  <si>
    <t>Taxa de Prontuários Não Localizados (Resultado)</t>
  </si>
  <si>
    <t>Percentual de Entrega de Prontuários Dentro do Prazo (Processo)</t>
  </si>
  <si>
    <t>Total de Prontuarios Encaminhados ao Faturamento (Processo)</t>
  </si>
  <si>
    <t>Cobertura de Postos de Acesso (Estrutura)</t>
  </si>
  <si>
    <t>Funcionamento das Catracas (Estrutura)</t>
  </si>
  <si>
    <t>Percentual de Rondas /verificações de Acesso Realizadas (Processo)</t>
  </si>
  <si>
    <t>Quantitativo de TRansporte Realizado (Estrutura)</t>
  </si>
  <si>
    <t>Cobertura de Maqueiro por Turno (Estrutura)</t>
  </si>
  <si>
    <t>Disponibilidade de Macas e Cadeiras de Rodas Operacionais (Estrutura)</t>
  </si>
  <si>
    <t>Taxa de Transporte com Classificação de Risco Registrada (Processo)</t>
  </si>
  <si>
    <t>Taxa de Transporte Resolutivo (Resultado)</t>
  </si>
  <si>
    <t>Consumo de Resíduos Infectantes (Resultado)</t>
  </si>
  <si>
    <t>Índice de Resíduo Infectantes por Paciente Dia (Processo)</t>
  </si>
  <si>
    <t>Proporção de Mortalidade Institucional por Doenças e Agravos de Notificação Compulsória (Resultado)</t>
  </si>
  <si>
    <t>Total de pacientes internados na CGO (Estrutura)</t>
  </si>
  <si>
    <t>Taxa de Hemorragia Pós Parto (Resultado)</t>
  </si>
  <si>
    <t>Nº de Atendimentos no Centro de Parto Normal (Estrutura)</t>
  </si>
  <si>
    <t>Taxa de Tempo Porta-Médico (Processo)</t>
  </si>
  <si>
    <t>Taxa de Testagem Positivas (Resultado)</t>
  </si>
  <si>
    <t>Taxa de Mortalidade - Clínica Pediátrica (Resultado)</t>
  </si>
  <si>
    <t>Taxa de Reinternação em 30 Dias - Clínica Pediátrica (Resultado)</t>
  </si>
  <si>
    <t>Número de Pacientes Internados na UCI (Estrutura)</t>
  </si>
  <si>
    <t>Taxa de Pacientes em Aleitamento Materno Exclusivo (Processo)</t>
  </si>
  <si>
    <t>Taxa de Transferência para UTI NEO (Processo)</t>
  </si>
  <si>
    <t>Auditoria Não Conformidade Transfusional (Processo)</t>
  </si>
  <si>
    <t>Disponibilidade de Equipamentos Críticos (Estrutura)</t>
  </si>
  <si>
    <t>Índice de Falha em Indicadores Biológicos (Processo)</t>
  </si>
  <si>
    <t>Índice de Não Conformidade na Embalagem (Processo)</t>
  </si>
  <si>
    <t>Taxa de Conformidade do Processo de Limpeza (Resultado)</t>
  </si>
  <si>
    <t>Quantidade de Voluntários Ativos no Período (Estrutura)</t>
  </si>
  <si>
    <t>Registro e Acompanhamento das Atividades Acadêmicas (Processo)</t>
  </si>
  <si>
    <t>Avaliação de Desempenho dos Internos/residentes (Resultado)</t>
  </si>
  <si>
    <t>Taxa de Cumprimento do Cardápio Planejado (Processo)</t>
  </si>
  <si>
    <t>Taxa de Alcance das Ações do Núcleo de Bem-Estar e Saúde do Colaborador (Processo)</t>
  </si>
  <si>
    <t>Índice de Afastamentos (Resultado)</t>
  </si>
  <si>
    <t>Taxa de Conformidade dos Prontuários Auditados (Processo)</t>
  </si>
  <si>
    <t>Taxa de Utilização de Leitos Extras - Virtuais (Estrutura)</t>
  </si>
  <si>
    <t>Percentual de Prontuários Completos na Alta (Processo)</t>
  </si>
  <si>
    <t>Cobertura dos Postos de Recepção (Estrutura)</t>
  </si>
  <si>
    <t>Tempo Porta PAM (Processo)</t>
  </si>
  <si>
    <t>Tempo Porta Pronto Socorro (Processo)</t>
  </si>
  <si>
    <t>Tempo Porta Ambulatório (Processo)</t>
  </si>
  <si>
    <t>Taxa de Duplicidade de Cadastro (Resultado)</t>
  </si>
  <si>
    <t>Consumo de Resíduos Comum (Estrutura)</t>
  </si>
  <si>
    <t>Consumo de Preparação Alcóolica na UTI adulto para higiene das mãos (Estrutura)</t>
  </si>
  <si>
    <t>Taxa de Infecção de Sítio Cirúrgico em Cirurgias Limpas (Resultado)</t>
  </si>
  <si>
    <t>Percentual de adesão ao Bundle Prevenção de Infecção do Trato Urinário (Processo)</t>
  </si>
  <si>
    <t>Percentual de Adesão ao Bundle de IPCS associadas a CVC (Processo)</t>
  </si>
  <si>
    <t>Taxa de Infecções de Sitio Cirúrgico em Cesariana (Processo)</t>
  </si>
  <si>
    <t>Densidade de Infecção do Trato Urinário (ITU) Associada a Cateter Vesical de Demora na UTI adulto (Resultado)</t>
  </si>
  <si>
    <t>Taxa de mortalidade - Clínica Gineco Obstétrica (Resultado)</t>
  </si>
  <si>
    <t>Número de RN com Apgar Menor que 7 (No 5°Minuto) Mensal (Estrutura)</t>
  </si>
  <si>
    <t>Nº de Atendimentos no Pronto Atendimento Materno (Estrutura)</t>
  </si>
  <si>
    <t>Número Total de pacientes Internados da Pediatria (Estrutura)</t>
  </si>
  <si>
    <t>Percentual de Pacientes com Tempo de Espera Superior a 30 Minutos no Ambulatório (Processo)</t>
  </si>
  <si>
    <t>Número Total de Atendimento na Sala de Terapia Infusional (Estrutura)</t>
  </si>
  <si>
    <t>Taxa de Absenteísmo em Atendimento na Sala de Terapia Infusional (Resultado)</t>
  </si>
  <si>
    <t>Tempo de Elaboração do Laudo de Urgência e Emergência (Processo)</t>
  </si>
  <si>
    <t>Taxa de Exames Solicitados como Urgentes (Estrutura)</t>
  </si>
  <si>
    <t>Quantitativo de Exames Realizados (Estrutura)</t>
  </si>
  <si>
    <t>Taxa de Re-Coletas de Amostras (Processo)</t>
  </si>
  <si>
    <t>Acompanhamento Transfusional (Processo)</t>
  </si>
  <si>
    <t>Taxa de Atraso da Primeira Cirurgia do Dia (Processo)</t>
  </si>
  <si>
    <t>Taxa de Ocupação de Sala Cirúrgica (Processo)</t>
  </si>
  <si>
    <t>Taxa de Intercorrências na Sala de Recuperação Pós Anestésica (Resultado)</t>
  </si>
  <si>
    <t>Esterilização (Processo)</t>
  </si>
  <si>
    <t>Tempo Médio de Internação na Unidade de Internação Cirúrgica (Processo)</t>
  </si>
  <si>
    <t>Diárias de Pacientes na Unidade de Internação Cirúrgica (Estrutura)</t>
  </si>
  <si>
    <t>Taxa de Ocupação da Unidade de Internação Cirúrgica (Processo)</t>
  </si>
  <si>
    <t>Taxa de Altas Médica Realizadas até as 10h (Clínica Cirúrgica) (Resultado)</t>
  </si>
  <si>
    <t>Tempo Médio de Internação da Unidade de Internação Ortopédica (Processo)</t>
  </si>
  <si>
    <t>Taxa de Ocupação da Unidade de Internação Ortopédica (Processo)</t>
  </si>
  <si>
    <t>Reinternação de Pacientes em até 30 dias após Alta Hospitalar (Resultado)</t>
  </si>
  <si>
    <t>Tempo Médio de Internação - Clínica Médica (Processo)</t>
  </si>
  <si>
    <t>Reinternações de Pacientes em até 30 dias após Alta Hospitalar (Resultado)</t>
  </si>
  <si>
    <t>Taxa de Óbitos + 24hs - Clinica Médica (resultado)</t>
  </si>
  <si>
    <t>Percentual de Atendimento em 24 horas (Estrutura)</t>
  </si>
  <si>
    <t>Percentual de Satisfação do Cliente (Resultado)</t>
  </si>
  <si>
    <t>NPS (Net Promoter Score) (Resultado)</t>
  </si>
  <si>
    <t>Absenteísmo (Resultado)</t>
  </si>
  <si>
    <t>Acompanhamento nas Comunicações de Notícias Difíceis (Processo)</t>
  </si>
  <si>
    <t>Assertividade da Alta Hospitalar conforme Previsão Médica - Clínica Cirúrgica (Resultado)</t>
  </si>
  <si>
    <t>Assertividade da Alta Hospitalar conforme Previsão Médica (Clínica Ortopédica) (Resultado)</t>
  </si>
  <si>
    <t>Assuntos Diversos</t>
  </si>
  <si>
    <t>Atendimentos Ambulatórios Não Médicos</t>
  </si>
  <si>
    <t>Atendimentos no Pronto Socorro (Estrutura)</t>
  </si>
  <si>
    <t>Controle de Marmitas Retornadas das Clínicas (Resultado)</t>
  </si>
  <si>
    <t xml:space="preserve">Controle de reuniões - Comitê de Compliance </t>
  </si>
  <si>
    <t>Custo assistencial</t>
  </si>
  <si>
    <t>Descarte de Hemocomponentes (Processo)</t>
  </si>
  <si>
    <t>Diárias de Pacientes da UCI (Processo)</t>
  </si>
  <si>
    <t>Diárias de Pacientes UTI</t>
  </si>
  <si>
    <t>Evolução de Receita</t>
  </si>
  <si>
    <t xml:space="preserve">Giro Leito (Giro de Rotatividade) Institucional </t>
  </si>
  <si>
    <t>Incidência de LPP(Resultado)</t>
  </si>
  <si>
    <t>Indice de Acidente de Trabalho (Resultado)</t>
  </si>
  <si>
    <t>Índice de Colaboradores com Carga Horária Igual ou Acima de 30 horas (anual)</t>
  </si>
  <si>
    <t>Índice de Disponibilidade Operacional da Equipe (Estrutura)</t>
  </si>
  <si>
    <t>Índice de Hora de Treinamento por Colaborador (Resultado)</t>
  </si>
  <si>
    <t>Índice de Imunização dos Colaboradores (Estrutura)</t>
  </si>
  <si>
    <t>Índice de Limpezas Terminais Programadas x Realizadas(Processo)</t>
  </si>
  <si>
    <t>Índice de Manutenção Preventiva(Processo)</t>
  </si>
  <si>
    <t>Índice de OS Fechadas no Prazo (Manutenção Emergencial)</t>
  </si>
  <si>
    <t xml:space="preserve">Média de Permanência Geral </t>
  </si>
  <si>
    <t>Nº de Denúncias Recebidas nos canais oficiais</t>
  </si>
  <si>
    <t>Nº de matérias publicadas em meio de comunicação</t>
  </si>
  <si>
    <t xml:space="preserve">Número de Ações Sociais Extramuro </t>
  </si>
  <si>
    <t xml:space="preserve">Número de Ações Sociais Intramuro </t>
  </si>
  <si>
    <t>Número de Consultas nos Ambulatórios (Estrutura)</t>
  </si>
  <si>
    <t>Número de Documentos Homologados (Estrutura)</t>
  </si>
  <si>
    <t>Número de Incidentes Notificados (Estrutura)</t>
  </si>
  <si>
    <t>Número de Interações com a Contratante</t>
  </si>
  <si>
    <t>Número de Mortalidade na UTI Adulto (Resultado)</t>
  </si>
  <si>
    <t>Número de Pacientes Atendidos pela Equipe de Fisioterapia no Hospital Geral de Parauapebas (Estrutura)</t>
  </si>
  <si>
    <t>Número de Procedimentos Cirúrgicos Realizados (Estrutura)</t>
  </si>
  <si>
    <t>PE : Desfecho por cor (internação/óbito/alta)</t>
  </si>
  <si>
    <t>PE: Assertividade da Alta Hospitalar conforme Previsão Médica - Por linha</t>
  </si>
  <si>
    <t>PE: Giro de Leito (nº de pacientes/leito/mês)</t>
  </si>
  <si>
    <t>PE: Nº de Incidentes notificados</t>
  </si>
  <si>
    <t>PE: Nº De Queixas/Denúncias Recebidas</t>
  </si>
  <si>
    <t>PE: Percentual de Conformidade em auditoria mensal de fichas de classificação</t>
  </si>
  <si>
    <t>PE: Percentual de pacientes atendidos dentro do tempo conforme classificação</t>
  </si>
  <si>
    <t xml:space="preserve">PE: Percentual de Protocolos Gerenciáveis implantados </t>
  </si>
  <si>
    <t xml:space="preserve">PE: Percentual De Respostas Positivas A Ambientação </t>
  </si>
  <si>
    <t>PE: Porcentagem de altas encaminhadas a rede</t>
  </si>
  <si>
    <t>PE: Protocolo - AVC: Tempo Médio Porta-Agulha em AVC(Processo)</t>
  </si>
  <si>
    <t>PE: Protocolo - AVC: Tempo Médio Porta-Médico em AVC(Processo)</t>
  </si>
  <si>
    <t>PE: Protocolo - AVC: Tempo Médio Porta-Tomografia em AVC(Processo)</t>
  </si>
  <si>
    <t>PE: Protocolo - Dor Torácica: Taxa de pacientes transferidos para serviço de referência para CAT</t>
  </si>
  <si>
    <t>PE: Protocolo - Dor Torácica: Tempo Porta-Agulha</t>
  </si>
  <si>
    <t>PE: Protocolo - Dor Torácica: Tempo Porta-ECG</t>
  </si>
  <si>
    <t>PE: Protocolo - HPP: Incidência de HPP grave (&gt;1000 ml ou instabilidade)</t>
  </si>
  <si>
    <t>PE: Protocolo - HPP: Nº de Histerectomia por HPP</t>
  </si>
  <si>
    <t>PE: Protocolo - HPP: Taxa de mortalidade materna por HPP</t>
  </si>
  <si>
    <t>PE: Protocolo - HPP: Tempo diagnóstico ? ocitocina &lt; 5 min</t>
  </si>
  <si>
    <t>PE: Protocolo - Sepse: Taxa de Coletas de lactato em até 30 min</t>
  </si>
  <si>
    <t>PE: Protocolo - Sepse: Taxa de Mortalidade em Sepse e Choque Séptico (Resultado)</t>
  </si>
  <si>
    <t>PE: Protocolo - Sepse: Tempo para Antibioticoterapia na Sepse (Processo)</t>
  </si>
  <si>
    <t>PE: Protocolo - TEV: Incidência de TEV hospitalar</t>
  </si>
  <si>
    <t>PE: Protocolo - TEV: Prescrição de profilaxia conforme risco</t>
  </si>
  <si>
    <t>PE: Protocolo - TEV: Reinternação por TEV em 30 dias</t>
  </si>
  <si>
    <t>PE: Protocolo - TEV: Taxa de mortalidade por TEP</t>
  </si>
  <si>
    <t>PE: Protocolo - Trauma: Taxa de mortalidade por trauma grave (ISS&gt;15)</t>
  </si>
  <si>
    <t>PE: Protocolo - TRR: Intervalo entre o acionamento e a chegada da equipe à unidade (Amarelo e Azul)</t>
  </si>
  <si>
    <t>PE: Protocolo - TRR: Nº Acionamentos do Time</t>
  </si>
  <si>
    <t>PE: Protocolo - TRR: Nº de PCR fora da UTI/Sala Vermelha</t>
  </si>
  <si>
    <t>PE: Protocolo - TRR: Taxa de códigos amarelos que evoluíram para PCR</t>
  </si>
  <si>
    <t xml:space="preserve">PE: Resultado Pesquisa De Clima Instucional </t>
  </si>
  <si>
    <t>PE: Taxa de Eventos Adversos</t>
  </si>
  <si>
    <t>PE: Taxa de Mortalidade Institucional</t>
  </si>
  <si>
    <t>PE: Taxa de Notificações Tratadas no prazo</t>
  </si>
  <si>
    <t>PE: Taxa de Ocupação de Leitos (%)</t>
  </si>
  <si>
    <t xml:space="preserve">PE: Taxa de reclassificação de risco </t>
  </si>
  <si>
    <t>PE: Taxa de reinternação em até 30 dias (condições clínicas - Mesmo CID ou CID semelhante)</t>
  </si>
  <si>
    <t>PE: Tempo de Espera por Leito (PS ? Internação) - LEAN</t>
  </si>
  <si>
    <t>PE: Tempo de Higienização do Leito (alta ? disponível) - SHL</t>
  </si>
  <si>
    <t>PE: Tempo médio de espera para internação de pacientes externos</t>
  </si>
  <si>
    <t>PE: Tempo Médio de Permanência (TMP)</t>
  </si>
  <si>
    <t>PE: Tempo porta-médico</t>
  </si>
  <si>
    <t>Percentual de Adesão às Metas Contratuais</t>
  </si>
  <si>
    <t>Percentual de Assertividade do Controle de Inventário</t>
  </si>
  <si>
    <t>Percentual de contratos com fiscal designado</t>
  </si>
  <si>
    <t>Percentual de elogios na ouvidoria</t>
  </si>
  <si>
    <t>Percentual de Fornecedores avaliados com desempenho favorável</t>
  </si>
  <si>
    <t>Percentual de Horas Extras</t>
  </si>
  <si>
    <t>Percentual de Pacientes em Longa Permanência (Resultado)</t>
  </si>
  <si>
    <t xml:space="preserve">Percentual de realização do Plano Diretor </t>
  </si>
  <si>
    <t xml:space="preserve">Porcentagem de Documentos Legais Válidos </t>
  </si>
  <si>
    <t>Prazo médio de faturamento</t>
  </si>
  <si>
    <t>Protocolos Clínicos Implantados nas Unidades Assistenciais</t>
  </si>
  <si>
    <t>Quantidade de contratações (Estrutura)</t>
  </si>
  <si>
    <t>Quantidade de Solicitações de Limpeza (Estrutura)</t>
  </si>
  <si>
    <t>Quantidade de Treinamentos Realizados (Estrutura)</t>
  </si>
  <si>
    <t>Quantidade Prontuários Recebidos (Estrutura)</t>
  </si>
  <si>
    <t>Quantitativo de Atendimentos Psicológicos (Estrutura)</t>
  </si>
  <si>
    <t>Quantitativo de Hemotransfusão (Estrutura)</t>
  </si>
  <si>
    <t>Quantitativo de Justificativas entregues (Estrutura)</t>
  </si>
  <si>
    <t>Quantitativo de manifestações (Estrutura)</t>
  </si>
  <si>
    <t>Quantitativo Global de Demandas do Núcleo de Bem-Estar e Saúde do Colaborador (Estrutura)</t>
  </si>
  <si>
    <t>Quantitativos de Dietas solicitadas (Estrutura)</t>
  </si>
  <si>
    <t>Receita Faturada</t>
  </si>
  <si>
    <t>Reprocessamento de Material (Resultado)</t>
  </si>
  <si>
    <t>Resto Ingesta do Colaborador (Resultado)</t>
  </si>
  <si>
    <t xml:space="preserve">Resultado Operacional - DRE </t>
  </si>
  <si>
    <t>Rotatividade/Turnover (Resultado)</t>
  </si>
  <si>
    <t>Taxa Cumprimento do Plano de Manutenção Preventiva(Processo)</t>
  </si>
  <si>
    <t>Taxa de Absenteísmo em Exames Ambulatoriais (Resultado)</t>
  </si>
  <si>
    <t>Taxa de Adesão ao Protocolo da Meta 1 de Segurança do Paciente - Identificação Correta do Paciente (Processo)</t>
  </si>
  <si>
    <t>Taxa de Adesão ao Protocolo da Meta 2 de Segurança do Paciente - Comunicação Efetiva entre os Colaboradores(Processo)</t>
  </si>
  <si>
    <t>Taxa de Adesão ao Protocolo da Meta 3 de Segurança do Paciente - Segurança na Prescrição, Uso e Administração de Medicamentos (Processo)</t>
  </si>
  <si>
    <t>Taxa de Adesão ao Protocolo da Meta 4 de Segurança do Paciente - Cirurgia Segura(Processo)</t>
  </si>
  <si>
    <t>Taxa de Adesão ao Protocolo da Meta 4.1 - Parto Seguro(Processo)</t>
  </si>
  <si>
    <t>Taxa de Adesão ao Protocolo da Meta 5 de Segurança do Paciente- Higienização das Mãos (Resultado)</t>
  </si>
  <si>
    <t>Taxa de Adesão ao Protocolo da Meta 6 - Prevenção de Quedas(Processo)</t>
  </si>
  <si>
    <t>Taxa de Adesão ao Protocolo da Meta 6.1 - Reduzir o Risco de Lesão por Pressão(Processo)</t>
  </si>
  <si>
    <t>Taxa de Adesão aos Protocolos de Segurança do Paciente (Resultado)</t>
  </si>
  <si>
    <t>Taxa de Adesão aos Treinamentos (Processo)</t>
  </si>
  <si>
    <t>Taxa de Alta Hospitalar Realizada até 2h após a Alta Médica (Clínica Cirúrgica) (Resultado)</t>
  </si>
  <si>
    <t>Taxa de Altas Médicas Realizadas até as 10h - Clínica Ortopédica (Resultado)</t>
  </si>
  <si>
    <t>Taxa de Aproveitamento de Talento Interno(Processo)</t>
  </si>
  <si>
    <t>Taxa de Atendimento ao Óbito (Resultado)</t>
  </si>
  <si>
    <t>Taxa de Cancelamento Cirúrgico Programado (Resultado)</t>
  </si>
  <si>
    <t>Taxa de Cumprimento do Cronograma de Treinamentos (Processo)</t>
  </si>
  <si>
    <t>Taxa de Devoluções de medicamentos e materias (Processo)</t>
  </si>
  <si>
    <t>Taxa de Distribuição de Hemocomponentes (Processo)</t>
  </si>
  <si>
    <t xml:space="preserve">Taxa de Efetividade de Comissões - CEM </t>
  </si>
  <si>
    <t>Taxa de Efetividade de Comissões (Resultado)</t>
  </si>
  <si>
    <t>Taxa de Efetividade de Comissões: Apoio e Aleitamento Materno (CAAME)</t>
  </si>
  <si>
    <t>Taxa de Efetividade de Comissões: Biossegurança - (CBS)</t>
  </si>
  <si>
    <t>Taxa de Efetividade de Comissões: Controle De Infecção Hospitalar - (CCIH)</t>
  </si>
  <si>
    <t>Taxa de Efetividade de Comissões: Equipe Multiprofissional de Terapia Nutricional - (EMTN)</t>
  </si>
  <si>
    <t>Taxa de Efetividade de Comissões: Ética em Enfermagem (CEE)</t>
  </si>
  <si>
    <t>Taxa de Efetividade de Comissões: Farmácia e Terapêutica - (CFT)</t>
  </si>
  <si>
    <t>Taxa de Efetividade de Comissões: Feridas e Curativos - (CFC)</t>
  </si>
  <si>
    <t>Taxa de Efetividade de Comissões: Gerenciamento de Resíduo de Serviço de Saúde - (CGRSS)</t>
  </si>
  <si>
    <t>Taxa de Efetividade de Comissões: Gerenciamento de Risco - (CGR)</t>
  </si>
  <si>
    <t>Taxa de Efetividade de Comissões: Interna de Prevenção à Acidentes e Assédio - (CIPAA)</t>
  </si>
  <si>
    <t>Taxa de Efetividade de Comissões: Intra-Hospitalar de Doações de Órgãos e Tecidos de Transplante - (CIHDOTT)</t>
  </si>
  <si>
    <t>Taxa de Efetividade de Comissões: Mortalidade Materna, Infantil e Fetal - (CMMIF)</t>
  </si>
  <si>
    <t>Taxa de Efetividade de Comissões: Padronização - (CP)</t>
  </si>
  <si>
    <t>Taxa de Efetividade de Comissões: Radioproteção Hospitalar (CRH)</t>
  </si>
  <si>
    <t>Taxa de Efetividade de Comissões: Revisão De Óbitos - (CRO)</t>
  </si>
  <si>
    <t>Taxa de Efetividade de Comissões: Revisão de Prontuário - (CRP)</t>
  </si>
  <si>
    <t>Taxa de Efetividade de Comissões: Transfusional (CT)</t>
  </si>
  <si>
    <t>Taxa de Eficácia dos Treinamentos (Resultado)</t>
  </si>
  <si>
    <t>Taxa de Endividamento</t>
  </si>
  <si>
    <t>Taxa de Erros de Dispensação (Resultado)</t>
  </si>
  <si>
    <t>Taxa de Eventos Adversos (Resultado)</t>
  </si>
  <si>
    <t>Taxa de Eventos Sentinela (Resultado)</t>
  </si>
  <si>
    <t>Taxa de Exames Solicitados Não Realizados (Resultado)</t>
  </si>
  <si>
    <t>Taxa de Glosas</t>
  </si>
  <si>
    <t>Taxa de Hemotransfusões Externas (Processo)</t>
  </si>
  <si>
    <t>Taxa de Inconsistências Resolvidas (Resultado)</t>
  </si>
  <si>
    <t>Taxa de Indicadores de Resultado Dentro da Meta (Resultado)</t>
  </si>
  <si>
    <t>Taxa de IRAS (Infecção Relacionadas a Assistência de Saúde) (Resultado)</t>
  </si>
  <si>
    <t>Taxa de Mortalidade - Clínica Cirúrgica (Resultado)</t>
  </si>
  <si>
    <t>Taxa de Mortalidade Cirúrgica (Resultado)</t>
  </si>
  <si>
    <t>Taxa de Notificações Tratadas(Processo)</t>
  </si>
  <si>
    <t>Taxa de óbitos Evitáveis</t>
  </si>
  <si>
    <t>Taxa de ocupação da sala vermelha (Processo)</t>
  </si>
  <si>
    <t xml:space="preserve">Taxa de Ocupação Hospitalar Geral </t>
  </si>
  <si>
    <t>Taxa de Ocupação Operacional - UTI Adulto (Processo)</t>
  </si>
  <si>
    <t>Taxa de Perdas por Vencimento de Medicamentos (Processo)</t>
  </si>
  <si>
    <t>Taxa de Pesquisa de Satisfação (Resultado)</t>
  </si>
  <si>
    <t>Taxa de Plano de Ação Tratados no Prazo (Processo)</t>
  </si>
  <si>
    <t>Taxa de Prescrições Médicas com Erros (Resultado)</t>
  </si>
  <si>
    <t>Taxa de Prontuários/BPA Não Entregues ao Usuário (Resultado)</t>
  </si>
  <si>
    <t>Taxa de Queda de Paciente com Dano(Resultado)</t>
  </si>
  <si>
    <t>Taxa de Reação Transfusional (Resultado)</t>
  </si>
  <si>
    <t>Taxa de Reclamação dos Usuários Tratadas (Resultado)</t>
  </si>
  <si>
    <t>Taxa de Reinternação - Clínica Cirúrgica (Resultado)</t>
  </si>
  <si>
    <t>Taxa de Reinternação Clínica Ortopédica (Resultado)</t>
  </si>
  <si>
    <t>Taxa de Reinternação em 24 horas - UTI (Resultado)</t>
  </si>
  <si>
    <t>Taxa de Renovação de Equipamentos(Processo)</t>
  </si>
  <si>
    <t>Taxa de retorno de pacientes para atendimento no Pronto Socorro até 48 horas (Resultado)</t>
  </si>
  <si>
    <t>Taxa de Retorno de Roupa Processada (Processo)</t>
  </si>
  <si>
    <t>Taxa de Risco Nutricional na UTI (Processo)</t>
  </si>
  <si>
    <t>Taxa de Triagem Nutricional -UTI (Processo)</t>
  </si>
  <si>
    <t>Taxa de Triagem Nutricional (Processo)</t>
  </si>
  <si>
    <t>Taxa de Utilização Adequada do Abreviador de Jejum em Pacientes Cirúrgicos Eletivos (Resultado)</t>
  </si>
  <si>
    <t>Taxa Mensal de Distribuição (Processo)</t>
  </si>
  <si>
    <t>Tempo de Processamento da Folha de Pagamento (Processo)</t>
  </si>
  <si>
    <t>Tempo Médio de Contratação (Processo)</t>
  </si>
  <si>
    <t>Tempo Médio de Resposta a Manifestação (Processo)</t>
  </si>
  <si>
    <t>Total de Acesso de Pacientes (Processo)</t>
  </si>
  <si>
    <t>Total de Prescrição de Dieta Enteral (Estrutura)</t>
  </si>
  <si>
    <t>Total de Roupas Processadas (Estrutura)</t>
  </si>
  <si>
    <t xml:space="preserve">Total de Saídas </t>
  </si>
  <si>
    <t>Valor pago Rescisões (Resultado)</t>
  </si>
  <si>
    <t>Volume de Atendimentos Ocupacionais (Estrutura)</t>
  </si>
  <si>
    <t>Volume de Leite Coletado (Estrutura)</t>
  </si>
  <si>
    <t>Volume de Leite Humano Aproveitado (Resultado)</t>
  </si>
  <si>
    <t xml:space="preserve">Taxa de Faturamento Completo no Primeiro Envio </t>
  </si>
  <si>
    <t>Dentro do Prazo</t>
  </si>
  <si>
    <t xml:space="preserve">Auditorias dos Processos Laboratoriais (Processo) </t>
  </si>
  <si>
    <t>PSICC - Psicologia Clínica</t>
  </si>
  <si>
    <t/>
  </si>
  <si>
    <t>SESMT</t>
  </si>
  <si>
    <t>n/a</t>
  </si>
  <si>
    <t>Análise em dia</t>
  </si>
  <si>
    <t>Alimentação em dia</t>
  </si>
  <si>
    <t>Titulo</t>
  </si>
  <si>
    <t xml:space="preserve">Departamento/Setor </t>
  </si>
  <si>
    <t>Responsável</t>
  </si>
  <si>
    <t>Situação</t>
  </si>
  <si>
    <t>Anexos</t>
  </si>
  <si>
    <t>Autor</t>
  </si>
  <si>
    <t>Criado em</t>
  </si>
  <si>
    <t>Data da ocorrência</t>
  </si>
  <si>
    <t>Descrição</t>
  </si>
  <si>
    <t>Última verificação</t>
  </si>
  <si>
    <t>Processo Notificado</t>
  </si>
  <si>
    <t>Processo Notificador</t>
  </si>
  <si>
    <t>Local onde ocorreu o incidente (Nºleito</t>
  </si>
  <si>
    <t>Classificação Incidente</t>
  </si>
  <si>
    <t xml:space="preserve">RN sem alimentação </t>
  </si>
  <si>
    <t>INC 1511 / 2026</t>
  </si>
  <si>
    <t>Gerência de Cuidados Materno/Infantil / Unidade de Internação Ginecobstétrica - ALCOM</t>
  </si>
  <si>
    <t>Finalizada</t>
  </si>
  <si>
    <t>0</t>
  </si>
  <si>
    <t>Ana Carolina da Costa Frazao Cerqueira</t>
  </si>
  <si>
    <t>01/01/2026</t>
  </si>
  <si>
    <t>por volta das 16h recebo RN D.X.R juntamente com su avó, pois a genitora estava para laqueadura desde as 11h,
segundo relato da acompanhante (bem chateada porque o PAM não ofertou leite)  RN estava desde as 11h sem se alimentar, segundo acompanhante que chamou a enfermeira 2x e não teve resposta
rn apresentando irritabilidade
verificamos dx 45mg/dl
ofertamos fórmula , aceitou 20ml
de 11 até 16h rn não se alimentou</t>
  </si>
  <si>
    <t>Arquivo</t>
  </si>
  <si>
    <t>08/01/2026</t>
  </si>
  <si>
    <t>Unidade de Internação Gineco Obstétrica</t>
  </si>
  <si>
    <t>15 cgo2</t>
  </si>
  <si>
    <t>Circunstância de Risco</t>
  </si>
  <si>
    <t>Incidente</t>
  </si>
  <si>
    <t>HPP</t>
  </si>
  <si>
    <t>INC 1512 / 2026</t>
  </si>
  <si>
    <t>Vitoria da Silva Couto</t>
  </si>
  <si>
    <t>03/01/2026</t>
  </si>
  <si>
    <t>Recebo paciente provinda de CC as 16:30
avalio paciente, não foi trocada antes de vir, fralda encharcada com sangramento ativo.
16:35 RECEBO PACIENTE EM LEITO, AVALIO PACIENTE, UTERO ACIMA DA CICATRIZ UMBILICAL COM SANGRAMENTO ATIVO FRALDA CHEIA DE SANGUE, FAÇO MASSAGEM FUNDO DO UTERO COM SAIDA DA DE COAGULOS EM GRANDE QUANTIDADE, ACIONO MEDICO DOUGLAS QUE VEM DE IMEDIATO REALIZA MASSAGEM BIMANUAL CURAGEM COM SAIDA DE GRANDE QUANTIDADE DE COAGULOS E SANGRAMENTO.
UTERO CONTRAIDO ABAIXO DA CICATRIZ UMBILICAL, LOQUIOS FISIOLOGICOS, REALIZO TROCA DA FRALDA E PERMANEÇO AVALIANDO SANGRAMENTO.
17:35 ACOMPANHANTE ACIONA EQUIPE INFORMANDO QUE O SANGRAMENTO AUMENTOU, AVALIO PACIENTE FRALDA ENCHARCADA, UTERO CONTRAIDO NA CICATRIZ UMBILICAL. SANGRAMENTO AINDA ATIVO INFORMO MEDICO QUE SOLICITA HEMOGRAMA E PRESCREVE PROTOCOLO DE HPP. REALIZO A TROCA DA FRALDA 
17:58 ABERTO PROTOCOLO DE HPP, ACIONO MEDICO DOUGLAS QUE VEM DE IMEDIATO, REALIZADO NOVA CURAGEM MASSAGEM BIMANUAL SAIDA DE COAGULOS EM GRANDE QUANTIDADE
REALIZADO S.F 0,9% 500ML COM 4 AMPOLAS DE OXITOSINA + 1 ERGOTRAT PA 8X6 REALIZADO SORO RINGER LACTATO 
18:10 REALIZADO 4 AMPOLAS DE TRANSAMIN NO S.F GLICOSADO.
18:25 REALIZADO NOVO ERGOTRAT
18:40 REALIZADO 4 COMP. DE MISO VIA RETAL. 
19:00 LOQUIOS FISIOLOGICO</t>
  </si>
  <si>
    <t>07/01/2026</t>
  </si>
  <si>
    <t>CGO2 LT 17</t>
  </si>
  <si>
    <t>Evento Adverso Moderado</t>
  </si>
  <si>
    <t>Encaminhamento de paciente ao setor de Radiologia sem comunicação prévia</t>
  </si>
  <si>
    <t>INC 1513 / 2026</t>
  </si>
  <si>
    <t xml:space="preserve">Gerência Ambulatorial e de Apoio Diagnóstico  / Gerência Ambulatorial e de Apoio Diagnóstico </t>
  </si>
  <si>
    <t>Convertida</t>
  </si>
  <si>
    <t>05/01/2026</t>
  </si>
  <si>
    <t>Encaminhamento de um paciente ao setor de Radiologia sem a devida comunicação prévia à equipe assistencial e sem registro formal no fluxo institucional.
Tal ocorrência caracteriza falha de processo e quebra de comunicação, configurando risco direto à Segurança do Paciente, conforme previsto:
Portaria MS nº 529/2013 - Programa Nacional de Segurança do Paciente (PNSP), que estabelece a comunicação efetiva como uma prática obrigatória para prevenção de incidentes.
RDC nº 36/2013 - ANVISA, que institui ações para segurança do paciente e determina que todos os serviços de saúde devem implementar processos padronizados, incluindo a comunicação clara e tempestiva entre setores.
Protocolo Nacional de Comunicação Efetiva, que reforça a necessidade de aviso prévio, confirmação de entendimento e continuidade segura do cuidado.
Normativas específicas da Radiologia, que exigem avaliação prévia do paciente, revisão de indicações, preparo adequado e garantia de condições técnicas para realização segura do exame.
A ausência de comunicação prévia impede que a equipe de Radiologia verifique elementos críticos como:
condição clínica e estabilidade do paciente;
necessidade de monitoramento;
contraindicações específicas (ex.: risco de queda, precauções, alergias, dispositivos implantáveis);
preparo adequado para o exame;
disponibilidade da sala e da equipe.</t>
  </si>
  <si>
    <t>PS - Pronto Atendimento Adulto</t>
  </si>
  <si>
    <t>TOMOGRAFIA</t>
  </si>
  <si>
    <t>Encaminhamento de paciente com tuberculose positiva ao setor de Radiologia sem comunicação prévia</t>
  </si>
  <si>
    <t>INC 1514 / 2026</t>
  </si>
  <si>
    <t>1</t>
  </si>
  <si>
    <t>Foi encaminhado ao setor de Radiologia um paciente com diagnóstico confirmado de Tuberculose (TB positiva) sem comunicação prévia à equipe do setor, em desacordo com os fluxos assistenciais e protocolos institucionais de segurança.
Tal ocorrência configura falha grave de comunicação e de processo assistencial, gerando risco à Segurança do Paciente, exposição ocupacional da equipe e potencial risco sanitário a outros pacientes, especialmente em ambientes compartilhados.
A ausência de comunicação prévia impossibilitou a adoção imediata de medidas obrigatórias de precaução, tais como:
implementação de precaução por aerossóis;
uso adequado de Equipamentos de Proteção Individual (EPI);
organização do fluxo seguro do paciente;
preparo da sala e redução do risco de transmissão cruzada.
Fundamentação legal e normativa
A situação contraria dispositivos legais e normativos, entre eles:
Portaria MS nº 529/2013 - Programa Nacional de Segurança do Paciente (PNSP);
RDC nº 36/2013 - ANVISA, que estabelece ações para prevenção de incidentes e eventos adversos;
RDC nº 222/2018 - ANVISA (biossegurança e riscos biológicos);
RDC nº 330/2019 - ANVISA, que dispõe sobre Radioproteção e segurança em serviços de diagnóstico por imagem;
Normas de Controle de Infecção Relacionada à Assistência à Saúde (IRAS);
Protocolos assistenciais para manejo de pacientes com tuberculose, que exigem comunicação prévia e medidas de isolamento.
Riscos identificados
Exposição ocupacional da equipe de Radiologia;
Risco de transmissão da tuberculose a outros pacientes e profissionais;
Comprometimento das medidas de biossegurança;
Não conformidade sanitária passível de notificação à Vigilância Sanitária.</t>
  </si>
  <si>
    <t>APARENTE NÃO HOUVE COLETA DE EXAMES LABORATORIAIS SOLICITADOS</t>
  </si>
  <si>
    <t>INC 1515 / 2026</t>
  </si>
  <si>
    <t>Diretoria Técnica / SCIH - Serviço de Controle de Infecção Hospitalar</t>
  </si>
  <si>
    <t>Tiago Soares Fonseca</t>
  </si>
  <si>
    <t>EM 03/01/26 SOLICITADOS OS EXAMES CULTURA DE FUNGO (SANGUE), SOROLOLGIA ANTI-HAV IGG E IGM, SOROLOGIA T CRUZI, SOROLOGIA HTLV, ANTI-HBC IGG PARA A PACIENTE C.M.S. ATÉ AS 09:06H DA PRESENTE DATA SEM REGISTRO NA PLATAFORMA LIS WEB SE A COLETA FOI OU NÃO REALIZADA. OUTROS EXAMES SOLICITADOS NA MESMA DATA JÁ COM CONFIRMAÇÃO DE COLETA REGISTRADA NA PLATAFORMA. ALÉM DISSO, FOI SOLICITADO O EXAME PROTEINAS TOTAIS E FRAÇÕES, PORÉM FOI LIBERADO APENAS O RESULTADO DE PROTEINAS TOTAIS.</t>
  </si>
  <si>
    <t>Unidades de Análises Clínicas</t>
  </si>
  <si>
    <t>CLINICA CIRURGICA LEITO 29</t>
  </si>
  <si>
    <t>NÃO HOUVE COLETA DE URINA PARA REALIZAÇÃO DE EXAME</t>
  </si>
  <si>
    <t>INC 1516 / 2026</t>
  </si>
  <si>
    <t>SOLICITADO EXAME EAS EM 03/01/26. ENTRATANTO ATÉ AS 09:13H DA PRESENTE DATA, O EXAME APARECE COMO "FALTA MATERIAL" NO STATUS DA PLATAFORMA LIS WEB DO LABORATÓRIO DE ANÁLISES CLINICAS. A NÃO REALIZAÇÃO DE EXAMES SOLICITADOS PODE COMPROMETER A ASSISTÊNCIA AO PACIENTE.</t>
  </si>
  <si>
    <t>Unidade de Internação Cirúrgica</t>
  </si>
  <si>
    <t>LEITO 29</t>
  </si>
  <si>
    <t>Falta de registro em prontuário e conduta inadequada de colaborador médico</t>
  </si>
  <si>
    <t>INC 1517 / 2026</t>
  </si>
  <si>
    <t>Gerência de Cuidados Cirúrgicos / Unidade de Internação Cirúrgica</t>
  </si>
  <si>
    <t>Durante plantão assistencial, foram identificadas condutas médicas inadequadas, pelo cirurgião Geral A.M. com repercussão direta na assistência, no fluxo institucional, no dimensionamento da equipe e na segurança do paciente. Avaliação médica realizada por volta das 4h da manhã em paciente vítima de ferimento por arma branca; contudo, a equipe de enfermagem não foi informada da avaliação, e__ não houve registro de evolução médica nem prescrição em prontuário__. __Atraso na definição formal de conduta__, mantendo a equipe de enfermagem sem respaldo técnico para continuidade do cuidado. Comunicação de possível alta de forma verbal a pacientes, sem prescrição ou evolução formal.  Recusa ou resistência a avaliações presenciais conforme demanda assistencial. Comunicação inadequada e postura desrespeitosa com a equipe de enfermagem, comprometendo o trabalho multiprofissional. Proferimento de falas indecorosas na sala de prescrição, gerando constrangimento à equipe e quebra do ambiente profissional.__Uso de cigarro eletrônico__ em área assistencial, em desacordo com normas institucionais.</t>
  </si>
  <si>
    <t>LCIR19</t>
  </si>
  <si>
    <t>Falha no registro do horário de recebimento de hemoconcentrado</t>
  </si>
  <si>
    <t>INC 1518 / 2026</t>
  </si>
  <si>
    <t>Ignorada</t>
  </si>
  <si>
    <t>Durante verificação de registros assistenciais, foi identificada ausência do horário de recebimento da bolsa de hemoconcentrado. Esse dado é essencial para a rastreabilidade do hemocomponente, controle do tempo de liberação/infusão e segurança do paciente, conforme protocolos institucionais e normas vigentes. Reforça-se a necessidade de atenção ao preenchimento completo e fidedigno dos registros relacionados à hemoterapia.</t>
  </si>
  <si>
    <t>Unidade de Internação Clínica Médica</t>
  </si>
  <si>
    <t>Comissões</t>
  </si>
  <si>
    <t>15</t>
  </si>
  <si>
    <t>Falha no registro do tipo de hemocomponente</t>
  </si>
  <si>
    <t>INC 1519 / 2026</t>
  </si>
  <si>
    <t>Durante a verificação dos registros assistenciais, foi identificada a ausência de registro do tipo de hemocomponente administrado. Essa informação é essencial para a rastreabilidade, segurança do paciente e conformidade com os protocolos institucionais e normas de hemoterapia. Reforça-se a obrigatoriedade do preenchimento completo e fidedigno dos registros relacionados à administração de hemocomponentes.</t>
  </si>
  <si>
    <t>Unidade de Internação Ortopédica</t>
  </si>
  <si>
    <t>10</t>
  </si>
  <si>
    <t>Tempo de transfusão inferior ao preconizado</t>
  </si>
  <si>
    <t>INC 1520 / 2026</t>
  </si>
  <si>
    <t>Durante a análise dos registros assistenciais, foi identificado tempo de transfusão inferior a 1 hora, em desacordo com os protocolos institucionais e diretrizes de hemoterapia. O cumprimento do tempo adequado de transfusão é fundamental para a segurança do paciente, monitoramento de reações transfusionais e rastreabilidade do processo. Reforça-se a necessidade de adesão aos protocolos e do registro correto das informações relacionadas ao procedimento.</t>
  </si>
  <si>
    <t>Centro Cirúrgico</t>
  </si>
  <si>
    <t>SALA</t>
  </si>
  <si>
    <t>Falha no Dimensionamento e Assistência ao Paciente</t>
  </si>
  <si>
    <t>INC 1521 / 2026</t>
  </si>
  <si>
    <t>Durante o plantão do dia 06/01/2026 sob os cuidados das Enfermeiras Sarah e Antônia, identificou-se que a paciente M.J.D.S leito1 cirúrgica Prontuário 184602, não foi devidamente dimensionada a nenhum técnico de enfermagem. Não houve registro do dimensionamento no livro de ocorrências, tampouco a finalização do referido livro ao término do plantão. Em decorrência dessas falhas, a paciente permaneceu todo o período sem assistência direta da equipe técnica, configurando risco à segurança do paciente e não conformidade com os protocolos assistenciais da instituição.</t>
  </si>
  <si>
    <t>Encaminhamento inadequado sem acompanhamento médico de paciente crítico para exame diagnóstico</t>
  </si>
  <si>
    <t>INC 1522 / 2026</t>
  </si>
  <si>
    <t>2</t>
  </si>
  <si>
    <t>Paciente por volta das proveniente da Sala Vermelha, em estado clínico instável, agitado, sem condições clínicas de colaborar com a realização do exame, sem acompanhamento médico, foi encaminhado ao setor de Tomografia Computadorizada.
Durante a permanência no setor, o paciente apresentou vômitos repetidos, mantendo-se agitado e sem estabilidade clínica, o que impossibilitou a realização do exame. Diante da condição apresentada, o exame foi cancelado, e o paciente necessitou retorno imediato ao setor de origem.
Ressalta-se que o transporte e a permanência do paciente no setor diagnóstico ocorreram sem a presença de médico assistente, apesar do quadro de instabilidade.
RISCOS IDENTIFICADOS AO PACIENTE
Risco de broncoaspiração, em razão de vômitos associados à posição supina necessária para o exame de tomografia.
Risco de parada cardiorrespiratória, devido ao estado clínico instável e ausência de monitorização contínua.
Risco de agravamento do quadro clínico, pela retirada do paciente de ambiente crítico (Sala Vermelha).
Risco de trauma físico, decorrente de agitação psicomotora durante tentativa de posicionamento no equipamento.
Atraso na assistência adequada, com interrupção de cuidados intensivos necessários.
Risco de queda e lesões, pela instabilidade e agitação.
Risco infeccioso e ocupacional, pela exposição da equipe a vômitos e secreções em ambiente não preparado para manejo emergencial.
IMPLICAÇÕES LEGAIS E NORMATIVAS
1. Segurança do Paciente
RDC ANVISA nº 36/2013
Estabelece a obrigatoriedade de práticas assistenciais seguras e da avaliação de risco antes de procedimentos diagnósticos, especialmente em pacientes críticos.
2. Responsabilidade Médica
Código de Ética Médica (CFM)
É vedado ao médico expor o paciente a risco desnecessário, bem como ausentar-se da assistência a paciente grave sob seus cuidados.
Pacientes instáveis devem ser acompanhados por médico durante transporte e exames.
3. Responsabilidade Institucional
Encaminhamento inadequado pode caracterizar:
Falha no processo assistencial
Não conformidade com protocolos de paciente crítico
Risco de responsabilização civil da instituição, em caso de dano ao paciente.
4. Boas Práticas em Radiologia
Pacientes agitados, instáveis ou com risco clínico elevado não devem ser submetidos a exames de imagem eletivos ou diagnósticos sem estabilização prévia.
A realização de exames em pacientes críticos exige:
Avaliação médica prévia
Condições clínicas adequadas
Acompanhamento médico durante todo o procedimento</t>
  </si>
  <si>
    <t>TOMOGRAFIA HGP</t>
  </si>
  <si>
    <t xml:space="preserve">LPP SACRAL e CALCÂNEA </t>
  </si>
  <si>
    <t>INC 1526 / 2026</t>
  </si>
  <si>
    <t>Ana Carolina de Oliveira Souza</t>
  </si>
  <si>
    <t>Lesão por pressão em região sacral e em calcâneo esquerdo, apresentando tecido desvitalizado e risco de infecção associado à pressão prolongada e imobilidade, classificada como Não Estadiável.
Realizada avaliação da ferida, limpeza conforme protocolo institucional e curativo com placa de hidrocolóide. Intensificado reposicionamento, ajustada superfície de suporte e orientada equipe quanto ao alívio de pressão. Registro fotográfico realizado. Equipe médica, Equipe de Enfermagem e Comissão de Feridas comunicadas.
Segue sem sinais sistêmicos de infecção no momento. Paciente não tolera procedimentos. Está em paliatividade exclusiva. Mantida vigilância diária da evolução da ferida.
No prontuário eletrônico há registro em evolução de enfermagem, de início das lesões no mês de novembro (28/11/25), e evolução para grau não estadiável em dezembro (11/12/25).
Notifico para registro do caso.</t>
  </si>
  <si>
    <t>UTI - Unidade de Terapia Intensiva</t>
  </si>
  <si>
    <t>3</t>
  </si>
  <si>
    <t xml:space="preserve">Medicação suspensa e equipe seguiu com administração </t>
  </si>
  <si>
    <t>INC 1527 / 2026</t>
  </si>
  <si>
    <t>no plantão do dia 06 diurno, o médico suspendeu a medicação "ceftriaxona" da paciente R.S.F.B (333256)
para iniciar amoxicilina+ clavulanato, devido a bacteria ser resistente ao ceftriaxona, paciente de isolamento devido tratamento de ITU
a enfermeira não cumpriu a meta 2 e nem a meta 3
não identificou na passagem de plantão...a medicação que tinha sido suspensa, continuaram fazendo
assumo plantão no dia 07 com as 2 medicaçoes checadas, confirmaram que foram usadas as 2 medicações tanto ceftriaxona como amoxicilina+clavulanato
enfermeira do plantão anterior diurno não falou, equipe noturna continuou adm normalmente</t>
  </si>
  <si>
    <t>ISOLAMENTO 2</t>
  </si>
  <si>
    <t>Evento sem Dano</t>
  </si>
  <si>
    <t>Não conformidades nas práticas de Segurança do Paciente - Soro sem identificação</t>
  </si>
  <si>
    <t>INC 1530 / 2026</t>
  </si>
  <si>
    <t>Maria Karoline Miranda Oliveira</t>
  </si>
  <si>
    <t>09/01/2026</t>
  </si>
  <si>
    <t>Prezados,
Venho por meio desta notificar que, na data de hoje as 14h, foi encaminhado ao nosso setor o paciente proveniente do Centro Cirúrgico com soro/medicação em uso sem a devida identificação (nome do paciente, medicamento, concentração e horário). Ressalto que a identificação correta das medicações é uma medida essencial de segurança do paciente, conforme protocolos institucionais e boas práticas assistenciais, sendo indispensável para a continuidade segura do cuidado. Solicitamos, por gentileza, atenção ao cumprimento desse procedimento, a fim de evitar riscos e garantir a qualidade da assistência prestada.</t>
  </si>
  <si>
    <t>26/01/2026</t>
  </si>
  <si>
    <t>12</t>
  </si>
  <si>
    <t>CURATIVO NÃO IDENTIFICADO</t>
  </si>
  <si>
    <t>INC 1531 / 2026</t>
  </si>
  <si>
    <t>12/01/2026</t>
  </si>
  <si>
    <t>Durante avaliação assistencial, identificado curativo sem identificação, sem data, horário e assinatura do profissional responsável. Situação configura não conformidade assistencial, com potencial impacto na continuidade e segurança do cuidado. 
Notifico para registro e tratativa.</t>
  </si>
  <si>
    <t>27/01/2026</t>
  </si>
  <si>
    <t>Curativos não identificados</t>
  </si>
  <si>
    <t>INC 1532 / 2026</t>
  </si>
  <si>
    <t>Durante avaliação assistencial, identificado 2 curativos sem identificação, sem data, horário e assinatura do profissional responsável. Situação configura não conformidade assistencial, com potencial impacto na continuidade e segurança do cuidado. 
Notifico para registro e tratativa.</t>
  </si>
  <si>
    <t>CURATIVOS NÃO IDENTIFICADOS</t>
  </si>
  <si>
    <t>INC 1533 / 2026</t>
  </si>
  <si>
    <t>Durante avaliação assistencial, identificados 2 curativos sem identificação, sem data, horário e assinatura do profissional responsável. Situação configura não conformidade assistencial, com potencial impacto na continuidade e segurança do cuidado. 
Notifico para registro e tratativa.</t>
  </si>
  <si>
    <t>8</t>
  </si>
  <si>
    <t xml:space="preserve">Más Condições de higiene e desorganização no leito </t>
  </si>
  <si>
    <t>INC 1534 / 2026</t>
  </si>
  <si>
    <t>Diretoria Geral / Núcleo de Segurança do Paciente</t>
  </si>
  <si>
    <t>Talita Andrade Calado da Silva</t>
  </si>
  <si>
    <t>Durante ronda do núcleo de segurança do paciente, foi identificada más condições de higiene no leito, restos alimentares, roupas sujas e ambiente desorganizado. Segue foto em anexo para melhoria do processo.</t>
  </si>
  <si>
    <t>PSICO - Unidade de Atenção à Saúde Mental</t>
  </si>
  <si>
    <t>05</t>
  </si>
  <si>
    <t>Não conformidades nas práticas de Segurança do paciente - Leitos sem identificação beira leito</t>
  </si>
  <si>
    <t>INC 1535 / 2026</t>
  </si>
  <si>
    <t>Durante ronda do núcleo de segurança do paciente, foi identificado leitos no ambulatório sem identificado beira leito. segue foto em anexo para ciência.</t>
  </si>
  <si>
    <t>Unidade Ambulatorial</t>
  </si>
  <si>
    <t>01 e 02</t>
  </si>
  <si>
    <t>NAO COLETADA URINA PARA REALIZAÇÃO DE EXAME</t>
  </si>
  <si>
    <t>INC 1536 / 2026</t>
  </si>
  <si>
    <t>13/01/2026</t>
  </si>
  <si>
    <t>EM 12/01/26 SOLICITADO EXAME EAS, POREM, SEGUNDO PLATAFORMA LIS WEB NÃO FOI COLETADA AMOSTRA PARA EXAME.</t>
  </si>
  <si>
    <t>UDC</t>
  </si>
  <si>
    <t>NÃO COLETADA AMOSTRA DE URINA PARA REALIZAÇÃO DE EXAME</t>
  </si>
  <si>
    <t>INC 1537 / 2026</t>
  </si>
  <si>
    <t>SOLICITADO EAS, PORÉM NÃO FOI COLETADA AMOSTRA.</t>
  </si>
  <si>
    <t>Lesão Tissular Profunda</t>
  </si>
  <si>
    <t>INC 1538 / 2026</t>
  </si>
  <si>
    <t>Paciente acamado, risco muito alto para LPP (Braden 8 - 13/01/26). À avaliação de pele, identifica-se em região sacral área de coloração violácea, pele com rompimento da integridade, temperatura local aumentada, sugestiva de Lesão por Pressão - Lesão Tissular Profunda, conforme classificação NPUAP/EPUAP/PPPIA. Realizadas medidas de alívio de pressão, orientada mudança de decúbito a cada 2h, uso de superfície de suporte, cuidados com higiene e hidratação da pele. Equipe multiprofissional comunicada.
Notifico para registro e tratativa do caso.</t>
  </si>
  <si>
    <t xml:space="preserve">Não conformidade nas práticas de segurança do paciente - Falha na identificação </t>
  </si>
  <si>
    <t>INC 1539 / 2026</t>
  </si>
  <si>
    <t>Durante auditoria dos protocolos de segurança foi observado paciente sem pulseira de identificação e data de admissão errada no papel beira leito, Segue foto em anexo.</t>
  </si>
  <si>
    <t>UDC 01</t>
  </si>
  <si>
    <t xml:space="preserve">Não conformidade nas práticas de Segurança do paciente - Erro na identificação </t>
  </si>
  <si>
    <t>INC 1540 / 2026</t>
  </si>
  <si>
    <t>Durante auditoria dos protocolos de segurança foi observado paciente com Data de nascimento cortada na pulseira de identificação e o soro sem identificação</t>
  </si>
  <si>
    <t>02</t>
  </si>
  <si>
    <t>Não conformidades nas práticas de Segurança do paciente - Falha na identificação</t>
  </si>
  <si>
    <t>INC 1541 / 2026</t>
  </si>
  <si>
    <t>Durante auditoria dos protocolos de segurança foi observado paciente, sem pulseira de identificação papel beira leito incompleto e soro sem identificação segue foto em anexo.</t>
  </si>
  <si>
    <t>03</t>
  </si>
  <si>
    <t>INC 1542 / 2026</t>
  </si>
  <si>
    <t>Durante auditoria dos protocolos de segurança foi observado soro do paciente sem identificação.</t>
  </si>
  <si>
    <t>01</t>
  </si>
  <si>
    <t>Não conformidades nas práticas de segurança do paciente - Soro sem identificação</t>
  </si>
  <si>
    <t>INC 1543 / 2026</t>
  </si>
  <si>
    <t>Durante auditoria dos protocolos de segurança foi evidenciado soro sem identificação, segue foto em anexo.</t>
  </si>
  <si>
    <t>06</t>
  </si>
  <si>
    <t>Não conformidades nas práticas de segurança do paciente - Falha na identificação de Soro e de riscos assistenciais</t>
  </si>
  <si>
    <t>INC 1544 / 2026</t>
  </si>
  <si>
    <t>Durante auditoria dos protocolos de segurança foi observado, soro com nome incompleto, quadro beira leito sem risco de queda. segue foto em anexo.</t>
  </si>
  <si>
    <t>TRANSFUSÃO DE HC EM MENOS DE 1H</t>
  </si>
  <si>
    <t>INC 1545 / 2026</t>
  </si>
  <si>
    <t>Foi identificado que a transfusão de hemocomponente foi realizada em tempo inferior a 1 (uma) hora, em desacordo com o protocolo institucional vigente, que estabelece tempo mínimo recomendado para infusão segura do produto.</t>
  </si>
  <si>
    <t>23/01/2026</t>
  </si>
  <si>
    <t>CENTRO CIRURGICO</t>
  </si>
  <si>
    <t>Ausência de registro do horário de chegada do Concentrado de Hemácias</t>
  </si>
  <si>
    <t>INC 1546 / 2026</t>
  </si>
  <si>
    <t>Identificada a ausência de registro do horário de chegada da bolsa de Concentrado de Hemácias na ficha de acompanhamento transfusional, em desacordo com o protocolo transfusional vigente. Tal registro é obrigatório para rastreabilidade, controle do tempo de armazenamento/uso e segurança do paciente.</t>
  </si>
  <si>
    <t>Paciente não recebe medicação por falta de prescrição médica</t>
  </si>
  <si>
    <t>INC 1547 / 2026</t>
  </si>
  <si>
    <t>Durante o plantão noturno do dia 09/01/26, foi identificado que paciente OCB permaneceu sem prescrição médica vigente. A técnica de enfermagem comunicou o fato ao enfermeiro responsável, contudo nenhuma providência foi adotada no momento da comunicação. A regularização da prescrição médica ocorreu apenas no dia seguinte, ocasionando atraso e não realização de medicações prescritas, caracterizando falha no fluxo assistencial e risco à segurança do paciente.</t>
  </si>
  <si>
    <t>22/01/2026</t>
  </si>
  <si>
    <t>04</t>
  </si>
  <si>
    <t>Prescrição Médica Não Realizada</t>
  </si>
  <si>
    <t>INC 1548 / 2026</t>
  </si>
  <si>
    <t>Diretoria Técnica / NVEH - Núcleo de Vigilância Epidemiológica Hospitalar</t>
  </si>
  <si>
    <t>Comunicamos que, após análise do prontuário eletrônico e físico da paciente em tratamento para tuberculose, foi constatado que não houve prescrição/administração do esquema RIPE no dia 12/01/2026.
Paciente iniciou tratamento em 06/01/2026-D1/60 ainda no pronto socorro e foi transferida para UTI onde deu continuidade. Entretanto, no  dia 12/01/2026 que seria D7/60, a Farmácia informou ao médico infectologista por volta de 20:14 que a medicação havia sido registrada como prescrita para 20:00, em razão de não ter sido prescrita para o dia 12/01/2026.
Diante da proximidade com o horário da próxima dose, o médico infectologista orientou pela não realização da medicação naquele momento. Contudo, após revisão detalhada dos registros, verificou-se que a paciente não recebeu a medicação em nenhum horário no dia 12/01/2026, caracterizando falha na administração do tratamento.
O ocorrido está sendo formalmente notificado para ciência da equipe da UTI, registro institucional e adoção das medidas necessárias para prevenção de recorrências, considerando o impacto potencial na continuidade e eficácia do tratamento
A medicação não foi prescrita e não foi observada pela equipe a falta da realização da administração da medicação diaria da paciente. 
.</t>
  </si>
  <si>
    <t>UTI</t>
  </si>
  <si>
    <t xml:space="preserve"> Flebite Química Associada ao Uso de Propofol em Paciente de UTI.</t>
  </si>
  <si>
    <t>INC 1549 / 2026</t>
  </si>
  <si>
    <t>Tais Lima da Silva</t>
  </si>
  <si>
    <t>14/01/2026</t>
  </si>
  <si>
    <t>Paciente internado em leito de Unidade de Terapia Intensiva (UTI) evoluiu com quadro de flebite química, associada ao uso de Propofol por via intravenosa, medicamento que se encontrava em infusão contínua no momento da ocorrência.  Esse processo inflamatório da parede venosa é decorrente da infusão de substâncias com potencial irritativo, sem evidências clínicas ou laboratoriais de infecção local ou sistêmica associada. O Propofol é amplamente descrito na literatura científica e reconhecido em normativas técnicas como um fármaco com potencial para desencadear flebite, especialmente quando administrado por acesso venoso periférico, em veias de pequeno calibre ou por períodos prolongados. Sua formulação lipídica, bem como suas características físico-químicas, como pH e osmolaridade, podem causar irritação endotelial, favorecendo o desenvolvimento de complicações vasculares. De acordo com as recomendações técnicas de terapia intravenosa, protocolos institucionais e diretrizes relacionadas à Segurança do Paciente, medicamentos com potencial irritativo exigem monitorização rigorosa do sítio de infusão, avaliação frequente do acesso venoso, troca oportuna de dispositivos e avaliação criteriosa da via de administração, com preferência por acesso venoso central quando indicado, a fim de prevenir eventos adversos.
Diante do exposto, o quadro apresentado caracteriza-se como um Evento Adverso relacionado à terapia intravenosa, necessário monitoramento, análise de risco, rastreabilidade e implementação de medidas preventivas, conforme preconizado pelas políticas de segurança do paciente e qualidade assistencial.</t>
  </si>
  <si>
    <t>Falha na técnica cobertura de acesso venoso periférico</t>
  </si>
  <si>
    <t>INC 1550 / 2026</t>
  </si>
  <si>
    <t>Identificado uso inadequado de curativo transparente em acesso venoso periférico, com fixação incorreta, deixando o óstil exposto, em desacordo com os protocolos institucionais de segurança do paciente e prevenção de infecção.</t>
  </si>
  <si>
    <t>CIR3</t>
  </si>
  <si>
    <t>AVP FLEBITADO</t>
  </si>
  <si>
    <t>INC 1551 / 2026</t>
  </si>
  <si>
    <t>Notifico a clínica cirúrgica devido paciente encontra-se com AVP flebitado. Solicito, cordialmente, maior observação da equipe técnica quanto aos AVPs.</t>
  </si>
  <si>
    <t>leito 28 cg</t>
  </si>
  <si>
    <t>Risco à Segurança do Paciente - Tomografia em Politrauma</t>
  </si>
  <si>
    <t>INC 1552 / 2026</t>
  </si>
  <si>
    <t>15/01/2026</t>
  </si>
  <si>
    <t>Venho por meio desta notificar evento adverso com risco grave à segurança do paciente, identificado durante o fluxo de atendimento para realização de exame de Tomografia Computadorizada em paciente politraumatizado.
Foi constatado que o paciente foi encaminhado ao setor de Tomografia em desacordo com os protocolos assistenciais, normas de segurança do paciente e legislações vigentes, apresentando as seguintes não conformidades:
Encaminhamento sem contenção e imobilização adequada, incluindo ausência de colar cervical e prancha rígida;
Ausência de acompanhamento médico do setor solicitante durante o deslocamento e permanência no setor de imagem;
Posterior confirmação diagnóstica, conforme documento em anexo, de fraturas na coluna cervical, evidenciando a gravidade da condição clínica e o alto risco envolvido.
Tal conduta configura grave falha assistencial, contrariando princípios fundamentais da Segurança do Paciente, do atendimento ao politrauma, bem como normas aplicáveis à Radiologia Diagnóstica, que determinam que pacientes instáveis ou com suspeita de lesões cervicais devem permanecer imobilizados e sob supervisão médica contínua durante todo o trajeto e realização do exame.
Riscos e Situações Agravantes ao Paciente
A ausência de contenção adequada e de acompanhamento médico expôs o paciente a riscos significativos, incluindo, mas não se limitando a:
Agravamento das lesões cervicais existentes;
Lesão medular secundária por movimentação inadequada;
Tetraplegia ou paraplegia irreversível;
Comprometimento respiratório e hemodinâmico;
Risco iminente de óbito;
Retardo em intervenções emergenciais em caso de intercorrência durante o exame.
Ressalta-se que o setor de Radiologia não detém autonomia assistencial para compensar falhas no preparo clínico do paciente, sendo responsabilidade do setor solicitante garantir que o paciente esteja clinicamente estabilizado, devidamente imobilizado e acompanhado por médico, conforme preconizam as boas práticas e legislações vigentes.</t>
  </si>
  <si>
    <t>TOMOGRAFIA NO HORARIO NOTURNO</t>
  </si>
  <si>
    <t>Encaminhamento Indevido ao Setor de Imagem</t>
  </si>
  <si>
    <t>INC 1553 / 2026</t>
  </si>
  <si>
    <t>Venho, por meio desta, notificar evento adverso com risco grave à segurança do paciente, identificado durante o fluxo de encaminhamento ao setor de diagnóstico por imagem. Com guia médica sem justificativa médica e amassada.
Foi constatado que paciente em situação de vulnerabilidade social (moradora de rua), apresentando condições clínicas incompatíveis com estabilidade, incluindo alteração das funções vitais e suspeita de uso de substâncias psicoativas ilícitas, foi encaminhada ao setor de imagem sem qualquer acompanhamento assistencial, tais como equipe de enfermagem e/ou maqueiro, contrariando protocolos institucionais e normas de segurança.
Tal situação caracteriza grave falha assistencial, uma vez que pacientes com rebaixamento do nível de consciência, possível intoxicação exógena e instabilidade clínica não devem ser deslocados desacompanhados, especialmente para setores diagnósticos que não possuem caráter assistencial direto, como é o caso da Radiologia.
Riscos e Situações Agravantes ao Paciente
A conduta observada expôs a paciente a riscos significativos, incluindo, mas não se limitando a:
Queda da própria altura durante deslocamento ou permanência no setor;
Aspiração de conteúdo gástrico em caso de vômitos;
Parada cardiorrespiratória sem assistência imediata;
Agravamento do quadro clínico por ausência de monitorização;
Retardo no reconhecimento de intercorrências clínicas agudas;
Violação dos princípios da dignidade, equidade e segurança do cuidado.
Além dos riscos ao paciente, a situação também expôs a equipe do SADT a riscos ocupacionais, uma vez que não compete ao setor de imagem realizar contenção clínica, manejo comportamental ou assistência direta em pacientes instáveis ou sob efeito de substâncias psicoativas.
Ressalta-se que o setor solicitante é integralmente responsável por garantir que o paciente esteja:
Clinicamente avaliado e estável;
Devidamente acompanhado por profissional habilitado;
Sob condições seguras para deslocamento e realização do exame.</t>
  </si>
  <si>
    <t>SETOR RAIO X DO HGP HORÁRIO NOTURNO</t>
  </si>
  <si>
    <t xml:space="preserve"> Encaminhamento Indevido para Tomografia sem presença de médico</t>
  </si>
  <si>
    <t>INC 1554 / 2026</t>
  </si>
  <si>
    <t>Venho, por meio desta, notificar evento adverso com risco grave à segurança do paciente, identificado durante o fluxo de encaminhamento para realização de Tomografia Computadorizada. Sem acompanhamento médico também. Paciente apresentou no laudo fratura na região lombar.
Foi constatado que paciente vítima de queda de aproximadamente 5 (cinco) metros de altura foi encaminhado ao setor de imagem sem a devida contenção e imobilização, em desacordo com os protocolos de atendimento ao trauma, normas de segurança do paciente e boas práticas assistenciais, apresentando as seguintes não conformidades:
Ausência de colar cervical;
Ausência de prancha rígida;
Ausência de traçado/dispositivo adequado para transferência segura do paciente para a mesa do tomógrafo;
Paciente referindo dor em região lombar após a queda, sinalizando possível lesão vertebral.
Tal conduta configura grave falha assistencial, uma vez que quedas de grande altura são consideradas mecanismo de trauma de alta energia, com risco elevado de lesões na coluna cervical, torácica e lombar, exigindo imobilização completa e transporte seguro até completa exclusão de lesões instáveis.
Riscos e Situações Agravantes ao Paciente
A ausência de contenção adequada e de técnicas seguras de transferência expôs o paciente a riscos relevantes, incluindo, mas não se limitando a:
Agravamento de possíveis fraturas vertebrais ocultas;
Lesão medular secundária por movimentação inadequada;
Paraplegia ou tetraplegia irreversível;
Instabilidade hemodinâmica decorrente de dor intensa ou lesões associadas;
Dor exacerbada e sofrimento desnecessário;
Risco de queda durante a transferência para a mesa do equipamento;
Retardo no manejo adequado e na tomada de condutas emergenciais.
Ressalta-se que o setor de Radiologia não possui competência assistencial para correção de falhas no preparo do paciente, sendo de responsabilidade do setor solicitante assegurar que todo paciente vítima de trauma:
Esteja adequadamente imobilizado;
Seja transferido de forma segura, com dispositivos apropriados;
Tenha condições clínicas mínimas para realização do exame diagnóstico.</t>
  </si>
  <si>
    <t>336891</t>
  </si>
  <si>
    <t>FALHA NA COMUNICAÇÃO E ENCAMINHAMENTO DE PACIENTE AO CENTRO CIRURGICO</t>
  </si>
  <si>
    <t>INC 1555 / 2026</t>
  </si>
  <si>
    <t>Gerência de Cuidados Cirúrgicos / Centro Cirúrgico</t>
  </si>
  <si>
    <t>Iara Victoria Pinheiro de Lima</t>
  </si>
  <si>
    <t>No dia 09/01/2026, por volta das 05h15, foi encaminhada ao Centro Cirúrgico uma paciente gestante G.M.S (prontuário: n°188305) para realização de cesariana sem comunicação prévia com a equipe do setor. A paciente foi enviada ao bloco cirúrgico sem passagem de caso pela enfermeira do Pronto Atendimento Materno (PAM), sem prontuário e sem solicitação médica de emergência, acompanhada pela técnica que não soube repassar as informações da paciente. O prontuário foi entregue apenas após a paciente já se encontrar anestesiada, comprometendo o acesso prévio às informações clínicas necessárias para uma assistência segura tanto para mãe quanto para o rn. A passagem de caso pela enfermeira do PAM ocorreu somente após questionamento da enfermeira do Centro Cirúrgico quanto à ausência de informações, quando o procedimento já havia sido finalizado. Notifico para melhoria do processo.</t>
  </si>
  <si>
    <t>00000</t>
  </si>
  <si>
    <t>NÃO ADESÃO MÉDICA AO PROTOCOLO DE SEPSE</t>
  </si>
  <si>
    <t>INC 1556 / 2026</t>
  </si>
  <si>
    <t>Suellen Andrade Sousa Coelho</t>
  </si>
  <si>
    <t>Durante visita de rotina à Clínica Cirúrgica, fui acionada pela enfermeira Flávia, responsável pelo plantão diurno, a qual informou sobre a abertura de Protocolo de Sepse previamente validado pelo médico cirurgião geral, Dr. Ageu. No entanto, constatou-se a ausência da solicitação dos exames laboratoriais previstos no pacote inicial de sepse, conforme estabelecido no protocolo institucional.
A enf. Flávia havia discutido com o médico a importância do seguimento integral do protocolo, especialmente no que se refere à solicitação tempestiva dos exames laboratoriais. Apesar disso, houve recusa médica em proceder com as solicitações, sob a justificativa de existência de exames realizados no dia anterior, conduta que diverge das diretrizes do Protocolo Institucional de Sepse. Ainda assim, foi prescrita antibioticoterapia com Piperacilina associada a Tazobactam.
Durante minha permanência no setor, o médico compareceu à unidade de internação e foi novamente questionado quanto à necessidade de continuidade do protocolo, incluindo o devido preenchimento e registro das etapas obrigatórias. O profissional manifestou-se de forma contrária, relatando que não "perderia tempo" com o preenchimento do formulário, afirmando que a paciente já se encontrava sob acompanhamento clínico.
Foi reforçado que o cumprimento adequado do Protocolo Institucional de Sepse é fundamental para garantir a segurança do paciente, a rastreabilidade das condutas adotadas, o monitoramento da resposta terapêutica e a redução do risco de desfechos desfavoráveis, incluindo óbito por sepse. Mesmo após as orientações prestadas, o médico manteve a decisão de não dar seguimento ao protocolo.
Diante disso solicitou-se, que o protocolo fosse formalmente encerrado pelo médico (Dr. Ageu), com a devida justificativa registrada no formulário de SEPSE; entretanto, o profissional informou que tal procedimento poderia ser realizado pela enfermeira do Serviço de Controle de Infecção Hospitalar (SCIH), encerrando a conversa e retirando-se do local.
Diante do exposto, a situação foi devidamente notificada para ciência da Coordenação, Gerência Médica e Comissão de Sepse, com o objetivo de promover o alinhamento de condutas, reforçar institucionalmente a obrigatoriedade do cumprimento do Protocolo de Sepse e contribuir para a melhoria contínua do processo assistencial, com foco na segurança do paciente e na adesão às diretrizes vigentes.</t>
  </si>
  <si>
    <t>Uso de Adorno em Área Crítica (Centro Cirúrgico).</t>
  </si>
  <si>
    <t>INC 1557 / 2026</t>
  </si>
  <si>
    <t>Durante visita técnica ao setor do Centro Cirúrgico que são realizadas pelo Serviço de Controle de Infecção Hospitalar (SCIH), foi observado que o médico cirurgião Dr. Miqueis encontrava-se em uso de aliança, inclusive durante o período em que foi submetido a procedimento cirúrgico, mantendo o adorno durante todo o ato operatório. A conduta observada caracteriza não conformidade com os protocolos institucionais de prevenção e controle de infecções, os quais preconizam a política de adorno zero em áreas críticas. O uso de adornos compromete a efetividade da higienização das mãos, conforme evidenciado na literatura científica, favorecendo a permanência de microrganismos e aumentando o risco de Infecções Relacionadas à Assistência à Saúde (IRAS). Ressalta-se que a prática encontra-se em desacordo com as recomendações da Agência Nacional de Vigilância Sanitária (ANVISA), em especial a RDC nº 36/2013, que dispõe sobre ações para a segurança do paciente nos serviços de saúde, bem como com os princípios do Programa de Controle de Infecção Hospitalar (PCIH), que estabelece medidas para redução de riscos biológicos durante a assistência.</t>
  </si>
  <si>
    <t>PACIENTE DÁ ENTRADA NO CENTRO CIRURGICO COM ACESSO NÃO FUNCIONANTE</t>
  </si>
  <si>
    <t>INC 1558 / 2026</t>
  </si>
  <si>
    <t>16/01/2026</t>
  </si>
  <si>
    <t>NO DIA 13/01/2026, ÀS 06H:00MIN, PACIENTE MENOR G.C.F. (PRONTUÁRIO N°334694) DEU ENTRADA NO CENTRO CIRÚRGICO PROVENIENTE DA PEDIATRIA, PARA REALIZAR PROCEDIMENTO CIRÚRGICO. AO TESTAR AVP, NOTOU-SE QUE ESTE NÃO ESTAVA PÉRVIO. GENITORA REFERE QUE MENOR SÓ REALIZOU MEDICAÇÃO NO PS, INFORMANDO QUE DURANTE INTERNAÇÃO NA PEDIATRIA O ACESSO NÃO FOI UTILIZADO E NEM TESTADO ANTES DE VIR PARA O BLOCO CIRÚRGICO. NOTIFICO PARA MELHORIA DO PROCESSO.</t>
  </si>
  <si>
    <t>Unidade de Internação Pediátrica</t>
  </si>
  <si>
    <t xml:space="preserve">Paciente encaminhado sem identificação </t>
  </si>
  <si>
    <t>INC 1559 / 2026</t>
  </si>
  <si>
    <t>Antonia Jacilene Ferreira da Silva</t>
  </si>
  <si>
    <t>Paciente José Dias da Silva (SIC) deu entrada proveniente do Pronto-Socorro (PS), encaminhado diretamente ao Centro Cirúrgico para cirurgia vascular, sem qualquer aviso ou comunicação prévia à equipe do Centro Cirúrgico e ao NIR.
No momento da chegada, o paciente encontrava-se sem prontuário, sem pulseira de identificação, sem AVP e sem documentação clínica.
A ausência de comunicação prévia e de identificação adequada comprometeu o fluxo assistencial e os protocolos de segurança do paciente.</t>
  </si>
  <si>
    <t>04/02/2026</t>
  </si>
  <si>
    <t>Não Conformidade no Preenchimento de Bundles de Ventilação Mecânica.</t>
  </si>
  <si>
    <t>INC 1560 / 2026</t>
  </si>
  <si>
    <t>Paciente internado em leito de (UCI), em uso de intubação orotraqueal. Verificou-se a ausência de abertura do Bundle de Manutenção pela equipe de Fisioterapia, documentos essenciais para o acompanhamento diário do dispositivo invasivo. Ressalta-se que os bundles consistem em um conjunto de boas práticas assistenciais baseadas em evidências, fundamentais para o monitoramento sistemático, a padronização dos cuidados e a prevenção de eventos adversos, especialmente infecções relacionadas à ventilação mecânica. A não abertura e o não preenchimento desses instrumentos impactam negativamente o controle diário, a rastreabilidade das condutas adotadas e a segurança do paciente. Diante do exposto, recomenda-se que a equipe de Fisioterapia se atente à abertura e ao correto preenchimento dos Bundles de Inserção e Manutenção, garantindo o registro adequado, a continuidade do cuidado e a adesão aos protocolos institucionais e às boas práticas de segurança do paciente.</t>
  </si>
  <si>
    <t>RETRABALHO DEVIDO ALGO INERENTE AO MVPEP</t>
  </si>
  <si>
    <t>INC 1561 / 2026</t>
  </si>
  <si>
    <t>17/01/2026</t>
  </si>
  <si>
    <t>ACREDITO QUE NÃO SE TRATA EXATAMENTE DE UM INCIDENTE. SERIA MAIS INTERAÇÃO DE PROCESSO. MESMO ASSIM NOTIFICO PARA ANÁLISE.
SOLICITADA PARA PACIENTE G.M.C. TC DE TORAX (PLANTAO DIA, PERIODO DA MANHA, DA DATA DE 17/01/26). TODAVIA TIVE QUE SUSPENDER A SOLICITAÇÃO ANTERIOR (DEVIDO TER FICADO SEM JUSTIFICATIVA) E SOLICITEI NOVA TC DE TORAX EM QUE CONSTAVA NO CAMPO OBSERVAÇÃO A JUSTIFICATIVA DE SOLICITAÇÃO DO EXAME DE IMAGEM. 
FOI INFORMADO PELA ENFERMAGEM QUE O SETOR DE SADT NÃO ACEITOU O PEDIDO "RASURADO" NAS PALAVRAS DA COLABORADORA DO SADT QUE RECEBEU A SOLICITAÇÃO (ANEXO COPIA DA SOLICITAÇÃO). TODAVIA SOLICITAÇÃO DE EXAME NÃO ESTAVA RASURADA, APENAS CONTINHA A SUSPENSÃO DA TC DE TORAX EM QUE NÃO COLOQUEI A JUSTIFICATIVA E CONTINHA A SOLICITAÇÃO DA TC DE TORAX COM A DEVIDA JUSTIFICATIVA.
LIGUEI NO SETOR E CONVERSEI COM A COLABORADORA DO SADT POREM ELA INFORMOU QUE TINHA QUE SER REALIZADO OUTRO PEDIDO PORQUE A SOLICITAÇÃO ENVIADA ESTAVA "RASURADA". EXPLIQUEI A ELA QUE ISSO NÃO É RASURA, MAS SIM O CANCELAMENTO DO PEDIDO DA TC DE TORAX EM QUE HAVIA ESQUECIDO DE COLOCAR A JUSTIFICATIVA E QUE DAVA PARA VERIFICAR QUE AS DUAS SOLICITAÇÕES (A SUSPENSA E A OUTRA) ERAM DISTINTAS PORQUE UMA TINHA JUSTIFICATIVA E A OUTRA NÃO TINHA. 
ENTRETANTO A COLABORADORA SE MOSTROU IRREDUTIVEL E DISSE QUE CUMPRIA ORDENS E QUE TINHA QUE SER FEITO NOVA SOLICITAÇÃO. 
NA MINHA OPINIÃO, NÃO FAZ SENTIDO ESSE TIPO DE BUROCRACIA QUE SÓ CAUSA RETRABALHO TENDO EM VISTA QUE É NÍTIDO QUE OS DOIS PEDIDOS ERAM DISTINTOS.
ACHO QUE PRECISA SER REVISITADA ESSA BARREIRA PARA VER SE HÁ UM SENTIDO NESSE TIPO DE SOLICITAÇÃO DE RETRABALHO PELO OUTRO. LEMBRANDO QUE É PRÓPRIO DO SISTEMA MVPEP O CANCELAMENTO DE UM EXAME EM QUE O MESMO APARECE RISCADO, SENDO POSSIVEL DISTINGUIR QUE AS DUAS SOLICITAÇÕES SÃO DIFERENTES (UMA NÃO CANCELOU A OUTRA DA MESMA FOLHA DE SOLICITAÇÃO DO EXAME). 
TODOS TEM MUITO TRABALHO A FAZER. ESSE TIPO DE RETRABALHO, APARENTEMENTE SEM SENTIDO, ADICIONA TEMPO A UMA ROTINA JÁ ACELERADA. 
GOSTARIA DE TER RESPOSTA EM RELAÇÃO A ESSA NOTIFICAÇÃO.</t>
  </si>
  <si>
    <t>SADT</t>
  </si>
  <si>
    <t>Reação Transfusional CGO</t>
  </si>
  <si>
    <t>INC 1562 / 2026</t>
  </si>
  <si>
    <t>5</t>
  </si>
  <si>
    <t>Paciente do leito 17 J. M.S (209174)
Precisou de bolsa de CH e apresentou cefaleia, hipertensão e escotomas
número da bolsa 21635706
ts da paciente o+
ts da bolsa o+
volume 250ml
bolsa chegou 12:24
adm 13:02
ssvv  pa 120x80 // fc 89 // t 36,2
13:12 - 10 min
ssvv pa 120x80 // fc 79 // t 36,7
15:14 término
ssvv 160x100 // fc 80 // t 36,5 - cefaleia, escotomas e hipertensão
acionado médico do pam, iniciado hidralazina, feito 2 etapas de hidralazina
adm losartana + nifedipina
suspenso a 2ª bolsa ate estabilizar a PA
entrego plantão com a paciente em controle pressórico</t>
  </si>
  <si>
    <t>17</t>
  </si>
  <si>
    <t>ENCAMINHAMENTO DE PACIENTE GRAVE PARA TOMOGRAFIA SEM ACOMPANHAMENTO MÉDICO Notificação encaminhada para análise.</t>
  </si>
  <si>
    <t>INC 1563 / 2026</t>
  </si>
  <si>
    <t>19/01/2026</t>
  </si>
  <si>
    <t>Data do evento: 17/01/2026
Horário aproximado: 06h20
Setor: Tomografia Computadorizada - SADT
Paciente: E M dos S
Classificação clínica: Paciente grave - Sala Vermelha
Descrição do Evento
Por volta das 06h20 do dia 17/01/2026, o paciente E M dos S, classificado como grave (Sala Vermelha), deu entrada no setor de Tomografia Computadorizada para realização de exames de TC de crânio, face, coluna cervical, coluna dorsal e tórax.
O paciente foi encaminhado sem acompanhamento médico, estando acompanhado apenas por técnico de enfermagem e maqueiros, apesar da gravidade do quadro clínico e da complexidade dos exames solicitados.
A condução do paciente ao setor de imagem sem a presença de médico assistente configura não conformidade grave, considerando:
A instabilidade clínica potencial do paciente grave oriundo da Sala Vermelha;
O risco de intercorrências clínicas súbitas durante o deslocamento e a realização dos exames;
A impossibilidade de intervenção médica imediata em caso de deterioração clínica;
A exposição do paciente a risco evitável, contrariando os princípios da Segurança do Paciente.
Fundamentação Legal e Normativa
O evento contraria dispositivos normativos e princípios legais, tais como:
RDC nº 330/2019 e RDC n° 611/2022 - ANVISA
Determina que os serviços de radiologia devem garantir condições seguras para a realização dos exames, incluindo avaliação clínica adequada e suporte necessário ao paciente durante todo o processo.
RDC nº 36/2013 - ANVISA (Segurança do Paciente)
Estabelece a obrigatoriedade da adoção de práticas que minimizem riscos e eventos adversos relacionados à assistência à saúde.
Código de Ética Médica (CFM)
Prevê que pacientes graves devem permanecer sob assistência médica contínua, especialmente durante procedimentos diagnósticos que envolvam risco.
Boas Práticas Assistenciais e Protocolos de Urgência e Emergência
Pacientes críticos devem ser transportados e submetidos a exames diagnósticos com acompanhamento médico, garantindo resposta imediata a intercorrências.
Riscos Associados ao Evento
Parada cardiorrespiratória sem suporte médico imediato
Rebaixamento do nível de consciência durante o exame
Complicações respiratórias e hemodinâmicas
Atraso na tomada de decisão clínica em situação de urgência
Conclusão
O encaminhamento de paciente grave, oriundo da Sala Vermelha, para realização de tomografia sem acompanhamento médico caracteriza falha assistencial grave, representando risco significativo à segurança do paciente e descumprimento das normas vigentes de radiologia e assistência em urgência e emergência.</t>
  </si>
  <si>
    <t>Lactente evoluiu a óbito após duas idas a UPA e internação com piora do sintomas gripais.</t>
  </si>
  <si>
    <t>INC 1564 / 2026</t>
  </si>
  <si>
    <t xml:space="preserve">Gerência de Cuidados Materno/Infantil / UCI - Unidade de Cuidados Intensivos Neonatal </t>
  </si>
  <si>
    <t>Lactente com histórico de inicio de sintomas gripais no dia 10/01/26 com 02 idas a UPA sem melhora do quadro. No dia 13/01/26 deu entrada no PS as 04 horas com desconforto respiratório, gemência e sintomas gripais, realizou exames e ficou em observação, a tarde por volta das 14 horas teve uma piora e foi encaminhado para sala vermelha em uso de cateter nasal e as 19:46 internou na UCI neo, apresentando gasping, taqupneico, taquicardia e sinais de insuficiência respiratória foi intubado e iniciado DVA. Foi solicitado transfusão, mais sem bolsas compatível disponivel e transferência para UTI pediátrica. No dia 14/01/26 foi realizado AVC para medicações e continou mantendo gravidade. No dia 15/01/26 apresentou bradicardia e evoluiu para PCR, foi realizado RCP sem reposta e evoluiu com óbitp as 02:5o horas.</t>
  </si>
  <si>
    <t>9</t>
  </si>
  <si>
    <t>Evento Catastrófico</t>
  </si>
  <si>
    <t>Prescrição de medicação com diluição inadequada/ risco flebite</t>
  </si>
  <si>
    <t>INC 1565 / 2026</t>
  </si>
  <si>
    <t>Gerência de Cuidados Clínicos e Intensivos / Clínica Médica</t>
  </si>
  <si>
    <t>21/01/2026</t>
  </si>
  <si>
    <t>Foi identificado que a medicação ceftriaxona vem sendo prescrita utilizando 10 ml de ABD (água bidestilada) como diluente para administração intravenosa, em desacordo com a recomendação do fabricante e protocolo institucional, que orienta a diluição em diluente adequado (SF 0,9% ou conforme prescrição).
A utilização de ABD como diluente para ceftriaxona por via endovenosa configura alto risco de flebite, dor local, irritação vascular e possíveis eventos adversos ao paciente, devido à osmolaridade inadequada da solução.</t>
  </si>
  <si>
    <t>29</t>
  </si>
  <si>
    <t xml:space="preserve"> Risco à segurança do paciente Setor: Ala Psicossocial</t>
  </si>
  <si>
    <t>INC 1566 / 2026</t>
  </si>
  <si>
    <t>Ao tentar adentrar na Ala Psicossocial, foi observada a ausência do agente de portaria no local e, em seguida, identificada a chave da porta de acesso à ala pendurada no portão, visível e acessível a qualquer pessoa.
Ressalta-se que a Ala Psicossocial é um ambiente fechado, com pacientes que apresentam alto risco de fuga, sendo imprescindível o controle rigoroso de acesso.
A situação configura alto risco de evasão/fuga de pacientes, além de comprometimento da segurança institucional, uma vez que qualquer pessoa poderia ter acesso à chave e abrir a porta sem autorização.</t>
  </si>
  <si>
    <t>Controle de acesso</t>
  </si>
  <si>
    <t>Erro de cadastro / Identificação do paciente</t>
  </si>
  <si>
    <t>INC 1567 / 2026</t>
  </si>
  <si>
    <t>Paciente, ao dar entrada no hospital, foi cadastrada com o nome incorreto "Elane Cosmo Santos", sendo que o nome correto é "Elane Cosme Santos". Esse erro de grafia resultou na criação de um novo registro no sistema, fazendo com que a internação anterior da paciente não estivesse disponível para consulta e acompanhamento médico.
Devido à indisponibilidade do histórico clínico correto, a paciente correu risco de não receber a medicação adequada (imunoglobulina), uma vez que a médica assistente encontrou apenas um registro de tratamento com pulsoterapia, sem acesso à informação de que a paciente já havia realizado pulsoterapia previamente, o que justificava a falha terapêutica e a necessidade do uso de imunoglobulina.</t>
  </si>
  <si>
    <t>Recepção</t>
  </si>
  <si>
    <t>Falha de processo de Agendamento de exame</t>
  </si>
  <si>
    <t>INC 1568 / 2026</t>
  </si>
  <si>
    <t>Foi recebido na Clínica Médica o formulário de agendamento externo do paciente R.S.A., constando marcação de EDA (Endoscopia Digestiva Alta) para o dia 19/01/2026.
O paciente realizou todo o preparo necessário para o exame, incluindo jejum e demais orientações pré-procedimento. Contudo, no momento em que o paciente seria encaminhado para a clínica de realização do exame, foi informado que o exame não constava como agendado no sistema.
A situação gerou desgaste físico e emocional ao paciente, além de risco assistencial devido ao jejum prolongado desnecessário, atraso diagnóstico e possível impacto na conduta terapêutica.</t>
  </si>
  <si>
    <t>NIR - Núcleo de Regulação Interno</t>
  </si>
  <si>
    <t>PROFISSIONAL SEM USAR EPI ADEQUADO</t>
  </si>
  <si>
    <t>INC 1569 / 2026</t>
  </si>
  <si>
    <t>Durante visita de rotina ao Pronto Socorro, foi observado paciente em precaução para aerossóis por diagnóstico de tuberculose. No momento da observação, identificou-se técnica do laboratório realizando procedimento de coleta na referida paciente sem a utilização do Equipamento de Proteção Individual (EPI) adequado, especificamente máscara respiratória do tipo N95/PFF2, conforme preconizado pelos protocolos institucionais e normas de biossegurança.
Diante da inconformidade identificada, notifico para fins de melhoria do processo, reforço das medidas de segurança ocupacional e prevenção da transmissão de infecções, visando à proteção dos profissionais de saúde e dos pacientes.</t>
  </si>
  <si>
    <t>Unidade de Análises Clínicas</t>
  </si>
  <si>
    <t>ESTABILIZAÇÃO</t>
  </si>
  <si>
    <t>Falha de identificação de soro na dispensação</t>
  </si>
  <si>
    <t>INC 1570 / 2026</t>
  </si>
  <si>
    <t>Foi recebido na Clínica Médica um frasco de soro fisiológico sem identificação de rótulo, vindo na fita de dispensação junto com outras medicações.
O frasco encontrava-se sem qualquer identificação contendo nome da solução, concentração, lote, validade e via de administração, impossibilitando a rastreabilidade e o uso seguro do produto.
A ausência de identificação do rótulo configura alto risco de erro de medicação, podendo resultar em administração incorreta, troca de soluções, contaminação, eventos adversos ao paciente e falha na rastreabilidade.</t>
  </si>
  <si>
    <t>Farmácia</t>
  </si>
  <si>
    <t>EQUIPO SEM IDENTIFICAÇÃO</t>
  </si>
  <si>
    <t>INC 1571 / 2026</t>
  </si>
  <si>
    <t>Prezados, Notifico que, na data de hoje as 16:40, foi encaminhado ao setor paciente proveniente do Centro Cirúrgico sem a devida identificação de equipo.
Ressalto que a identificação correta é essencial para garantir a segurança do paciente e a rastreabilidade do material, conforme protocolos institucionais vigentes.
Solicito, por gentileza, a orientação da equipe quanto ao cumprimento desse procedimento, a fim de evitar recorrências.</t>
  </si>
  <si>
    <t>LEITO 16</t>
  </si>
  <si>
    <t>PACIENTE SEM PULSEIRA DE ALERGIA.</t>
  </si>
  <si>
    <t>INC 1572 / 2026</t>
  </si>
  <si>
    <t>Prezados, Notifico que no dia de hoje, às 16h40, foi encaminhado paciente proveniente do Centro Cirúrgico que refere alergia medicamentosa, porém sem a pulseira de identificação de alergia.
Ressalto que o uso da pulseira é indispensável para a segurança do paciente e para a prevenção de eventos adversos, conforme os protocolos institucionais.
Solicito a orientação e reforço junto à equipe quanto ao cumprimento desse procedimento, a fim de evitar recorrências.</t>
  </si>
  <si>
    <t xml:space="preserve">PACIENTE SEM PULSEIRA DE ALERGIA </t>
  </si>
  <si>
    <t>INC 1573 / 2026</t>
  </si>
  <si>
    <t>Notifico o Centro Cirúrgico que, por encaminhar paciente que refere alergia medicamentosa, porém sem pulseira de identificação de alergia, em desacordo com os protocolos institucionais de segurança do paciente.</t>
  </si>
  <si>
    <t>leito 27</t>
  </si>
  <si>
    <t>LPP - CALCÂNEA</t>
  </si>
  <si>
    <t>INC 1574 / 2026</t>
  </si>
  <si>
    <t>Paciente apresentando lesão calcânea, Presença de área com eritema não branqueável em região calcânea, pele íntegra, quente ao toque, paciente acamado, Braden = 12 (segundo a última avaliação - 22/01)
Realizado orientação sobe o alívio de pressão imediata, mudança de decúbito, proteção local com placa de espuma/silicone, hidratação da pele, orientação à equipe quanto à vigilância da área.
Área mantida íntegra, pele monitorada continuamente.
Notifico para tratativa do caso.</t>
  </si>
  <si>
    <t>09</t>
  </si>
  <si>
    <t xml:space="preserve"> LPP - SACRAL</t>
  </si>
  <si>
    <t>INC 1575 / 2026</t>
  </si>
  <si>
    <t>Lesão por pressão em estágio 2 em região sacal, com perda parcial da pele, aspecto de bolha/abrasão, sem esfacelo, paciente com mobilidade reduzida.
Realizado curativo com cobertura adequada no momento (espuma/silicone), limpeza com SF 0,9%, alívio de pressão, mudança de decúbito 2/2h, notificada comissão de feridas e time de pele UTI.
Lesão protegida, sem sinais de infecção, mantido acompanhamento.
Notifico para registro do caso.</t>
  </si>
  <si>
    <t>4</t>
  </si>
  <si>
    <t>Recebo paciente do CC com prontuário com prescrição de 3 pacientes diferentes</t>
  </si>
  <si>
    <t>INC 1576 / 2026</t>
  </si>
  <si>
    <t>Recebo paciente do CC as 16:30 com prontuario com prescrição de 3 pacientes diferentes, no prontuario tinha prescrição das pacientes C.D.S, T.M.C e G.G.B.S. 
A carteirinha do RN estava preenchida com os dados de outra paciente.</t>
  </si>
  <si>
    <t>PACIENTE PROVINDA DO CC, LT 03</t>
  </si>
  <si>
    <t>Avaliação de Riscos Assistenciais, Éticos e Legais Relacionados à Prática de Evolução e Permanências de Pacientes em Leitos Virtuais</t>
  </si>
  <si>
    <t>INC 1577 / 2026</t>
  </si>
  <si>
    <t>Conforme discutido na reunião realizada hoje durante o Round da Clínica Médica, foi levantada pela equipe a fragilidade existente na prática de evolução de pacientes cadastrados em leitos virtuais.
Foram discutidos, ainda, os riscos aos quais nós, enquanto instituição, estamos expostos em decorrência dessa prática, considerando que possuímos um grupo denominado "EVOLUÇÕES PARA LEITOS VIRTUAIS", no qual são solicitadas evoluções de pacientes que não se encontram fisicamente internados na instituição. Cito como exemplo a paciente M.D. M, conforme evidenciado na imagem apresentada (anexo).
Outro ponto relevante refere-se à dificuldade assistencial gerada quando esses pacientes necessitam de atendimento no Pronto-Socorro. Nesses casos, não é possível a abertura de ficha de atendimento, uma vez que o paciente consta como internado no sistema. Destaco como exemplo o ocorrido no dia 14/01/2026, quando a paciente compareceu ao PS, porém já havia prontuário aberto, com evolução recente do quadro clínico.
Diante do exposto, chamo a atenção para a necessidade de avaliarmos se essa prática está em conformidade com as políticas internas da instituição. Ainda que compreendamos a complexidade da demanda e as limitações relacionadas à regulação interna, DIRCA e regulação estadual, questiona-se a viabilidade de assumirmos tal responsabilidade sem o devido respaldo.
Minha preocupação envolve tanto os direitos dos pacientes à assistência integral e sem interrupções, quanto os potenciais riscos de infrações éticas e legais aos quais a instituição e os profissionais podem estar sujeitos caso essa prática seja mantida.
Por fim, considerei importante e fundamental, levando nesta data de hoje (22) o tema para discussão em nível de Comissão de Gerenciamento de Riscos, uma vez que expõe os profissionais envolvidos e, sobretudo, enquanto gerente da linha, assumo a responsabilidade pelo tema, visto que tenho ciência da situação.</t>
  </si>
  <si>
    <t>Gerência de Cuidado Clínicos Intensivos</t>
  </si>
  <si>
    <t>ÓBITO EM SALA VERMELHA (E.C.F 337816)</t>
  </si>
  <si>
    <t>INC 1578 / 2026</t>
  </si>
  <si>
    <t>Gerência de Cuidados Clínicos e Intensivos / Gerência de Cuidados Clínicos e Intensivos</t>
  </si>
  <si>
    <t>__1. Histórico e Chegada à Unidade Hospitalar__
O menor Estevão Carvalho Ferreira encontrava-se previamente em atendimento na UPA, com hipótese diagnóstica de luxação de ombro e fratura de costelas?, porém evadiu-se da unidade antes da conclusão do atendimento.
Posteriormente, o paciente chegou a este hospital acompanhado de seus genitores, permanecendo inicialmente na recepção do Pronto Socorro, aguardando abertura de ficha de atendimento.
Nesse momento, um técnico de enfermagem da UPA, ao reconhecer os genitores, abordou-os e conduziu o menor diretamente ao Ambulatório de Ortopedia, sem que houvesse, naquele instante, triagem formal no Pronto Socorro.
__2. Atendimento no Ambulatório de Ortopedia__
No Ambulatório de Ortopedia, o paciente foi avaliado pelos médicos ortopedistas Dr. Marcos Vinicius e Dr. Lucas Rezende.
Durante as avaliações médicas realizadas no ambulatório, não foram identificadas alterações compatíveis com as hipóteses diagnósticas iniciais oriundas da UPA.
__3. Identificação de Gravidade e Transferência Interna__
Em avaliação subsequente, a enfermeira Marceline identificou o paciente em condições clínicas graves, observando-o prostrado, gemente e em estado geral gravíssimo.
Diante do quadro apresentado, foi imediatamente solicitada transferência interna para o Pronto Socorro, a fim de garantir atendimento em ambiente compatível com a gravidade do caso.
__4. Atendimento no Pronto Socorro__
No Pronto Socorro, o paciente foi avaliado pelo médico Dr. Carlos, que realizou prescrição médica inicial e solicitou exames complementares.
Em nova avaliação de enfermagem, realizada pela enfermeira Gizele, foi constatado agravamento do quadro clínico, com os seguintes achados:
?	Instabilidade hemodinâmica
?	Taquicardia
?	Presença de hematoma extenso e de proporção significativa em hemitórax direito
Diante dessas alterações, foi solicitada avaliação imediata da equipe da Sala Vermelha, sendo o paciente acolhido em leito de SV.
__5. Evolução Clínica__
O paciente manteve-se:
?	Gemente
?	Hemodinamicamente instável
?	Em estado geral gravíssimo
Os genitores foram acionados e devidamente informados acerca da gravidade do quadro clínico, sob responsabilidade do Dr. Gustavo Henrique.
Foram levantadas como hipóteses diagnósticas durante a evolução:
?	Injúria Renal Aguda
?	Sepse?
?	Quadro arrastado de GECA?
Após correção das alterações identificadas em gasometria arterial e adoção das demais medidas terapêuticas iniciais, foi solicitada avaliação da equipe de Pediatria.
__6. Parada Cardiorrespiratória e Óbito__
No momento da chegada do pediatra para avaliação, o paciente evoluiu com parada cardiorrespiratória (PCR).
Foram imediatamente iniciadas manobras de reanimação cardiopulmonar avançada, conforme protocolos vigentes, com duração aproximada de 40 minutos.
Apesar de todas as medidas instituídas, não houve resposta às manobras de reanimação, sendo o óbito declarado ao término do atendimento.</t>
  </si>
  <si>
    <t>SALA VERMELHA</t>
  </si>
  <si>
    <t>IDENTIFICAÇÃO DE LARVAS EM CAVIDADE ORAL DE PACIENTE INTERNADA</t>
  </si>
  <si>
    <t>INC 1579 / 2026</t>
  </si>
  <si>
    <t>1. descrição do evento
Durante a internação da paciente na clínica médica, foi identificada a presença de larvas na cavidade oral.
O achado foi percebido pela equipe assistencial da sala vermelha, pois devido instabilidade do quadro a paciente precisou ser transferida para sala vermelha, sendo imediatamente comunicado à equipe responsável para adoção das condutas necessárias.
2. conduta imediata
após a identificação do evento, foram realizadas as medidas assistenciais cabíveis, incluindo:
?	higienização imediata da cavidade oral
?	comunicação à equipe médica responsável
3. considerações assistenciais
Ressalta-se que a paciente possuía acompanhante durante o período de internação. no entanto, considerando a condição clínica da paciente e o risco associado à sua vulnerabilidade, a equipe assistencial deveria ter mantido vigilância e assistência mais frequentes, especialmente no que se refere aos cuidados de higiene oral e observação contínua.
4. considerações finais
O presente relatório tem como finalidade registrar o evento ocorrido, apresentar as medidas administrativas aplicadas (advertência verbal), reforçando a importância da assistência contínua e integral ao paciente internado, independentemente da presença de acompanhante, visando à prevenção de eventos adversos e à segurança do paciente.</t>
  </si>
  <si>
    <t>Recusa no atendimento podendo causar prejuízo potencial à assistência da paciente</t>
  </si>
  <si>
    <t>INC 1580 / 2026</t>
  </si>
  <si>
    <t>Flavia Natalia Rebouças Ferreira</t>
  </si>
  <si>
    <t>Venho por meio deste relatar ocorrência envolvendo a não realização de exame de ultrassonografia de abdome total, previamente solicitado pelo médico assistente.
A paciente encontrava-se presente na sala de exame, já havia realizado ultrassonografia transvaginal e estava em jejum desde as 22h do dia anterior, com suspeita clínica de apendicite, conforme solicitação médica.
O exame de USG de abdome total não foi realizado, pois a profissional de ultrassom recusou-se a aguardar a chegada do pedido físico, apesar de o mesmo já ter sido enviado e autorizado previamente no grupo de autorizações da clínica. Ressalta-se que o técnico informou que iria buscar o pedido na clínica, porém a profissional optou por não aguardar.
Segundo relato da própria paciente, a profissional apresentou conduta grossa e ríspida com o técnico responsável, na frente da paciente, o que causou constrangimento, atraso no fluxo de atendimento e impacto negativo na experiência da paciente.
Ainda conforme o ocorrido, a profissional questionou a conduta do médico solicitante, alegando que a paciente já havia realizado uma tomografia computadorizada (TC), atitude que extrapola a função técnica, uma vez que a avaliação da necessidade do exame cabe exclusivamente ao médico assistente.
A situação descrita resultou em atraso na demanda, desgaste entre equipe multiprofissional e prejuízo potencial à assistência da paciente, considerando o quadro clínico suspeito.
Solicita-se avaliação do ocorrido, orientação à profissional envolvida quanto à conduta ética e profissional, bem como providências para evitar a recorrência de situações semelhantes.
Sem mais para o momento.</t>
  </si>
  <si>
    <t>Demora na profilaxia antirretroviral em paciente pediátrico</t>
  </si>
  <si>
    <t>INC 1581 / 2026</t>
  </si>
  <si>
    <t>Trata-se de incidente com dano potencial, relacionado a atraso na profilaxia antirretroviral em paciente pediátrico vítima suspeita de violência sexual.
Paciente criança deu entrada na unidade em [22/01/2026] às 22h58, com suspeita de abuso sexual. Foram solicitados exames laboratoriais às 00h06, coletados às 01h04, com liberação dos resultados às 03h26. Durante esse período, houve aguardo de definição clínica pelo médico assistente e tentativa de contato com a infectologia.
Em virtude da demora no fluxo assistencial e do aguardo de conduta médica, os genitores evadiram da unidade, retornando somente no dia seguinte (23/01/2026) às 10h34. Após reavaliação, foi indicada profilaxia antirretroviral, com prescrição realizada às 11h30.
Entretanto, a medicação não foi dispensada pela farmácia devido à ausência de documentação obrigatória, incluindo cópia de notificações, resultados de exames laboratoriais e prescrição médica com inconsistências, necessitando correção e complementação por parte do médico assistente. Até o momento desta notificação (14h30), a profilaxia antirretroviral ainda não havia sido dispensada, pois a farmácia aguardava a correção da prescrição e evolução médica em prontuário.
O evento expôs o paciente a risco assistencial significativo, considerando o tempo sensível para início oportuno da profilaxia pós-exposição, configurando falha no fluxo assistencial, comunicação intersetorial e adequação documental. Ressalta-se que, até o momento, não há confirmação de dano, porém o atraso pode comprometer a efetividade da profilaxia, caracterizando incidente com potencial de dano.</t>
  </si>
  <si>
    <t>PRONTO SOCORRO</t>
  </si>
  <si>
    <t>Reabordagem cirúrgica</t>
  </si>
  <si>
    <t>INC 1582 / 2026</t>
  </si>
  <si>
    <t>Gerência de Cuidados Clínicos e Intensivos / UTI - Unidade de Tratamento Intensivo Adulto</t>
  </si>
  <si>
    <t>Aline Santos Brabo</t>
  </si>
  <si>
    <t>Paciente R.P.D.S prontuário nº 282468 submetida a re abordagem cirúrgica no dia 29/12/2025
evoluiu com quadro de isquemia mesentérica após o primeiro procedimento foi dia 27/12/25.
Segundo procedimento foi 29/12/25</t>
  </si>
  <si>
    <t>cc</t>
  </si>
  <si>
    <t>NÃO REALIZAÇÃO DE TQT</t>
  </si>
  <si>
    <t>INC 1583 / 2026</t>
  </si>
  <si>
    <t>PACIENTE DA UTI FICOU OS DIAS 21 E 22 DE JANEIRO DE 2026 EM DIETA ZERO AGUARDADNO PARA REALIZAR TRAQUEOSTOMIA, PORÉM NÃO FOI REALIZADO.</t>
  </si>
  <si>
    <t>07</t>
  </si>
  <si>
    <t>LPP UTI</t>
  </si>
  <si>
    <t>INC 1584 / 2026</t>
  </si>
  <si>
    <t>PACIENTE EVOLUINDO COM LPP GRAU II NA REGIÃO SACRA 
NO 12º DIA DE INTERNAÇÃO</t>
  </si>
  <si>
    <t>EQUIPO SEM IDENTIFICAÇÃO.</t>
  </si>
  <si>
    <t>INC 1585 / 2026</t>
  </si>
  <si>
    <t>Notifico o Centro Cirúrgico quanto ao encaminhamento, ocorrido hoje, de paciente sem identificação adequada do equipo, situação que pode comprometer a segurança do paciente.</t>
  </si>
  <si>
    <t>LEITO 3 ORT</t>
  </si>
  <si>
    <t>Não Conformidade às Normas de Biossegurança no Centro Cirúrgico.</t>
  </si>
  <si>
    <t>INC 1586 / 2026</t>
  </si>
  <si>
    <t>Durante a visita realizada no centro cirúrgico, foi identificada não conformidade relacionada ao uso de taburete/banqueta de apoio inadequado para área crítica, utilizado como suporte para posicionamento dos médicos durante a realização de procedimentos cirúrgicos. O referido mobiliário não atende aos critérios de biossegurança estabelecidos para o setor, bem como aos requisitos de integridade, conservação e possibilidade de limpeza e desinfecção eficazes, configurando risco sanitário. Diante da situação observada, foi orientada a retirada imediata do mobiliário, em virtude do descumprimento das normas vigentes e do potencial risco de contaminação do ambiente cirúrgico ou substituição por equipamento padronizado e apropriado para uso em áreas críticas, confeccionado em material não poroso, resistente, de superfície lisa e íntegra, em conformidade com os protocolos institucionais e legislações sanitárias aplicáveis. No entanto, o supervisor do setor informou, no momento da visita, a impossibilidade de retirada imediata do referido mobiliário, em virtude da ausência de equipamento adequado para substituição, considerando sua necessidade para a continuidade das atividades assistenciais. Diante da não conformidade identificada e do risco sanitário associado, faz-se imprescindível a adoção de medidas corretivas em caráter prioritário, visando à regularização da situação e à correção da inconformidade no menor prazo possível.
A CCIH,  continuará monitoramento com o objetivo de mitigar riscos, assegurar a conformidade sanitária e prevenir a ocorrência de Infecções Relacionadas à Assistência à Saúde (IRAS).</t>
  </si>
  <si>
    <t>Sala de Parto Cesariano</t>
  </si>
  <si>
    <t>Equipo sem identificação</t>
  </si>
  <si>
    <t>INC 1587 / 2026</t>
  </si>
  <si>
    <t>Notifico novamente o Centro Cirúrgico quanto ao encaminhamento de paciente sem identificação adequada do equipo, em desacordo com as normas institucionais, podendo comprometer a segurança do paciente.</t>
  </si>
  <si>
    <t>LEITO 2 CG</t>
  </si>
  <si>
    <t>PRESCRIÇÃO DE DOIS PACIENTES NO PRONTUÁRIO.</t>
  </si>
  <si>
    <t>INC 1588 / 2026</t>
  </si>
  <si>
    <t>Notifico o Centro Cirúrgico por encaminhar, hoje, paciente com prescrição incorreta. Conforme a Meta 3, a prescrição dos pacientes oriundos do Centro Cirúrgico ou de outros setores é sempre verificada ao chegar à nossa Unidade de Internação Cirúrgica, a fim de evitar erros. Ressalto a importância do feedback à equipe do Centro Cirúrgico sobre a situação ocorrida. Recomenda-se que, sempre que houver despacho de paciente, a prescrição seja verificada no prontuário para evitar erros.</t>
  </si>
  <si>
    <t>Lesão de Pele e Risco de Infecção Hospitalar em Paciente da UTI.</t>
  </si>
  <si>
    <t>INC 1589 / 2026</t>
  </si>
  <si>
    <t>Durante visita ao setor da Unidade de Terapia Intensiva (UTI), foi observado paciente apresentando lesões cutâneas em epiderme nos membros superiores, especificamente na região das mãos. No momento da avaliação, constatou-se que uma das lesões encontrava-se coberta diretamente por esparadrapo, sem a utilização de material intermediário adequado (como gaze estéril ou cobertura apropriada), ocasionando contato direto do adesivo com a pele lesionada. Tal conduta pode resultar em agravamento da lesão cutânea, aumento do risco de traumatismo local, abafamento da ferida, retardo no processo de cicatrização e predisposição à infecção. A lesão apresentava tecido esbranquiçado (fibrina), compatível com tecido desvitalizado, além de presença de exsudato ceroso em quantidade significativa, sugerindo processo inflamatório local e possível início de infecção. Observou-se, ainda, que a pulseira de identificação do paciente encontrava-se posicionada sobre uma lesão localizada na região do punho, o que configura risco adicional, podendo contribuir para irritação mecânica contínua, comprometimento da integridade da pele e aumento do risco de contaminação e infecção da lesão.
Tal situação é considerada preocupante do ponto de vista da segurança do paciente, do controle de infecção hospitalar e da assistência adequada à integridade cutânea, sendo necessária intervenção imediata conforme protocolo  institucionais.</t>
  </si>
  <si>
    <t>PACIENTE ENCAMINHADO DA ENFERMARIA SEM O TCLE</t>
  </si>
  <si>
    <t>INC 1590 / 2026</t>
  </si>
  <si>
    <t>Notificamos que foi encaminhado paciente da clinica ortopédica,  para realização de procedimento cirúrgico sem a apresentação do Termo de Consentimento Livre e Esclarecido (TCLE), Ao verificar na sala de indução. o termo não se encontrava no prontuário. documento obrigatório para a execução do referido procedimento. Ressaltamos que a ausência do TCLE está em desacordo com as normas éticas e legais vigentes, impossibilitando a continuidade segura e regular do atendimento. Solicitamos especial atenção aos próximos encaminhamentos, a fim de evitar transtornos e atrasos no atendimento aos pacientes.</t>
  </si>
  <si>
    <t>CENTRO CIRURGICO NA SALA DE INDUÇÃO</t>
  </si>
  <si>
    <t xml:space="preserve">Não conformidades nas práticas de Segurança do paciente - Paciente sem pulseira risco de queda </t>
  </si>
  <si>
    <t>INC 1591 / 2026</t>
  </si>
  <si>
    <t>Paciente em atendimento no Pronto-Socorro UCP  identificado sem pulseira de risco de queda, apesar de apresentar critérios para tal sinalização. Constatou-se, ainda, que a identificação beira-leito encontrava-se incompleto.
Prontuario 338330 . Iniciais  PPS Leito 05
Prontuario 338272 . Iniciais  RLS Leito 06</t>
  </si>
  <si>
    <t>INFECÇÃO PRIMÁRIA DE CORRENTE SANGUINEA.</t>
  </si>
  <si>
    <t>INC 1592 / 2026</t>
  </si>
  <si>
    <t>05/12/2025 - Nascimento (HDA): Recém-nascido do sexo masculino, nascido às 17h40 por via cesariana, com líquido amniótico claro, apresentação cefálica, sem circular de cordão umbilical. Apgar 3/5. Realizado clampeamento imediato do cordão umbilical. Encaminhado para berço aquecido, envolto em manta térmica. Foram realizadas aspiração de vias aéreas superiores e ventilação com pressão positiva (VPP) com ambu e máscara, fluxo de 5 L/min. Posteriormente, iniciado CPAP com pressão de 5 cmH?O, FiO? de 30% e fluxo de 10 L/min. Realizado exame físico inicial e administrada vitamina K 0,1 mL por via intramuscular em vasto lateral da coxa esquerda. Até o momento, sem eliminação de mecônio e sem diurese. 08/12/2025: Realizada 2ª reintubação orotraqueal por falha de extubação. 13/12/2025 - Evolução Clínica: RN submetido a múltiplas tentativas de punção venosa periférica no setor de origem, sem sucesso, evoluindo com tendência à bradicardia, hipotensão, hipotermia, pele moteada e presença de hematomas volumosos em regiões axilares bilateralmente e em transições femorais bilaterais. Devido ao quadro de instabilidade hemodinâmica e dificuldade de sedação, optado por dissecção venosa. Realizadas tentativas de dissecção das veias axilares (direita e esquerda), femorais (direita e esquerda) e safenas (direita e esquerda), todas sem sucesso, em razão de hematomas volumosos e ausência de fluxo, principalmente em axilares e safenas bilateralmente. Na veia axilar esquerda houve cateterização, porém sem progressão do cateter após diversas tentativas. Tentadas dissecções das veias jugular externa e facial direita, sem sucesso, devido ao reduzido calibre vascular e à má repleção dos vasos, relacionada ao estado geral do paciente. Realizada flebotomia da veia jugular interna direita, com passagem de cateter monolúmen 3Fr, apresentando teste de fluxo e refluxo positivos. Ressaltada a necessidade de manipulação mínima do cateter, considerando tratar-se de paciente com acesso venoso extremamente difícil e baixa possibilidade de novo acesso central. Exame laboratorial: leucócitos 25.340. 13/12/2025: Realizada 3ª reintubação orotraqueal por desconforto respiratório. 15/12/2025 - Evolução: Leucócitos: 24.890. Em uso de ampicilina e gentamicina; conforme prescrição médica, mantido em uso de amicacina e oxacilina. Mantém cateter venoso central pérvio e funcionante, sem sinais flogísticos. Paciente com previsão de alta em 21/12/2025, porém aguarda transferência para unidade de alta complexidade (UTI neonatal). Aporte nutricional em curso via BIC, com vazão de 6,3 mL/h. 27/12/2025: Realizada 4ª reintubação orotraqueal por desconforto respiratório. Paciente em grave estado geral, prematuro (IGC 34 semanas), 22º dia de internação, com diagnóstico de RNPT moderado - AIG, insuficiência respiratória, sepse neonatal (R), icterícia neonatal (R), choque séptico, HPIV grau I e leucomalácia grau I. Encontra-se em incubadora, letárgico, hipocorado, extremidades frias e pálidas, taquicárdico (172 bpm), normotenso (68/38/45), com hipotermia leve (36,1°C), intubado com TOT nº 4 fixado a 10 cm da comissura labial, FiO? 90%, FR 40, PEEP 6, em ventilação mecânica, em estado geral grave. Pendente transfusão de concentrado de hemácias devido à impossibilidade de obtenção de acesso venoso periférico. Bolsa de hemoderivado acondicionada em geladeira do setor. Realizado contato com a Agência Transfusional, sendo solicitado recolhimento da bolsa e dispensação somente após punção de acesso venoso periférico. 28/12/2025: Mantém antibioticoterapia com piperacilina 4 g + tazobactam 500 mg (D3/7) e vancomicina 500 mg (D3/7). Mantém TOT, dieta zero. Realizada troca de TOT nº 4 por TOT nº 3,5. Recebeu 2 unidades de concentrado de hemácias. Realizada tentativa de novo acesso venoso central, sem sucesso. 29/12/2025: Hemocultura positiva para Klebsiella pneumoniae produtora de ESBL, com crescimento na primeira amostra.</t>
  </si>
  <si>
    <t>Pneumonia Associada a Ventilação Mecânica Invasiva.</t>
  </si>
  <si>
    <t>INC 1593 / 2026</t>
  </si>
  <si>
    <t>11/01/2026 Paciente diabético, com relato de interrupção do uso de Forxiga há aproximadamente 2 semanas, admitido em Pronto-Socorro com queixa de astenia, vômitos, perda ponderal, taquidispneia e desorientação, com início dos sintomas há cerca de 4 dias. Exames laboratoriais evidenciaram acidose metabólica grave, com pH 6,957; pCO? 6,9 mmHg; pO? 170,1 mmHg; Na? 129,2 mEq/L; K? 4,49 mEq/L; lactato 2,5 mmol/L; SatO? 98,4%; HCO?? 1,6 mEq/L; glicemia 322 mg/dL. Paciente em regular estado geral, taquidispneico em ar ambiente, hemodinamicamente estável, sem uso de drogas vasoativas. Solicitado leito de UTI para manejo intensivo. 14/01/2026 Paciente em cetoacidose diabética, em uso de insulina em bomba de infusão contínua e bicarbonato de sódio (11 mL/h), evoluindo com melhora metabólica progressiva. Mantém-se em ventilação mecânica invasiva (IOT). Sedação venosa suspensa; entretanto, paciente sem abertura ocular ou resposta neurológica adequada, apresentando episódios de agitação, necessitando controle rigoroso com medidas de contenção mecânica e química, conforme protocolo institucional. Iniciado suporte hemodinâmico com norepinefrina em baixa dose. Dieta enteral suspensa conforme protocolo de CAD. Diurese preservada, com função renal dentro da normalidade. Em uso de antibioticoterapia para pneumonia, com redução progressiva dos níveis de PCR, sugerindo boa resposta terapêutica. Mantido monitoramento clínico e laboratorial contínuo. 15/01/2026 Paciente apresentou episódios febris, com temperatura de 38,3°C às 18h e 38,7°C às 20h. Resultado de cultura de aspirado traqueal positivo para Staphylococcus aureus resistente à oxacilina (MRSA). Mantidas medidas de isolamento e ajuste terapêutico conforme avaliação clínica. 20/01/2026 Paciente em leito de UTI, submetido à extubação no período da manhã, sem intercorrências. Encontra-se em cateter nasal de oxigênio, confortável, sem sinais clínicos de desconforto respiratório ou hipervolemia. Hemodinamicamente estável, sem uso de drogas vasoativas. Afebril nas últimas 24 horas. Em uso de piperacilina/tazobactam associado à vancomicina. Evolui com anúria, apresentando balanço hídrico positivo de +1258 mL. Mantém-se sob vigilância clínica contínua em UTI.</t>
  </si>
  <si>
    <t>INC 1594 / 2026</t>
  </si>
  <si>
    <t>Notificamos que, hoje 27/01/26, paciente proveniente do Centro Cirúrgico, não foi identificado equipo, entrando em desacordo com os protocolos institucionais de segurança do paciente. Ressaltamos que a identificação correta de pacientes e dispositivos é medida essencial para a prevenção de eventos adversos e garantia da assistência segura. Solicitamos atenção e reforço das rotinas de conferência.</t>
  </si>
  <si>
    <t>LEITO 2 ORTOPEDIA</t>
  </si>
  <si>
    <t>PACIENTE SEM PULSEIRA DE IDENTIFICAÇÃO</t>
  </si>
  <si>
    <t>INC 1595 / 2026</t>
  </si>
  <si>
    <t>NO DIA 16/01/2026 POR VOLTA DAS 20H, PACIENTE A.E.C.O.P (PONTUARIO N° 336200) PROVENIENTE DO PAM, DEU ENTRADA NO CC PARA REALIZAR PROCEDIMENTO CIRURGICO DE URGÊNCIA SEM PULSEIRA DE IDENTIFICAÇÃO. PACIENTE REFERE QUE A PUSLEIRA FOI RETIRADA NO SETOR DE ORIGEM E ENTREGUE A ACOMPANHANTE. SOLICITADO NOVA PULSEIRA A REGULAÇÃO E INSERIDA EM MSD DA PACIENTE CONFORME NORMA DA INSTITUIÇÃO. NOTIFICO PARA MELHORIA DO PROCESSO.</t>
  </si>
  <si>
    <t>0000000</t>
  </si>
  <si>
    <t>Erro de dispensação, medicação errada.</t>
  </si>
  <si>
    <t>INC 1596 / 2026</t>
  </si>
  <si>
    <t xml:space="preserve">Diretoria Técnica / Gerência de Enfermagem </t>
  </si>
  <si>
    <t>Brenda Viana de Oliveira</t>
  </si>
  <si>
    <t>18/01/2026</t>
  </si>
  <si>
    <t>DURANTANTE CONFERÊNCIA DE MEDICAÇÃO PARA ADMINISTRAÇÃO NO PACIENTE, FOI IDENTIFICADO O ERRO DE ROTULAGEM. O FRASCO SERIA PARA ADMINISTRAÇÃO DE SIMETICONA DO PACIENTE CONFORME A PRESCRIÇÃO E O MESMO NÃO TEM PRESCRITO CLONAZEPAM. NO FRASCO CONTIA SIMETICONA PORÉM O RÓTULO EXTERNO APRESENTAVA A IDENTIFICAÇÃO DE OUTRO MEDICAMENTO (CLONAZEPAM).  TRATA-SE DE DESVIO DE QUALIDADE, COM POTENCIAL RISCO À SEGURANÇA DO PACIENTE. O PRODUTO FOI IMEDIATAMENTO SEGREGADO, NÃO SENDO ADMINISTRADO AO PACIENTE.</t>
  </si>
  <si>
    <t>Gerência de Cuidado Materno Infantil</t>
  </si>
  <si>
    <t>0000</t>
  </si>
  <si>
    <t>Falta de informações e prontuario.</t>
  </si>
  <si>
    <t>INC 1597 / 2026</t>
  </si>
  <si>
    <t>Fernanda Khetlyn da Silva Sousa</t>
  </si>
  <si>
    <t>Tec de Enf. do CC Fernanda Laysa, recebe paciente D. P. O. mas a tec que acompanhava a paciente não sabia do caso e não trouxe nenhum prontuário da mesma. Paciente precaução de contato e tec também não soube dizer o motivo.</t>
  </si>
  <si>
    <t>Soro sem identificação</t>
  </si>
  <si>
    <t>INC 1598 / 2026</t>
  </si>
  <si>
    <t>Paciente encaminhado sem a devida identificação da medicação, em desacordo com os protocolos institucionais de segurança do paciente. Tal ocorrência representa risco assistencial, podendo comprometer a rastreabilidade, a administração segura de medicamentos e a qualidade do cuidado prestado. 
Solicita-se orientação e reforço junto à equipe quanto à obrigatoriedade da identificação correta de todas as medicações antes do encaminhamento do paciente, a fim de prevenir recorrências.</t>
  </si>
  <si>
    <t>LEITO 02 ORTOPEDIA</t>
  </si>
  <si>
    <t>HIGIENIZAÇÃO DAS MÃOS PREJUDICADA</t>
  </si>
  <si>
    <t>INC 1599 / 2026</t>
  </si>
  <si>
    <t>Durante visita de rotina à Unidade de Decisão Clínica (UDC), foi observado o posicionamento inadequada de lixeiras em frente à pia destinada à higienização das mãos. Tal situação dificulta a correta execução da prática de higienização das mãos pelos profissionais, configurando inconformidade com as boas práticas assistenciais e contribuindo para o aumento do risco de infecção relacionada à assistência à saúde. A situação foi registrada para fins de correção e melhoria do processo.</t>
  </si>
  <si>
    <t>IDENTIFICAÇÃO DE MEDICAÇÃO COM O NOME ERRADO DO PACIENTE</t>
  </si>
  <si>
    <t>INC 1600 / 2026</t>
  </si>
  <si>
    <t>Notifico o Centro Cirúrgico pela identificação de medicação rotulada com o nome incorreto do paciente, em desacordo com os protocolos institucionais de segurança do paciente. Tal ocorrência representa risco assistencial grave, podendo comprometer a administração segura de medicamentos, a rastreabilidade e a qualidade do cuidado prestado ao paciente.
Solicita-se orientação e reforço junto à equipe quanto à obrigatoriedade da conferência correta da identificação do paciente em todas as medicações, antes do preparo, rotulagem e encaminhamento, a fim de prevenir recorrências.</t>
  </si>
  <si>
    <t>LEITO 14 ORTOPEDIA</t>
  </si>
  <si>
    <t xml:space="preserve">RESIDUO INFECTANTE JUNTO COM COMUM </t>
  </si>
  <si>
    <t>INC 1601 / 2026</t>
  </si>
  <si>
    <t>Durante visita de rotina à Unidade de Curta Permanência (UCP), foi identificada lixeira destinada a resíduos infectantes sem tampa, contendo resíduos comuns misturados aos resíduos infectantes. Tal situação caracteriza inconformidade no processo de segregação de resíduos, em desacordo com as normas de biossegurança e gerenciamento de resíduos de serviços de saúde, representando risco potencial à segurança dos profissionais, pacientes e ao meio ambiente. A não conformidade foi registrada para fins de correção imediata e melhoria do processo.</t>
  </si>
  <si>
    <t>CADEIRA DE COLETA NÃO CONFORME</t>
  </si>
  <si>
    <t>INC 1602 / 2026</t>
  </si>
  <si>
    <t>Durante visita de rotina à enfermaria de pediatria do Pronto Socorro, foi identificada cadeira utilizada para coleta de exames apresentando parte do apoio de braço recoberta com esparadrapo. Tal condição configura inconformidade, uma vez que o material impede a adequada limpeza e desinfecção da superfície, contrariando as normas de biossegurança e de controle de infecção. A situação representa risco potencial à segurança do paciente e dos profissionais, favorecendo a contaminação cruzada. A inconformidade foi registrada para correção e adequação do mobiliário conforme os padrões institucionais.</t>
  </si>
  <si>
    <t>Lata de leite sem identificação</t>
  </si>
  <si>
    <t>INC 1603 / 2026</t>
  </si>
  <si>
    <t>Recebo plantão diurno 19/01 com lata de leite sem identificação
toda lata ao ser aberta deve ser identificada com data e hora</t>
  </si>
  <si>
    <t>Divergência diagnóstica, solicitação inadequada de exame e erro em notificação compulsória - Leishmaniose</t>
  </si>
  <si>
    <t>INC 1604 / 2026</t>
  </si>
  <si>
    <t>Notifico formalmente o Pronto Socorro e Profissional medica  notificada: Dra. N.V.F - CRM/PA 20933 por erro identificado no atendimento realizado em 19/01/2026, envolvendo a paciente:
Paciente: M.J.N.G
Data de nascimento: 14/10/1950
Prontuário: 178795
Conforme registro em prontuário, a paciente apresentou lesões pruriginosas em membros inferiores (MMII) e membro superior direito (MMSD), sendo solicitada investigação para Leishmaniose Visceral, com respectiva abertura de notificação compulsória para essa forma da doença.
Após análise  do caso, observou-se que as características clínicas descritas são compatíveis com Leishmaniose Tegumentar Americana (LTA), e não com Leishmaniose Visceral. Para esse quadro clínico, o exame recomendado é o raspado da lesão, e não os exames específicos para a forma visceral da doença.
Adicionalmente, identificou-se que a ficha de notificação compulsória foi preenchida de forma incorreta, classificando o agravo como Leishmaniose Visceral, sendo este preenchimento realizado por auxiliar administrativo, profissional sem atribuição técnica e sem formação específica para avaliação clínica ou validação diagnóstica, o que contribuiu para a manutenção do erro.
Tal situação pode acarretar:
Inconsistência nos dados epidemiológicos;
Prejuízo à vigilância epidemiológica municipal;
Risco de atraso ou inadequação na condução diagnóstica e terapêutica;
Não conformidade com os fluxos e normativas do Ministério da Saúde.</t>
  </si>
  <si>
    <t xml:space="preserve">Banqueta inadequada impossibilitando higienização </t>
  </si>
  <si>
    <t>INC 1605 / 2026</t>
  </si>
  <si>
    <t>Durante visita à sala de sutura, foi identificada banqueta com o assento totalmente recoberto por esparadrapo e fita adesiva. Tal condição configura inconformidade, uma vez que o material utilizado impossibilita a adequada limpeza e desinfecção da superfície, contrariando as normas de biossegurança, controle de infecção e segurança do paciente. A situação representa risco potencial de contaminação cruzada entre pacientes e profissionais, especialmente em ambiente destinado à realização de procedimentos invasivos. A inconformidade foi registrada para providências imediatas.</t>
  </si>
  <si>
    <t>Não utilização  de EPI em paciente sob precaução para aerossóis</t>
  </si>
  <si>
    <t>INC 1606 / 2026</t>
  </si>
  <si>
    <t>Em passagem realizada hoje pelo setor de Pronto-Socorro, foi identificada uma técnica de enfermagem prestando cuidados assistenciais a uma paciente em precaução para aerossóis, em tratamento para tuberculose, sem o uso do Equipamento de Proteção Individual (EPI) adequado, especificamente máscara N95/PFF2, conforme preconizado pelos protocolos de biossegurança e controle de infecção.
Ressalta-se que o não uso do EPI indicado expõe o profissional, outros pacientes e a equipe assistencial ao risco de infecção, além de configurar não conformidade com as normas institucionais, diretrizes do Ministério da Saúde e recomendações do   Serviço de controle de  Infecção Hospitalar (SCIH).</t>
  </si>
  <si>
    <t>carteira do RN sem registros do exames realizados no setor</t>
  </si>
  <si>
    <t>INC 1607 / 2026</t>
  </si>
  <si>
    <t>boa tarde, mais uma vez, recebo plantão com RN de alta, sem registro do teste do coraçãozinho e peso de alta
RN recebeu alta no dia 20, a técnica não realizou o peso de alta, não registrou obviamente ...não registrou o teste do coraçãozinho
na alta da mãe no dia 21 percebemos a falha, durante a dupla checagem da alta.</t>
  </si>
  <si>
    <t>CADEIRA COM ASSENTO RASGADO</t>
  </si>
  <si>
    <t>INC 1608 / 2026</t>
  </si>
  <si>
    <t>Durante visita de rotina na Clínica Cirúrgica, foi identificada cadeira com o assento totalmente rasgado, sem condições adequadas de uso. A situação configura inconformidade, uma vez que o dano no revestimento impossibilita a correta higienização e desinfecção da superfície, contrariando as normas de biossegurança, controle de infecção e segurança do paciente. Tal condição representa risco potencial de contaminação, além de comprometer a segurança de pacientes, acompanhantes e profissionais. A inconformidade foi registrada para ciência e adoção de medidas corretivas.</t>
  </si>
  <si>
    <t>Não encaminhamento de amostras e ausência de documentação (Carga Viral e CD4)</t>
  </si>
  <si>
    <t>INC 1609 / 2026</t>
  </si>
  <si>
    <t>Em nome do setor responsável pelo acompanhamento epidemiológico, vimos por meio deste notificar uma não conformidade relacionada ao fluxo de exames laboratoriais do paciente R. L. D. S, Prontuário nº 336365.
Conforme registros, as amostras para Carga Viral e CD4 foram cadastradas em 13/01/2026, entretanto:
Não houve o encaminhamento das amostras ao CTA;
Não foram recebidos os formulários de solicitação de Carga Viral e CD4, tampouco a ficha de notificação compulsória,(motivo pelo qual nao foi enviada as amostras)
O setor solicitante não foi comunicado sobre a ausência da documentação necessária;
A pendência não foi registrada em passagem de plantão, impossibilitando a identificação e correção em tempo oportuno.
Em decorrência dessa falha de fluxo e comunicação, o CTA não liberou a medicação do paciente na data de hoje, gerando impacto direto na continuidade do tratamento e no cuidado assistencial.</t>
  </si>
  <si>
    <t>Impacto assistencial por falha no fluxo de exames (Carga Viral e CD4)</t>
  </si>
  <si>
    <t>INC 1610 / 2026</t>
  </si>
  <si>
    <t>Em nome do setor responsável pelo acompanhamento epidemiológico, vimos por meio deste comunicar e notificar ocorrência relacionada ao fluxo de solicitação e acompanhamento de exames do paciente R. L. D. S, Prontuário nº 336365.
Conforme apurado, as amostras para Carga Viral e CD4 foram cadastradas em 13/01/2026, entretanto, não houve o encaminhamento das amostras ao CTA, pois não foram recebidos os formulários de solicitação dos exames carga viral e TCD4 nem a ficha de notificação compulsória.
Destacamos ainda que:
Não houve solicitação posterior do laboratório quanto à ausência da documentação e das amostras;
A pendência não foi repassada em passagem de plantão, dificultando a identificação da falha e a adoção de medidas oportunas;
Em decorrência dessa situação, o CTA não liberou a medicação do paciente na data de hoje, ocasionando impacto direto na continuidade do tratamento.</t>
  </si>
  <si>
    <t>PACIENTE COM SNG NÃO IDENTIFICADA</t>
  </si>
  <si>
    <t>INC 1611 / 2026</t>
  </si>
  <si>
    <t>Almir Silva dos Santos</t>
  </si>
  <si>
    <t>NO DIA 21/01 RECEBO PLANTÃO DIURNO EM CLÍNICA ORTOPÉDICA DO PLANTÃO NOTURNO COM PACIENTE A.C, LEITO 13 ORTO, ATENDIMENTO Nº 215801, EM USO DE SNG QUE HAVIA SIDO REALIZADO NA CLÍNICA PELO ENFERMEIRO DO PLANTÃO NOTURNO, PORÉM A MESMA SE ENCONTRAVA SEM IDENTIFICAÇÃO.
[fig:vfs:1425]</t>
  </si>
  <si>
    <t>13</t>
  </si>
  <si>
    <t>Liberação de Dieta no PS por profissional não habilitado</t>
  </si>
  <si>
    <t>INC 1612 / 2026</t>
  </si>
  <si>
    <t>Coordenação de Internação / Coordenação de Internação</t>
  </si>
  <si>
    <t>Prezados,
Venho por meio deste registrar Relato de Não Conformidade referente ao processo de liberação de dieta no Pronto Atendimento.
Foi identificado que a liberação de dieta vem sendo realizada e assinada por fluxista, conforme documentação anexa, profissional que não possui formação técnica, competência legal ou atribuição institucional para avaliação das necessidades nutricionais e liberação de dieta ao paciente.
Ressalta-se que o protocolo institucional vigente estabelece de forma clara que:
A liberação de dieta deve ser realizada pela nutricionista, em horário comercial;
Em períodos noturnos, finais de semana e feriados, excepcionalmente, a liberação pode ser realizada por enfermeiros, exclusivamente devido à ausência da nutricionista nesses horários, mediante utilização de impresso próprio.
O descumprimento do referido protocolo configura não conformidade assistencial, além de colocar o paciente em risco, uma vez que a decisão está sendo tomada sem avaliação por profissional devidamente habilitado, em desacordo com as normas internas e os princípios de segurança do paciente.
Solicita-se avaliação da situação, orientação às equipes envolvidas e adoção das medidas cabíveis para adequação imediata ao protocolo institucional, prevenindo reincidências.</t>
  </si>
  <si>
    <t>Falha de registro em prontuário</t>
  </si>
  <si>
    <t>INC 1613 / 2026</t>
  </si>
  <si>
    <t>24/01/2026</t>
  </si>
  <si>
    <t>Durante auditoria/análise de prontuário, foi identificada evolução médica e prescrição incompatíveis com o diagnóstico e com a condição clínica da paciente, caracterizando registro em paciente incorreto.
Consta no prontuário evolução médica do profissional:  ELSON VALADARES DE CASTRO FILHO - CRM - PA: 4991
 de pós-operatório de cesariana, bem como prescrição correspondente a esse quadro, entretanto, o diagnóstico e o histórico clínico da paciente eram outros, não havendo registro de procedimento cirúrgico obstétrico (cesariana) relacionado a esta paciente.
Após verificação, constatou-se que o profissional médico realizou evolução e prescrição em prontuário de paciente distinto daquele efetivamente assistido, configurando erro de identificação do paciente e falha grave no registro assistencial.
Riscos identificados:
Comprometimento da segurança do paciente
Risco de administração de conduta e medicações inadequadas
Inconsistência documental e legal no prontuário
Impacto na continuidade e qualidade da assistência</t>
  </si>
  <si>
    <t>02/02/2026</t>
  </si>
  <si>
    <t xml:space="preserve">Curativo incorreto de filme transparente </t>
  </si>
  <si>
    <t>INC 1614 / 2026</t>
  </si>
  <si>
    <t>Durante visita de rotina, foi identificado paciente em uso de cateter venoso periférico (CVP) com curativo de filme transparente aplicado de forma inadequada. Tal inconformidade dificulta a adequada visualização do óstio de inserção, comprometendo a avaliação diária de sinais flogísticos e a detecção precoce de possíveis complicações, como infecção ou extravasamento. Notifico para melhoria do processo.</t>
  </si>
  <si>
    <t>18</t>
  </si>
  <si>
    <t>CATETER NASAL EXPOSTO</t>
  </si>
  <si>
    <t>INC 1615 / 2026</t>
  </si>
  <si>
    <t>Durante visita de rotina, foi visualizado paciente em uso de cateter nasal de oxigênio sem o devido armazenamento e acondicionamento adequados quando fora de uso. Tal inconformidade compromete a segurança do paciente, uma vez que o dispositivo permanece exposto, favorecendo o contato com superfícies potencialmente contaminadas e aumentando o risco de colonização e infecção. Ressalta-se que o cateter nasal deve ser mantido protegido e armazenado conforme protocolo institucional, a fim de preservar sua integridade e reduzir riscos associados à assistência. A situação foi sinalizada à equipe assistencial, com orientações para correção imediata e reforço das boas práticas de controle de infecção, visando à melhoria do processo e à segurança do paciente.</t>
  </si>
  <si>
    <t>21</t>
  </si>
  <si>
    <t xml:space="preserve">CADEIRAS DE BANHO INAPROPRIADAS </t>
  </si>
  <si>
    <t>INC 1616 / 2026</t>
  </si>
  <si>
    <t>Durante verificação de rotina, foram identificadas cadeiras de banho contendo esparadrapo em sua estrutura, configurando inconformidade aos padrões de biossegurança e controle de infecção. Tal condição dificulta a adequada higienização e desinfecção do equipamento, favorecendo a retenção de sujidade e microrganismos, o que representa risco potencial de contaminação e infecção para os pacientes, especialmente aqueles em condição de maior vulnerabilidade. Notifico para melhoria do processo.</t>
  </si>
  <si>
    <t>PROFISSIONAIS SEM EPI</t>
  </si>
  <si>
    <t>INC 1617 / 2026</t>
  </si>
  <si>
    <t>Durante visita de rotina na Clínica Cirúrgica, foram identificados profissionais realizando procedimento de curativo sem a utilização do capote (EPIs). Tal prática configura inconformidade grave, uma vez que aumenta o risco de contaminação do sítio do curativo, exposição ocupacional do profissional e possibilidade de infecção relacionada à assistência à saúde (IRAS). Notifico para melhoria do processo.</t>
  </si>
  <si>
    <t xml:space="preserve">PROFISSIONAIS SEM EPI </t>
  </si>
  <si>
    <t>INC 1618 / 2026</t>
  </si>
  <si>
    <t>DURANTE VISITA DE ROTINA NA CLÍNICA CIRÚRGICA, FORAM IDENTIFICADOS PROFISSIONAIS REALIZANDO PROCEDIMENTO DE CURATIVO SEM A UTILIZAÇÃO DO CAPOTE (EPIS). TAL PRÁTICA CONFIGURA INCONFORMIDADE GRAVE, UMA VEZ QUE AUMENTA O RISCO DE CONTAMINAÇÃO DO SÍTIO DO CURATIVO, EXPOSIÇÃO OCUPACIONAL DO PROFISSIONAL E POSSIBILIDADE DE INFECÇÃO RELACIONADA À ASSISTÊNCIA À SAÚDE (IRAS). NOTIFICO PARA MELHORIA DO PROCESSO.</t>
  </si>
  <si>
    <t>PROFISSIONAL SEM USO DO EPI</t>
  </si>
  <si>
    <t>INC 1619 / 2026</t>
  </si>
  <si>
    <t>Durante visita de rotina na Clínica Médica, foi visualizada técnica de enfermagem realizando procedimento de curativo em paciente sob precaução de contato, sem a devida paramentação, especificamente sem o uso de capote/EPI obrigatório. Tal inconformidade configura falha grave no cumprimento das medidas de precaução, aumentando o risco de contaminação cruzada, exposição ocupacional do profissional e disseminação de microrganismos multirresistentes no ambiente assistencial. Notifico para melhoria do processo.</t>
  </si>
  <si>
    <t xml:space="preserve">FALHA NA TÉCNICA DE CURATIVO DE ACESSO VENOSO PERIFÉRICO </t>
  </si>
  <si>
    <t>INC 1620 / 2026</t>
  </si>
  <si>
    <t>Durante visita de rotina, foi identificado paciente em uso de acesso venoso periférico com o óstio de inserção exposto, apresentando lesão cutânea no local da punção. O curativo encontrava-se realizado de forma inadequada, ocasionando ferimento na pele adjacente ao sítio de inserção. No momento da abordagem, a paciente referia dor local. Tal inconformidade compromete a integridade da pele, dificulta a avaliação do sítio de inserção e aumenta o risco de infecção relacionada ao acesso venoso periférico. Notifico para melhoria do processo.</t>
  </si>
  <si>
    <t>INICIO DE LPP</t>
  </si>
  <si>
    <t>INC 1621 / 2026</t>
  </si>
  <si>
    <t>28/01/2026</t>
  </si>
  <si>
    <t>__FOI OBSERVADO, INICIO DE LPP, EM REGIÃO SACRAL. PELE APRSENTANDO ERITEMA LOCALIZADO, FEITO TESTE DE BRANQUEAMENTO, AQUECIDA E COM SENSIBILIDADE AO TOQUE. ORIENTO MUDANÇA DE DECUBITO FREQUENTE E HIDRATAÇÃO DA PELE.__</t>
  </si>
  <si>
    <t>LEITO 28</t>
  </si>
  <si>
    <t>IRAS JANEIRO 2026</t>
  </si>
  <si>
    <t>INC 1622 / 2026</t>
  </si>
  <si>
    <t>23/12/2025 GESTANTE 24 ANOS, IG 1 USG // HOJE COM 40 SEM + 1 DIA. COMPARECE A UNIDADE PARA CESARIA ELETIVA. NEGA SANGRAMNETO OU PERDA DE LIQUIDO. BOA MOVIMENTAÇÃO FETAL. AO EXAME: PA 129 X 80 / - AU 39 / - MF + / - DU AUSENTE / - BCF 142. TOQUE: EVITADO. ÁS 10:53 PACIENTE G2PC1A0, COM CESAREA PRÉVIA, SUBMETIDA À CESAREANA SEGMENTAR ARCIFORME + LAQUEADURA TUBÁRIA BILATERAL À POMEROY. PÓS-OPERATÓRIO IMEDIATO SEM INTERCORRÊNCIAS, CD: VPM. OBS.: PACIENTE COM SGTO PERSISTENTE, COLOCADO DRENO DE PENROSE SUBAPONEURÓTICO. ATB (D1/2) CEFALOTINA. 24/12 QUEIXA PRINCIPAL: VEIO PARA CESARIA ELETIVA. CESARIANA EM 23/12 COM RELATO DE SANGRAMENTO PERSISTENTE, SENDO DEIXADO DRENO DE PENROSE SUBAPONEUROTICO. DRENO COM MININA SECREÇÃO SEROHEMATICA. RETIRADO DRENO. ÚTERO NORMOCONTRAÍDO, FO BOM ASPECTO. 25/12 PACIENTE SEM QUEIXAS, ALIMENTA, AMAMENTA E DEAMBULA, DIURESE ESPONTÂNEA, ELIMINA GASES. FO LIMPA E SECA, SEM DRENAGEM. ALTA COM ORIENTAÇÕES. ATB DE ALTA CEFALEXINA TOMAR 01 CP DE 6/6H, POR 7 DIAS. 04/01/26 PACIENTE VEM A UNIDADE QUEIXANDO DOR E INFLAMAÇÃO EM FO. NO MOMENTO DA AVALIAÇÃO PERCEBO INFECÇÃO DE FO, QUESTIONO SOBRE O USO DO ATB PRESCRITO, RELATOU USO INCORRETO DO MESMO. SEM FEBRE ASSOCIADA, NEGA OUTROS SINTOMAS. AO EXAME: FO COM RUBOR, CALOR E SAÍDA DE SECREÇÃO PURULENTA. CONDUTA: ORIENTAÇÕES SOBRE O USO CORRETO DO ATB / - PRESCREVO / - ALTA MÉDICA. ATB CLAVULIN 875 + 125 MG. TOMAR 01 CP DE 12/12H POR 7 DIAS. ISC INCISIONAL
SUPERFICIAL  (IS).</t>
  </si>
  <si>
    <t>29/01/2026</t>
  </si>
  <si>
    <t>INC 1623 / 2026</t>
  </si>
  <si>
    <t>03/01 GESTANTE 21 ANOS - G1 / IG DUM 38 + 5 DUM. NÚMERO DE CONSULTAS DO PRÉ-NATAL: 11. # QUEIXA PRINCIPAL: PACIENTE COM DOR EM BAIXO VENTRE COM IRRADIAÇÃO PARA LOMBAR. DESDE DIA 01/01/2026. EVOLUI PERDENDO TAMPÃP MUCOSO. NEGA SANGRAMNETO OU PERDA DE LIQUIDO. BOA MOVIMENTAÇÃO FETAL. # TOQUE: 1 - 2 CM, MEDIO, CEFALICO, -1 DELEE, DESCOLO MEMBRANAS DE LIQUIDO.  CONDUTA
- ORIENTAÇÕES GERAIS / CARDIOTOCOGRAFIA / REAVALIAR APÓS AS 14:00 . 04/ 01 HD: GESTAÇÃO 39+4 TP INICIAL? # CONDUTA: ORIENTAÇÕES GERAIS / REAVALIAR EM 3H / ORIENTO MOVIMENTAÇÃO/DEAMBULAÇÃO.  # CONDUTA / INTERNAÇÃO PARA ASSISTENCIA AO TP. # CONDUTA
- ORIENTAÇÕES GERAIS / AMNIOTOMIA AGORA / RELIZAR NOVO CARDIOTOCO APÓS 2 AMP DE GLICOSE /  ENCMAINHAR AO CPN SE CARDIOTOCO CONSERVADOR. BCF 200 CTB C/ TAQUICARDIA PERSISTENTE COLO 6 CM ALTO EDEMACIADO, CESARIANA POR TAQUICARDIA SFA. 12:35 PARTO CESARIANA PO TAQUICARDIA. RN VIVO FEMININO SEM INTERCORRENCIA.  DRº WILLIAM. 06/01  FO EM BOM ASPECTO, CD: ALTA MÉDICA. ATB CEFALEXINA. 09/01 PUÉRPERA REFERE SAIDA DE SECREÇÃO EM INCISÃO CIRÚRGICA, EXAME FÍSICO: HIPEREMIA LOCAL E SAÍDA DE SECREÇÃO SEROPURULENTA, AUSENCIA DE DEISCENCIA. CONDUTA: ALTA HOSPITALAR COM RECEITA. ATB:  CEFALEXINA. ISC INCISIONAL SUPERFICIAL  (IS).</t>
  </si>
  <si>
    <t>INC 1624 / 2026</t>
  </si>
  <si>
    <t>04/01/2026 GESTANTE 23 ANOS, IG USG HOJE COM 39 + 5 TRIAGEM, CONSULTAS 13,  REFERE CONTRAÇÕES UTERINAS COM AMNIORREXE ÀS 04:30. NEGA SANGRAMENTO. BOA MOVIMENTAÇÃO FETAL. BCF- 141 / PA 130 X 90. INTERNO PARA CONDUÇÃO AO PARTO VAGINAL. TOQUE: 4CM , 60% APAGADO , BOLSA ROTA, LAC. BCF 142 COLO 8 CM EDEMA MEDIO C/ PRESENÇA DE BOSSA
REAVALIAR C/ 1 H PÓS TRIO. 18:09 PARTO CESARIANA RN VIVO MASCULINO. 1 CIRCULAR DE CORDÃO. SEM INTERCORRENCIA
#MAIS INSERÇÃO DE DIU. DR. WILLIAM. 06/01 ALTA MELHORADA. ATB CEFALEXINA. 11/01 PUERPERA 7º DIA PÓS CESARIANA
REFERE SAÍDA DE SECREÇÃO SEROSA POR FERIDA OPERATÓRIA EM USO DE CEFALEXINA. AO EXAME FÍSICO FERIDA OPERATÓRIA COM SAÍDA DE SECREÇÃO MUCOPURULENTA, AUSENCIA DE DEISCENCIA. CD: CLAVULIN / ALTA APÓS CONSULTA. ISC INCISIONAL SUPERFICIAL  (IS)</t>
  </si>
  <si>
    <t>INC 1625 / 2026</t>
  </si>
  <si>
    <t>22/12 GESTANTE 40 ANOS G5 PN4, IG 39 S. FAZ USO DE METILDOPA 250 MG. PA 160 X 100. BCF: 129. REFERE PICO PRESSORICO E VEIO PARA REAVALIAÇÃO. NEGA PERDAS VAGINAL. INTERNAÇÃO PARA INDUÇÃO AO PARTO. SOLICITO ROTINA SHEG. EM TEMPO
SOU ACIONADO PARA REAVALIAR PACIENTE CONSIDERANDO BRADICARDIA EM SONAR DOPPLER AO PASSO DE RALIZAR CARDIOTOCOGRAFIA APRESENTA 2 DESACELERAÇÕES MARCADAS COM CARDIOTOCOGRAFIA COMPRIMIDA, MESMO
COM ESTIMULO MANUAL E DLE. NA OPORTUNIDADE INDICO CESARIA DE EMERGENCIA COM A SUSPENÇÃO DA INDUÇÃO AO PARTO POR EMNINENCIA DE ECLAPSIA. # NOTA OPERATÓRIA # PACIENTE SUBMETIDA A CESARIANA DEVIDO SOFRIMENTO FETAL E CARDIOTOGRAFIA CATEGORAIA 2. EXTRAÍDO RN ÚNICO, VIVO, CHOROU AO NASCER, CLAMPEADO CORDÃO UMBILICAL, (REALIZADO SALPINGECTOMIA BILATERAL) ENTREGUE AOS CUIDADOS DA NEONATOLOGIA. AO FINAL UTERO CONTRAIDO E LOQUIAÇÃO FISIOLOGICA. PROCEDIMENTO REALIZADO SEM INTERCORRÊNCIAS (DRA. CAMILA AMERICO). 29/12 AVALIADA A BEIRA LEITO E SEM QUEIXAS PUERPERAL. CURVA DE PA SEM PICOS, SEM USO DE ANTIHIPERTESIVOS PRESCRITO 2 BOLSAS DE HEMACIAS EM 25/12/2025. FERIDA OPERATÓRIA: SEM SINAIS FLOGÍSTICOS OU SAÍDA DE SECREÇÃO. ALTA MÉDICA. ATB CEFALEXINA. 11/01 PUERPERA REFERE QUE VEM APRESENTANDO FEBRE HÁ 3 DIAS, HOJE INICIOU DOR ABDOMINAL INTESA COM SAÍDA DE SECREÇÃO SEROSANGUINOLENTA DA FO. AO EXAME FÍSICO ABDOME TENSO, DOR A PALPAÇÃO DIFUSA. FO ENDURECIDA , COM RUBOR E CALOR LOCAL, SAÍDA DE SECREÇÃO SEROSANGUINOLENTA. TEMP 38,80 °C. ATB CLINDA + GENTAMICINA. 12/01 REFERE MELHORA DA DOR ABDOMINAL, NEGA FEBRE DESDE A ENTRADA. MANTÉM SAÍDA DE SECREÇÃO SEROSANGUINOLENTA DA FO. ABDOME TENSO, DOR A PALPAÇÃO PRINCIPALEMNTE NOS ENTORNOS DA FO. FO ENDURECIDA , COM RUBOR E CALOR LOCAL, SAÍDA DE SECREÇÃO SEROSANGUINOLENTA. US DE PAREDE ABDOMINAL 12/01: HEMATOMA DE PAREDE ABDOMINAL. CD: DIETA ZERO PARA DRENAGEM DE HEMATOMA DE PAREDE EM CC. NOTA CIRÚRGICA DRENAGEM DE INFECÇÃO DE PAREDE MAIS HEMATOMA SUBAPONEURÓTICO. MUSCULAR INTEGRA. DEIXADO PLACA DE ALGINATO NA FO. TROCAR CURATIVO C/ 24 HORAS. COLHIDO MATERIAL PRA CULTURA (DR. WILLIAM FABIO). 13/01 ENF. COMISSÃO DE CURATIVO: PACIENTE APRESENTA FERIDA OPERATÓRIA COM DEISCÊNCIA TORAL DE SUTURA, OBSERVADA ABERTURA DOS BORDOS CIRÚRGICOS, COM PRESENÇA DE SECREÇÃO SEROPURULRNTA EM MODERADA QUANTIDADE E DISCRETO SANGRAMENTO ASSOCIADO. PELE PERILESIONAL SEM SINAIS INFLAMATÓRIOS, SOMENTE BORDAS COM  ENDURECIMENTO. MANTER O MONITORAMENTO DO ASPECTO DA FERIDA, VOLUME E CARACTERISTICAS DA SECREÇÃO, SINAIS SISTÊMICOS DE INFECÇÃO E DOR - REGISTRAR EM EVOLUÇÃO. CUTURA POSITIVA STAPHYLOCOCCUS AUREUS - RESSITENTE A OXACILINA, INSTITUIDA PRECAUÇÃO DE CONTATO. PACIENTE SEGUE INTERNADA. 18/01  HOJE REALIZOU RESSUTURA DE PAREDE PÓS DESCÊNCIA TOTAL. PÓS-OPERATÓRIO IMEDIATO SEM INTERCORRÊNCIAS,  INSTALADO DRENO DE PENROSE SUBAPONEURÓTICO. 21/01 TEVE SAIDA DE DISCRETO VOLUME DE SECREÇÃO SERO SANGUINEA PELO DRENO.  RETIRO DRENO. 22/01 FO EM BOM ASPECTO. ALTA COM ORIENTAÇÕES. ISC INCISIONAL PROFUNDA (IP).</t>
  </si>
  <si>
    <t>INC 1626 / 2026</t>
  </si>
  <si>
    <t>08/01 GESTANTE 19 ANOS. G1/ IG 39s1d. 9 CONSULTAS DE PRÉ-NATAL. EX-TABAGISTA (PAROU DE FUMAR EM JUNHO). ETILISTA SOCIAL EM USO DE ÁCIDO FÓLICO E SULFATO FERROSO. HPP DE ASMA. PACIENTE REFERE LOMBALGIA ASSOCIADA A DOR EM BAIXO VENTRE. REFERE DIMINUIÇÃO DA MOVIMENTAÇÃO FETAL. NEGA PERDA DE LÍQUIDO POR VIA VAGINAL. 11/01 PERDA DE LIQUIDO EM GRANDE QUANTIDADE AS 3H DA MANHA E CONTRAÇÕES. AO EXAME BCF---136.  TV-- COLO MEDIO, PERVIO 3 CM, CEF, BR??. CD: INTERNAR. PACIENTE NÃO ACEITA PARTO VAGINAL!!!!!! JA TEM PEDIDO DE CESAREANA PRA QUARTA FEIRA. ORIENTO RISCOS. NOTA OPERATOPRIA PACIENTE SUBEMTIDA A CESAREA A PEDIDO. PROCEDIMENTO REALIZADO SEM INTERCORRENCIAS. 13/01 FERIDA OPERATORIA LIMPA E SECA. ALTA MÉDICA. 19/01 PUERPERA, 8 DIAS DE PARTO CESARIA, COM RELATO DE INFLAMAÇÃO EM FO. RELATO DE FEBRE HA 1 DIA. FERIDA OPERATORIA COM SECRELÇAO SEROPURULENTA. ATB CEFTRIAXONA. SEM FEBRE. 23/01 FO LIMPA E SECA SEM SAIDA DE SECREÇÃO NO MOMENTO. ALTA MELHORADA. ISC INCISIONAL SUPERFICIAL  (IS).</t>
  </si>
  <si>
    <t>ÓBITO UCI - M. S. C 310400</t>
  </si>
  <si>
    <t>INC 1627 / 2026</t>
  </si>
  <si>
    <t>Lactente admitido no Pronto-Socorro em 14/01/2026 com história de vômitos e astenia, portador de hidrocefalia e derivação ventricular externa (DVE), identificada como obstruída na admissão. Apresentava também quadro clínico e exames laboratoriais compatíveis com sepse.
Durante permanência em leito de observação do PS, evoluiu com parada cardiorrespiratória, revertida após manobras de reanimação. Após cerca de 12 horas, foi transferido para a UCI Neonatal em estado grave, com ausência de resposta a estímulos, pupilas midriáticas e arreativas, ausência de esforço respiratório e hipotonia importante.
Avaliação neurológica indicou quadro compatível com morte encefálica. Como a instituição não possui protocolo formal para abertura de morte encefálica, foi realizada tomografia de crânio evidenciando ausência de atividade cerebral. Foi solicitada transferência para unidade de maior complexidade, porém o paciente permaneceu em tratamento conservador.
Em 17/01/2026, apresentou piora clínica, evoluindo para nova parada cardiorrespiratória, sem resposta às medidas instituídas. Exame confirmatório evidenciou ausência de atividade cardíaca, sendo constatado o óbito.
Evento classificado como incidente grave com dano - óbito potencialmente evitável, para análise de fatores assistenciais e estruturais envolvidos na linha de cuidado.</t>
  </si>
  <si>
    <t>Observação do PS</t>
  </si>
  <si>
    <t>ÓBITO UCI - N. P. P. S 3416</t>
  </si>
  <si>
    <t>INC 1628 / 2026</t>
  </si>
  <si>
    <t>Lactente deu entrada no PS no dia 24/01/2026, com história de aproximadamente 10 dias de sintomas, apresentando constipação, vômitos e tosse leve. Evoluiu com desconforto respiratório e um episódio de hematêmese no dia 17 ao vim no PS e ser medicado e liberado para casa. Também com relato de idas na UPA pelas mesmas queixas.
Em 24/01, apresentou piora clínica, com cianose central, sendo encaminhado para sala vermelha em uso de cateter nasal de oxigênio e após 03 horas foi encaminhado para UCI Neo. 
Na admissão ao setor, devido à gravidade do quadro respiratório, foi realizada intubação orotraqueal, administração de medicações de suporte e iniciada droga vasoativa, além de solicitada transferência para unidade de maior complexidade.
Paciente apresentava grande quantidade de secreção espessa em tubo orotraqueal e vias aéreas, além de volume significativo de secreção em sonda gástrica, com aspecto escuro (tipo borra) e leitoso. Abdome encontrava-se distendido e tenso, com instabilidade clínica.
No dia 26/01/2026, evoluiu com dois episódios de parada cardiorrespiratória (PCR), ambos revertidos após manobras de reanimação. Durante a assistência, houve necessidade de troca do tubo orotraqueal, sendo evidenciada na primeira troca a presença de rolha de secreção espessa, associada a dificuldade de ventilação mecânica.
Durante as intervenções e trocas de via aérea, o paciente apresentou novos episódios de PCR. Na terceira parada cardiorrespiratória, não houve retorno da circulação espontânea, apesar de 22 minutos de manobras de reanimação.
O óbito foi constatado às 08h31.
Evento notificado como incidente grave com dano ? óbito evitável, para análise dos fatores assistenciais relacionados à gravidade do quadro respiratório, acúmulo de secreções em via aérea, instabilidade hemodinâmica e necessidade de suporte avançado, com avaliação dos processos de manejo de via aérea e suporte intensivo.</t>
  </si>
  <si>
    <t>QUEDA  DE PACIENTE AO TENTAR SE LEVANTAR DE VASO SANITÁRIO</t>
  </si>
  <si>
    <t>INC 1629 / 2026</t>
  </si>
  <si>
    <t>HOJE 28/01/2026 AO RECEBER O PLANTÃO BEIRA LEITO PACIENTE G.M.G.S N°1548358, IDOSA, COM FRATURA DO MALÉOLO LATERAL ESQUERDO EM USO DE TALA BOTA RELATA QUE CAIU  POR VOLTA DAS 06:45H AO TENTAR SE LEVANTAR DO VASO PARA SE VESTIR ORIENTO PACIENTE, AVALIO PACIENTE, REALIZADO AFERIÇÃO DO SSVV, ACIONO MÉDICO INTERNISTA CONFORME PROTOCOLO HOSPITALAR, AVALIADA, ORIENTO SOBRE RISCO DE QUEDA, EXPLICO SOBRE A IMPONTÂNCIA DE LEVAR A PACIENTE DE CADEIRAS DE RODAS SEMPRE PEDIR AJUDA DA EQUIPE. PACIENTE APRESENTA-SE CALMA, CONSCIENTE, RELATOU A QUE CAIU SENTADA NO CHÃO E NÃO MACHUCOU A CABEÇA E NEM O MEMBRO FRATURADO, SINAIS VITAIS HEMONODICAMENTE ESTÁVEIS.</t>
  </si>
  <si>
    <t>NO BANHEIRO</t>
  </si>
  <si>
    <t>Evento Adverso Leve</t>
  </si>
  <si>
    <t>PACIENTE APRESENTANDO LESÓES POR FRICÇÃO GRAU II</t>
  </si>
  <si>
    <t>INC 1630 / 2026</t>
  </si>
  <si>
    <t>AVALIADO PACIENTE V.S.F, ATENDIMENTO N°1543809, APRESENTADO LESÕES POR FRICÇÃO EM REGIÃO DORSAL, ORIENTADO PELA COMISSÃO DE CURATIVO O USO DO OLÉO DE GIRASSOL EM FERIDA E ORIENTADO PACIENTE SOBRE A MUDANÇA DE DECUBITO.</t>
  </si>
  <si>
    <t>CLINICA ORTOPÉDICA</t>
  </si>
  <si>
    <t>Ausência de Abertura do Bundle de Inserção de Cateter Venoso Central.</t>
  </si>
  <si>
    <t>INC 1631 / 2026</t>
  </si>
  <si>
    <t>Durante visita técnica realizada no setor da UTI, foi identificado que o bundle de inserção referente à passagem de acesso venoso central em um paciente não foi aberto. Ressalta-se que, conforme o Protocolo Institucional vigente, a abertura do bundle de inserção de acesso venoso central é de responsabilidade do enfermeiro. A não abertura do bundle compromete o registro e o acompanhamento das boas práticas assistenciais, uma vez que esses instrumentos reúnem um conjunto de medidas baseadas em evidências científicas, fundamentais para a prevenção de infecções relacionadas à assistência à saúde, especialmente as infecções de corrente sanguínea associadas ao uso de cateter venoso central.
Dessa forma, reforça-se a importância do cumprimento rigoroso do protocolo institucional, garantindo a segurança do paciente, a padronização da assistência e a qualidade do cuidado prestado.</t>
  </si>
  <si>
    <t xml:space="preserve">Falha no diagnóstico resultando em alta insegura </t>
  </si>
  <si>
    <t>INC 1632 / 2026</t>
  </si>
  <si>
    <t xml:space="preserve">Gerência de Cuidados Clínicos e Intensivos / PS - Pronto Socorro </t>
  </si>
  <si>
    <t>Mardone Lima Da Silva</t>
  </si>
  <si>
    <t>Paciente  A. H. S. R. Atendimento 1537347, deu entrada no Pronto-Socorro, vítima de acidente motociclístico, sendo avaliado inicialmente pela médica plantonista. No primeiro atendimento, não foi solicitada avaliação pela especialidade de Ortopedia. Após a avaliação clínica inicial, o paciente recebeu alta e foi liberado para domicílio.
Posteriormente, o paciente retornou ao Pronto-Socorro referindo dor intensa e persistente. Na segunda admissão, foi realizada avaliação pelo médico ortopedista, que identificou tratar-se de caso com indicação cirúrgica, sendo então instituída a conduta especializada adequada.
O incidente evidencia possível falha na avaliação inicial e na solicitação oportuna de interconsulta com a especialidade de Ortopedia, resultando em atraso no diagnóstico definitivo e na instituição da conduta cirúrgica adequada.</t>
  </si>
  <si>
    <t>CONSULTORIO MÉDICO</t>
  </si>
  <si>
    <t>Paciente sem prescrição medica</t>
  </si>
  <si>
    <t>INC 1633 / 2026</t>
  </si>
  <si>
    <t>Notifico Centro cirúrgico por encaminhar paciente para a enfermaria sem a devida prescrição médica, em desacordo com os protocolos institucionais e normas de segurança do paciente.
Tal ocorrência representa risco assistencial, podendo comprometer a continuidade do cuidado, a administração segura de medicamentos e a adequada condução terapêutica durante a internação.
Solicita-se orientação e providências para que situações semelhantes não se repitam.</t>
  </si>
  <si>
    <t>leito 15 cg</t>
  </si>
  <si>
    <t>Desorganização em carro de emergência</t>
  </si>
  <si>
    <t>INC 1634 / 2026</t>
  </si>
  <si>
    <t>PERTENCES DE PROFISSIONAIS EM CIMA DO CARRO DE EMERGÊNCIA DA ESTABILIZAÇÃO</t>
  </si>
  <si>
    <t>Gerência de Enfermagem</t>
  </si>
  <si>
    <t>N/A</t>
  </si>
  <si>
    <t xml:space="preserve">Gel sem identificação </t>
  </si>
  <si>
    <t>INC 1635 / 2026</t>
  </si>
  <si>
    <t>GEL SEM TAMPA,  DATA DE ABERTURA E VALIDADE.</t>
  </si>
  <si>
    <t>Gel com data de validade vencida</t>
  </si>
  <si>
    <t>INC 1636 / 2026</t>
  </si>
  <si>
    <t>GEL PARA ULTRASSOM  COM DATA DE VALIDADE VENCIDA, APÓS ABERTURA.</t>
  </si>
  <si>
    <t>Testagem do carro de emergência não realizada</t>
  </si>
  <si>
    <t>INC 1637 / 2026</t>
  </si>
  <si>
    <t>FORMULÁRIO DE CONFERÊNCIA E TESTAGEM DO CARRO DE EMERGÊNCIA SEM CHECAGEM EM ALGUNS PLANTÕES.</t>
  </si>
  <si>
    <t>INC 1638 / 2026</t>
  </si>
  <si>
    <t>Auditoria Setorial / Visita Técnica</t>
  </si>
  <si>
    <t>INC 1639 / 2026</t>
  </si>
  <si>
    <t>LACRE VERMELHO EM CIMA DO CARRO DE EMERGÊNCIA E O CARRO ESTAVA  LACRADO.</t>
  </si>
  <si>
    <t>Gel sem identificação de validade</t>
  </si>
  <si>
    <t>INC 1640 / 2026</t>
  </si>
  <si>
    <t>GEL PARA ULTRASSOM  ABERTO, SEM DATA DE ABERTURA E VALIDADE E COM TAMPA QUE NÃO ERA ORIGINAL DO FRASCO.</t>
  </si>
  <si>
    <t xml:space="preserve">Ambú vencido </t>
  </si>
  <si>
    <t>INC 1641 / 2026</t>
  </si>
  <si>
    <t>AMBU COM DATA DE VALIDADE VENCIDA.</t>
  </si>
  <si>
    <t>Ambú sem data de validade</t>
  </si>
  <si>
    <t>INC 1642 / 2026</t>
  </si>
  <si>
    <t>AMBU SEM ETIQUETA E DATA DE VALIDADE</t>
  </si>
  <si>
    <t xml:space="preserve">Falha na cadeia medicamentosa </t>
  </si>
  <si>
    <t>INC 1643 / 2026</t>
  </si>
  <si>
    <t>Paciente M.A.M.S., prontuário nº 1544889, com registro de alergia à dipirona devidamente sinalizado em prontuário, recebeu prescrição médica contendo dipirona, configurando erro de prescrição.
A medicação foi dispensada pela farmácia, apesar da sinalização de alergia registrada no prontuário eletrônico, caracterizando falha no processo de dispensação.
Antes da administração, a equipe de enfermagem identificou a inconformidade durante a conferência da prescrição, realizando a barreira de segurança e impedindo a administração do medicamento ao paciente, evitando a ocorrência de dano.
O evento caracteriza quase dano, envolvendo falhas em mais de uma etapa do processo assistencial.</t>
  </si>
  <si>
    <t>SALA DE MEDICAÇÃO</t>
  </si>
  <si>
    <t>Quase Evento</t>
  </si>
  <si>
    <t>Erro de prescrição - Superdose</t>
  </si>
  <si>
    <t>INC 1644 / 2026</t>
  </si>
  <si>
    <t>Paciente R.M.L.M., prontuário nº 1544855, deu entrada na unidade e foi avaliada pelo médico assistencial, que realizou prescrição contendo dose elevada de medicação, incompatível com os parâmetros assistenciais recomendados.
A inconformidade foi identificada pela equipe de enfermagem durante a conferência da prescrição, sendo realizada a barreira de segurança. A situação foi comunicada a outro médico, que procedeu com a correção da dose prescrita.
O evento foi notificado para análise do processo e implementação de melhorias, visando o fortalecimento da segurança do paciente.</t>
  </si>
  <si>
    <t>PEDIATRIA/ PS</t>
  </si>
  <si>
    <t>Atraso na autorização de exame crítico com impacto assistencial</t>
  </si>
  <si>
    <t>INC 1645 / 2026</t>
  </si>
  <si>
    <t>Em 14/01/2026, a paciente M.A.S.A., prontuário nº 1533709, deu entrada na Sala Vermelha em quadro clínico crítico. Foi solicitado exame de imagem, tomografia computadorizada de tórax com contraste, considerado essencial para definição diagnóstica e conduta médica adequada. O pedido foi encaminhado ao setor SADT (VIA GRUPO DE WHATSAP) às 10:59h. Houve múltiplas tentativas de contato para autorização do exame às 11:12h, 15:57h e 16:59h, permanecendo sem resposta. Somente às 17:35h foi recebida devolutiva negativa, informando que o exame proposto não correspondia ao indicado pelo radiologista. O atraso prolongado na comunicação e na autorização do exame resultou na não realização do procedimento crítico, comprometendo o manejo clínico do paciente, que evoluiu a óbito às 20:59h. O evento evidencia falha no fluxo de comunicação e no atendimento de solicitações de exames críticos, impactando diretamente a segurança do paciente e a efetividade da assistência prestada. Recomenda-se revisão e padronização do fluxo de solicitações de exames críticos, estabelecimento de prazos máximos para devolutiva em situações urgentes, definição de protocolo de escalonamento, treinamento das equipes assistenciais e do setor SADT para comunicação efetiva e registro adequado de demandas críticas, além de monitoramento e auditoria periódica do cumprimento do fluxo estabelecido.</t>
  </si>
  <si>
    <t>SALA VERMELHA/ PS</t>
  </si>
  <si>
    <t>Evento Adverso Grave</t>
  </si>
  <si>
    <t>Falha na adesão a Precaução de Contato</t>
  </si>
  <si>
    <t>INC 1646 / 2026</t>
  </si>
  <si>
    <t>Ana Paula Silva dos Santos</t>
  </si>
  <si>
    <t>Durante visita ao setor de observação da Clínica Médica, foi identificado que a técnica de enfermagem prestava assistência ao paciente do leito 09, em precaução de contato devido a crescimento de Klebsiella pneumoniae resistente, sem a utilização dos Equipamentos de Proteção Individual (EPIs) preconizados para essa condição.
Tal conduta representa risco de transmissão cruzada de microrganismos multirresistentes para outros pacientes, profissionais de saúde e para o ambiente hospitalar, podendo contribuir para aumento da incidência de infecções relacionadas à assistência à saúde (IRAS). Ressalta-se a importância do cumprimento rigoroso das precauções de contato e do uso adequado dos EPIs, conforme protocolos institucionais, como medida essencial para a segurança do paciente, dos profissionais e para o controle da disseminação de microrganismos resistentes. Notifico tal conduta, para melhoria dos processos.</t>
  </si>
  <si>
    <t>VOBS 09</t>
  </si>
  <si>
    <t>LPP SACRAL</t>
  </si>
  <si>
    <t>INC 1647 / 2026</t>
  </si>
  <si>
    <t>LPP Estágio 1 - Eritema não branqueável/sem alteração de cor
Presença de área com eritema não branqueável em região sacral, pele íntegra, quente ao toque, paciente acamado, Braden = __.
Realizado alívio de pressão imediata, mudança de decúbito, proteção local com placa de espuma/silicone, hidratação da pele, orientação à equipe quanto à vigilância da área.
Área mantida íntegra, sem progressão da lesão, paciente confortável, pele monitorada continuamente.</t>
  </si>
  <si>
    <t>7</t>
  </si>
  <si>
    <t>Paciente com alergia sem identificação</t>
  </si>
  <si>
    <t>INC 1648 / 2026</t>
  </si>
  <si>
    <t>Vanuza Batista Barbosa</t>
  </si>
  <si>
    <t>No dia 27/01/2026 paciente R.L.A proveniente do pam  veio para o centro cirurgico para procediemtno de curetagem uterina sem pulseira de identificação de alergia. reforço que a identificação de alergia do paciente é crucial para garantir a assistência segura. 
Notifico para a melhoria do processo.</t>
  </si>
  <si>
    <t>CATETER NASAL SEM PROTEÇÃO</t>
  </si>
  <si>
    <t>INC 1649 / 2026</t>
  </si>
  <si>
    <t>30/01/2026</t>
  </si>
  <si>
    <t>Em visita de rotina, foi observado paciente idoso em uso de cateter nasal para oxigenoterapia. No momento da visita, o dispositivo encontrava-se fora de uso, sem a devida proteção e disposto diretamente sobre o leito, em condições inadequadas de armazenamento, o que aumenta o risco de contaminação. Notifico para melhoria do processo.</t>
  </si>
  <si>
    <t>Semi crítico</t>
  </si>
  <si>
    <t xml:space="preserve">DISPENSER DESABASTECIDO </t>
  </si>
  <si>
    <t>INC 1650 / 2026</t>
  </si>
  <si>
    <t>Durante visita de rotina à Clínica Médica, ao tentar realizar higienização das mãos com álcool gel, foi verificado que o dispenser disponível na parede encontrava-se sem refil, impossibilitando o uso do insumo no momento da necessidade. A indisponibilidade do produto compromete a adesão às práticas de higiene das mãos e aumenta o risco de falhas nas medidas de prevenção e controle de infecção. Notifico para melhoria do processo.</t>
  </si>
  <si>
    <t>SHL - Serviço de Higienização e Limpeza</t>
  </si>
  <si>
    <t>Falha no uso deEPI</t>
  </si>
  <si>
    <t>INC 1651 / 2026</t>
  </si>
  <si>
    <t>Durante visita de rotina, foi observada técnica de enfermagem realizando procedimento de curativo sem a utilização do Equipamento de Proteção Individual (EPI) indicado para a atividade, especificamente o capote. A conduta encontra-se em desacordo com os protocolos de biossegurança e com as medidas de prevenção e controle de infecções relacionadas à assistência à saúde. Notifico para melhoria do processo.</t>
  </si>
  <si>
    <t>OBITO POSSIVELMENTE EVITAVEL - SCS 321490</t>
  </si>
  <si>
    <t>INC 1652 / 2026</t>
  </si>
  <si>
    <t>Ana Caroline Mendes Costa</t>
  </si>
  <si>
    <t>OBITO OCORRIDO NO MES DE NOVEMBRO, CONSIDERADO EVITAVEL DEVIDO AO ATRASO NA ADMINISTRACAO DO ANTIMICROBIANO.</t>
  </si>
  <si>
    <t>OBITO POSSIVELMENTE EVITAVEL - ACDF 190698</t>
  </si>
  <si>
    <t>INC 1653 / 2026</t>
  </si>
  <si>
    <t>OBITO OCORRIDO NO MES DE DEZEMBRO
DIAGNOSTICO INICIAL: QUEDA DE MOTO
MOTIVO: DISSECÇÃO DE ARTERIA BASILAR E CHOQUE HIPOVOLEMICO HEMORRAGICO
DIAGNOSTICO DEFINITIVO: INCONCLUSIVO</t>
  </si>
  <si>
    <t>OBITO POSSIVELMENTE EVITAVEL - MESS 330435</t>
  </si>
  <si>
    <t>INC 1654 / 2026</t>
  </si>
  <si>
    <t>OBITO EM DECORRENCIA DO TEMPO DE ESPERA PARA CONSEGUIR O CAT EXTERNO</t>
  </si>
  <si>
    <t>OBITO POSSIVELMENTE EVITAVEL - CJS 221540</t>
  </si>
  <si>
    <t>INC 1655 / 2026</t>
  </si>
  <si>
    <t>PACIENTE COM VARIOS EPISODIOS DE MELENA VOLUMOSA, EVOLUINDO PARA CHOQUE HEMORRAGICO, SENDO CONSIDERADO EVITAVEL DEVIDO AUSENCIA DE EXAME TERAPEUTICO DE URGENCIA</t>
  </si>
  <si>
    <t>SV</t>
  </si>
  <si>
    <t>Falha no fluxo assistencial por não recebimento de paciente com leito regulado.</t>
  </si>
  <si>
    <t>INC 1656 / 2026</t>
  </si>
  <si>
    <t>No plantão noturno do dia 01/02/2026, foi realizada a regulação de leito para a paciente B.B.C.S., prontuário nº 155392, com destino à Unidade de Cuidados Psiquiátricos, tendo o leito sido liberado às 02h45. Após a confirmação da liberação, a equipe de enfermagem do Pronto Socorro realizou inúmeras tentativas de contato com o setor Psicossocial, com o objetivo de proceder ao encaminhamento da paciente conforme o fluxo assistencial institucional. No entanto, não houve retorno por parte do enfermeiro plantonista do referido setor durante todo o período noturno.
Somente às 06h30 da manhã houve contato do enfermeiro do setor Psicossocial, a qual informou que não receberia mais a paciente naquele momento, orientando que o encaminhamento fosse realizado apenas após a passagem de plantão. Ressalta-se que o leito já se encontrava devidamente regulado e liberado, não havendo justificativa técnica ou assistencial para a recusa ou postergação do recebimento da paciente.
Enquanto supervisor de enfermagem do Pronto Atendimento, registro que tal conduta configura falha no fluxo assistencial e na comunicação intersetorial, podendo acarretar prejuízos diretos à paciente, como atraso na continuidade do cuidado, permanência indevida no Pronto Socorro, risco de evasão e potencial agravamento do quadro clínico. Destaca-se que o paciente não deve ser prejudicado por questões operacionais, organizacionais ou relacionadas à passagem de plantão, sendo dever institucional assegurar a continuidade, segurança e integralidade da assistência prestada.</t>
  </si>
  <si>
    <t>UCP</t>
  </si>
  <si>
    <t>PRESCRIÇÃO ERRADA OCASIONA ERRO DE ADMINISTRAÇÃO</t>
  </si>
  <si>
    <t>INC 1657 / 2026</t>
  </si>
  <si>
    <t>PACIENTE COM PRESCRIÇÃO DE ATROPINA SOLUÇÃO OFTALMICA PARA USO VIA SUBLINGUAL 
MEDICAÇÃO FOI DISPENSADA PELA FARMÁCIA CONFORME PRESCRIÇÃO MÉDICA E FEITA PELA ENFERMAGEM NA VIA SUBLIBNGUAL</t>
  </si>
  <si>
    <t>RISCO IMINENTE DE MORTE DE PACIENTE VINDA DO PS</t>
  </si>
  <si>
    <t>INC 1658 / 2026</t>
  </si>
  <si>
    <t>03/02/2026</t>
  </si>
  <si>
    <t>Paciente admitida inicialmente no Pronto-Socorro com quadro de desconforto respiratório associado a crise asmática. Foi solicitada avaliação da médica da Unidade de Cuidados Intensivos (UCI), que ao examinar a paciente identificou ausência de exames complementares, incluindo exames laboratoriais e radiografia de tórax, o que limitava a adequada avaliação da gravidade clínica e definição de conduta precoce.
Durante a permanência no PS, foram instituídas medidas de suporte, incluindo administração de medicações para broncoespasmo e tentativa de estabilização clínica, além de suporte ventilatório não invasivo (VNI). Apesar das intervenções realizadas, a paciente manteve piora progressiva do padrão respiratório, evoluindo com sinais de insuficiência respiratória aguda e importante esforço respiratório.
Diante da gravidade, foi realizado resgate pela equipe da UCI Neonatal, sendo a paciente transferida em estado crítico, com risco iminente de morte. À admissão na unidade, apresentava franco esforço respiratório, sendo necessária aspiração imediata de vias aéreas, com retirada de grande quantidade de secreção espessa.
Devido à falha do suporte não invasivo e à gravidade do quadro, foi indicada sedação e intubação orotraqueal de urgência, procedimento realizado sem intercorrências imediatas, com estabilização inicial após ventilação mecânica invasiva.
Paciente permanece em estado grave, sendo indicada transferência para UTI Pediátrica, considerando a piora clínica progressiva e a necessidade de suporte intensivo contínuo.
Ressalta-se que a ausência de investigação diagnóstica inicial e atraso na definição de condutas no Pronto-Socorro configuram fatores que podem ter contribuído para a evolução desfavorável do quadro respiratório, caracterizando incidente assistencial grave com risco de morte, devendo o caso ser analisado para fins de avaliação de processo de trabalho e segurança do paciente.</t>
  </si>
  <si>
    <t>Demora na Regulação PARA A SALAT DE ALTA Comprometendo Liberação de Leito</t>
  </si>
  <si>
    <t>INC 1659 / 2026</t>
  </si>
  <si>
    <t>Gerência de Cuidados Cirúrgicos / Gerência de Cuidados Cirúrgicos</t>
  </si>
  <si>
    <t>Sarah Fernandes de Oliveira Amaral</t>
  </si>
  <si>
    <t>foi identificado atraso significativo na aceitação de pacientes destinados à sala de alta. Essa pendência está comprometendo diretamente a liberação de leitos hospitalares, ocasionando impacto negativo na gestão da capacidade assistencial e na organização do fluxo de internações.
Diante da relevância da situação, solicitamos atenção na análise e liberação dos casos pendentes. A agilidade nesse processo é fundamental para assegurar a continuidade do cuidado aos pacientes, otimizar a utilização dos recursos disponíveis e evitar sobrecarga nos demais setores da instituição.</t>
  </si>
  <si>
    <t>clinica cirurgica ortopedica, leiro 11</t>
  </si>
  <si>
    <t xml:space="preserve">CURATIVO INADEQUADO </t>
  </si>
  <si>
    <t>INC 1660 / 2026</t>
  </si>
  <si>
    <t>Durante visita de rotina na Observação, foi identificado paciente em uso de acesso venoso periférico cujo dispositivo apresentava identificação incompleta, constando apenas a data de inserção, sem o nome e/ou identificação do profissional responsável pela realização do procedimento. Notifico para fins de adequação às normas institucionais e rastreabilidade do cuidado.</t>
  </si>
  <si>
    <t>INC 1661 / 2026</t>
  </si>
  <si>
    <t>Durante visita de rotina na observação, foi identificado paciente em uso de cateter nasal, o qual se encontrava sem a devida proteção, permanecendo exposto sobre superfícies inadequadas quando fora de uso. Tal condição caracteriza armazenamento incorreto do dispositivo, em desacordo com as boas práticas assistenciais, aumentando o risco de contaminação e infecção ao paciente. Notifico para melhoria do processo.</t>
  </si>
  <si>
    <t>PERFURO CORTANTE</t>
  </si>
  <si>
    <t>INC 1662 / 2026</t>
  </si>
  <si>
    <t>Durante visita de rotina na clínica médica, foram identificadas agulhas soltas e desencapadas no carrinho de curativo, em desacordo com as normas de segurança e com o protocolo institucional para descarte adequado de materiais perfurocortantes. A situação observada representa risco ocupacional à equipe assistencial, bem como potencial risco biológico. Notifico para melhoria do processo.</t>
  </si>
  <si>
    <t>FALHA NO USO DE EPI</t>
  </si>
  <si>
    <t>INC 1663 / 2026</t>
  </si>
  <si>
    <t>Durante visita na clínica médica, foi observada técnica de enfermagem realizando banho no leito de paciente sem a utilização do Equipamento de Proteção Individual (EPI) adequado, especificamente o capote, em desacordo com as normas de biossegurança e com as legislações vigentes. A prática expõe o profissional e o paciente a riscos biológicos. Reforço o uso correto dos EPIs durante a realização de procedimentos assistenciais, visando à proteção individual, à segurança do paciente e à conformidade com as normas regulatórias. Notifico para melhoria do processo.</t>
  </si>
  <si>
    <t>MATERIAL SEM IDENTIFICAÇÃO</t>
  </si>
  <si>
    <t>INC 1664 / 2026</t>
  </si>
  <si>
    <t>Durante visita de rotina, foi verificado material médico-hospitalar provenientes do Centro de Material e Esterilização (CME) sem a devida identificação. Observou-se ausência de informações essenciais, como data de esterilização, prazo de validade, método utilizado e identificação do lote ou responsável, em desacordo com os protocolos institucionais e normas de segurança. A não conformidade compromete a rastreabilidade do material e a segurança do paciente. Notifico para melhoria do processo.</t>
  </si>
  <si>
    <t>MATERIAL CME</t>
  </si>
  <si>
    <t>INC 1665 / 2026</t>
  </si>
  <si>
    <t>Durante visita de rotina na clínica médica, foram identificados materiais médico-hospitalares provenientes do Centro de Material e Esterilização (CME) com data de validade vencida e/ou com registro de validade incorreto. Tal inconformidade encontra-se em desacordo com os protocolos institucionais e normas vigentes, comprometendo a segurança do paciente, a rastreabilidade do processo de esterilização e a qualidade da assistência prestada. Notifico para melhoria do processo.</t>
  </si>
  <si>
    <t xml:space="preserve">AVP INADEQUADO </t>
  </si>
  <si>
    <t>INC 1666 / 2026</t>
  </si>
  <si>
    <t>Durante visita de rotina na Clínica Cirúrgica, foi observado paciente em uso de acesso venoso periférico (AVP) com curativo de filme transparente aplicado de forma inadequada, não estando o óstio de inserção devidamente protegido. A condição identificada encontra-se em desacordo com as boas práticas assistenciais, aumentando o risco de contaminação, infiltração e infecção relacionada ao acesso vascular. Notifico para melhoria do processo.</t>
  </si>
  <si>
    <t>16</t>
  </si>
  <si>
    <t>Entrega de dieta errada</t>
  </si>
  <si>
    <t>INC 1667 / 2026</t>
  </si>
  <si>
    <t>Paciente da UTI no leito 09 recebeu dieta ( lanche da manhã) com identificação errada : com nome de paciente José Cavalcante.</t>
  </si>
  <si>
    <t>SND - Serviço de Nutrição e Dietética - Produção</t>
  </si>
  <si>
    <t>Dieta de paciente errado foi ofertada a paciente em dieta zero</t>
  </si>
  <si>
    <t>INC 1668 / 2026</t>
  </si>
  <si>
    <t>NO DIA 04/02/26 PACIENTE DA UTI RECEBEU DIETA PELA MANHÃ COM IDENTIFICAÇÃO DE OUTRO PACIENTE ( EDSON OLIVEIRA) 
SENDO QUE O PACIENTE QUE ESTÁ NO LEITO TRATA-SE DE OUTRO NOME 
ALÉM DISSO O PACIENTE ESTÁ COM PRESCRIÇÃO DE DIETA ZERO, E NÃO PODERIAM TER ENVIADO DIETA PRO MESMO.</t>
  </si>
  <si>
    <t>08</t>
  </si>
  <si>
    <t xml:space="preserve">Entrega de dieta errada </t>
  </si>
  <si>
    <t>INC 1669 / 2026</t>
  </si>
  <si>
    <t>No dia 04/02/26 paciente da uti leito 04, equipe de copeiras fez a entrega de dieta pastosa na parte da tarde, sendo que o paciente está intubado e com prescrição de dieta enteral. 
Nutricionista da uti atualizou o mapa pela manhã, já com esta informação e mesmo assim a tarde a dieta veio e precisou ser desprezada. Além do risco de erro na administração de dieta do paciente.</t>
  </si>
  <si>
    <t xml:space="preserve">Entrega e administração de dieta errada. </t>
  </si>
  <si>
    <t>INC 1670 / 2026</t>
  </si>
  <si>
    <t>No dia 04/02/26 paciente do leito 07 da uti recebeu vindo do snd dieta pastosa. 
No entanto foi atualizado mapa pela manhã , para dieta enteral via sonda conforme prescrição médica e da nutricionista.</t>
  </si>
  <si>
    <t>Investigação de Reação Transfusional</t>
  </si>
  <si>
    <t>INC 1671 / 2026</t>
  </si>
  <si>
    <t>Durante visita realizada no setor da UTI, foi observado que o paciente se encontrava em realização de transfusão sanguínea. Conforme relato da enfermeira plantonista, os sinais vitais foram aferidos previamente ao início da transfusão, encontrando-se o paciente hemodinamicamente estável, com temperatura axilar de 36,5 °C no momento da instalação do hemocomponente. No decorrer da transfusão, o paciente apresentou pico febril de 38,8 °C. Diante do achado, os sinais vitais foram novamente aferidos, sendo a alteração térmica prontamente identificada pela equipe de enfermagem. A transfusão foi imediatamente interrompida pela enfermeira plantonista e médico, conforme protocolo institucional de segurança transfusional. O paciente foi mantido sob monitorização contínua dos sinais vitais,  A Agência Transfusional foi sinalizada acerca do ocorrido, e a bolsa de hemocomponente foi devidamente encaminhada para análise e investigação, conforme fluxo de hemovigilância. 
Registra-se a presente notificação com o objetivo de assegurar a segurança do paciente e investigação pela Comissão Transfusional, afim de promover a rastreabilidade do evento e a adoção das medidas necessárias conforme normas e protocolos vigentes.</t>
  </si>
  <si>
    <t>Falta de identificação adequada nos kits de medicação destinados aos pacientes da UCI  Neo e Pediatria.</t>
  </si>
  <si>
    <t>INC 1672 / 2026</t>
  </si>
  <si>
    <t>05/02/2026</t>
  </si>
  <si>
    <t>Observado recentemente a falta de identificação adequada nos kits de medicação destinados aos pacientes da UCI  Neo e Pediatria.
Entretanto, a não conformidade persiste de forma recorrente. Temos recebido kits sem identificação com o nome do paciente, bem como ampolas e frascos de medicamentos ? especialmente aqueles provenientes de frascos multidose e posteriormente fracionados ? também sem qualquer tipo de identificação.
Ressaltamos que essa prática representa risco significativo para a segurança do paciente, podendo favorecer erros de medicação, trocas inadvertidas e falhas na rastreabilidade dos fármacos administrados.
Diante disso, solicitamos, com a maior brevidade possível, a adoção de medidas corretivas eficazes para garantir que:
- Todos os kits de medicação sejam identificados com o nome completo do paciente;
- Ampolas, seringas e frascos fracionados de medicamentos multidose contenham identificação clara e legível, conforme preconizam as normas de segurança do paciente;
- Haja reforço das rotinas de conferência antes do envio dos materiais às unidades assistenciais.
Contamos com a parceria da equipe da Farmácia para mitigar riscos e fortalecer as práticas seguras na assistência.
Segue em anexo as imagens com evidências.</t>
  </si>
  <si>
    <t>06/02/2026</t>
  </si>
  <si>
    <t>Paciente com sangramento ativo encaminhado para exame sem sutura</t>
  </si>
  <si>
    <t>INC 1673 / 2026</t>
  </si>
  <si>
    <t>Durante o atendimento para realização de exame no setor de Radiologia, foi identificado que o paciente não compareceu suturado e sem a devida limpeza do local, apresentando secreção ativa com presença de sangue, no momento do encaminhamento ao exame.
Riscos identificados ao paciente e ao serviço
A condição apresentada expõe o paciente e o serviço aos seguintes riscos:
Risco de infecção, devido à ausência de assepsia adequada e presença de secreção sanguinolenta;
Risco de agravamento do quadro clínico, pela manipulação do local sem condições adequadas;
Risco biológico para profissionais de saúde, contrariando normas de biossegurança;
Comprometimento da qualidade do exame, podendo interferir na correta execução e interpretação diagnóstica;
Risco à segurança do paciente, por não atendimento às condições mínimas para realização segura do procedimento.</t>
  </si>
  <si>
    <t>RAIO X DO HGP HORÁRIO NOTURNO</t>
  </si>
  <si>
    <t>ACESSO SEM IDENTIFICAÇÃO E CURATIVO INADEQUADO</t>
  </si>
  <si>
    <t>INC 1674 / 2026</t>
  </si>
  <si>
    <t>Durante verificação de rotina, foi identificado acesso venoso periférico sem identificação, bem como curativo realizado apenas com esparadrapo, sem utilização de Multvia ou outro dispositivo/insumo padronizado pela instituição.
Tal conduta não está em conformidade com os protocolos assistenciais vigentes, especialmente no que se refere à segurança do paciente, rastreabilidade do acesso, prevenção de infecção e padronização de curativos.</t>
  </si>
  <si>
    <t>19/02/2026</t>
  </si>
  <si>
    <t>LCCIR 03</t>
  </si>
  <si>
    <t>ACESSO SEM MULTVIA E TÉCNICA INCORRETA DE CURATIVO</t>
  </si>
  <si>
    <t>INC 1675 / 2026</t>
  </si>
  <si>
    <t>Durante verificação de rotina, foi identificado acesso venoso periférico instalado sem utilização de Multvia, bem como técnica incorreta na realização do curativo transparente, em desacordo com os protocolos assistenciais e padronização institucional.
A não utilização da Multvia, associada à técnica inadequada de curativo, compromete a segurança do paciente, aumenta o risco de contaminação, perda do acesso, infiltração e infecção, além de dificultar a correta visualização e manejo do dispositivo.</t>
  </si>
  <si>
    <t>LCCIR 04</t>
  </si>
  <si>
    <t>OBRAS E MANUTENÇÃO</t>
  </si>
  <si>
    <t>INC 1676 / 2026</t>
  </si>
  <si>
    <t>Durante visita, foi identificado material proveniente de obra disposto em frente à ala Psicossocial, sem que o Serviço de Controle de Infecção tenha sido previamente acionado para realização de inspeção e avaliação do local. A situação observada encontra-se em desacordo com os fluxos institucionais estabelecidos, considerando que tal conduta já havia sido alinhada anteriormente com a equipe envolvida, inclusive com realização de treinamento aos colaboradores quanto à obrigatoriedade de comunicação prévia ao SCIH em atividades de obra e manutenção. O não acionamento do SCIH compromete as medidas de prevenção e controle de infecção, impactando diretamente na segurança de pacientes, acompanhantes e colaboradores, diante do risco potencial de dispersão de poeira, partículas e microrganismos no ambiente assistencial. Notifico para melhoria do processo.</t>
  </si>
  <si>
    <t>Núcleo de Manutenção Geral</t>
  </si>
  <si>
    <t>LPP sacral CM</t>
  </si>
  <si>
    <t>INC 1677 / 2026</t>
  </si>
  <si>
    <t>LPP Não Classificável
Lesão por pressão não classificável em região sacral, devido à presença de tecido desvitalizado que impede visualização da profundidade real.
Realizado curativo conforme protocolo, mantido alívio de pressão, solicitado parecer da comissão de feridas para avaliação e possível desbridamento instrumental, contraindicada devido quadro do paciente. Oriento desbridamento químico.
Lesão protegida, sem complicações imediatas, aguardando reavaliação especializada.</t>
  </si>
  <si>
    <t>OMISSÃO DE DOSE ANFOTERICINA B LIPOSSOMAL PEDIATRIA</t>
  </si>
  <si>
    <t>INC 1678 / 2026</t>
  </si>
  <si>
    <t xml:space="preserve">Coordenação de Farmácia  / Farmácia </t>
  </si>
  <si>
    <t>Josinete da Silva e Silva</t>
  </si>
  <si>
    <t>PRESCRITO ANFOTERICINA B LIPOSSOMAL PARA TRATAMENTO DE 5 DIAS CONSECUTIVOS, INICIANDO NO DIA 30/01/2026, PACIENTE A.C.S.M (AT.1551363), CLÍNICA UCI NEONATAL, PORÉM NO D2/5 , PACIENTE FOI TRANSFERIDO PARA CLÍNICA PEDIÁTRICA.
O TRATAMENTO FOI CONTINUADO, ATÉ O D4/5 A DISPENSAÇÃO FOI REALIZADA CONFORME A PRESCRIÇÃO MÉDICA 1 FRASCO AMPOLA - 24H/24H, O D5/5 SERIA NO DIA 03/02/2026, PORÉM  NÃO HOUVE SOLICITAÇÃO DO MEDICAMENTO PELA UNIDADE DE INTERNAÇÃO.
NO DIA 04/01/2026, FOI ENTRADO EM CONTADO COM A SUPERVISÃO DO SETOR, PARA INFORMAÇÕES SOBRE A DOSE NÃO DISPENSADA, E  DIANTE DA SITUAÇÃO FOI AVERIGUADO QUE A PRESCRIÇÃO ESTAVA CHECADA E O SETOR CONFIRMOU TER ADMINISTRADO A DOSE EM COMPARTILHAMENTO DO RESTANTE DA DOSE DO D4/5. O QUE NÃO NOS GARANTE O USO DA DOSE, DEVIDO A DISPENSAÇÃO TER SIDO  REALIZADA TODOS OS DIAS, MESMO COM A  INFORMAÇÃO DE ESTABILIDADE DO PRODUTO E A FARMÁCIA NÃO TER CONHECIMENTO DA REUTILIZAÇÃO DA DOSE RESTANTE DO DIA  ANTERIOR.
ESTE MEDICAMENTO ESPECÍFICO É SOLICITADO PARA  SECRETÁRIA  DE SAÚDE DO PARÁ (SESPA) O QUANTITATIVO CERTO PARA O TRATAMENTO DO PACIENTE, E HÁ A NECESSIDADE DE EVIDENCIAR O USO DO QUANTITATIVO CONFORME O SOLICITADO.
SEGUE ABAIXO OS ANEXOS PARA ANÁLISE.</t>
  </si>
  <si>
    <t>LPC 17</t>
  </si>
  <si>
    <t xml:space="preserve">OMISSÃO DE DOSE E INTERRUPÇÃO DE TRATAMENTO </t>
  </si>
  <si>
    <t>INC 1679 / 2026</t>
  </si>
  <si>
    <t>PACIENTE P. J.G.P. (AT;1525639), LEITO: UTI 06, UNIDADE DE INTERNAÇÃO UTI ADULTO, INICIA TRATAMENTO COM O MEDICAMENTO (PRIMAQUINA 15 MG) NO DIA 12/01/2026, POR 21 DIAS, NÃO FEZ USO DAS DOSES DOS DIAS (D7/21 (19/01/26); D17/21 (29/01/26); D20/21 (01/02/26) E D21/21 (02/02/26); TOTALIZANDO EM 4 DIAS SEM TRATAMENTO COM A DOSE, ENTRATO EM CONTATO COM A EPIDEMIOLOGIA NO DIA 30/02/2026 PARA VERIFICAR SE HOUVE SUSPENSÃO, O QUE NÃO PROCEDIA E O MEDICAMENTO FOI PRESCRITO RETORNANDO A DOSE  D18/21, PORÉM NÃO FORAM REALIZADAS TODAS AS DOSES CONFORME SOLICITADO PELO INFECTOLOGISTA, O QUE COMPROMETE O TRATAMENTO DO PACIENTE.</t>
  </si>
  <si>
    <t>QUASE QUEDA</t>
  </si>
  <si>
    <t>INC 1680 / 2026</t>
  </si>
  <si>
    <t>Às 18h55 do dia 05/02/2026, paciente já havia sido orientada pela equipe de enfermagem a não se levantar do leito, por encontrar-se em pós-operatório imediato de colecistectomia. Paciente não acatou a orientação, levantando-se para ir ao banheiro. Durante o trajeto, apresentou episódio de síncope, evoluindo com hipotensão e êmese. A mesma encontrava-se acompanhada por familiar, que a amparou, evitando a queda ao chão.</t>
  </si>
  <si>
    <t>LEITO 1 CG</t>
  </si>
  <si>
    <t>SUSPEITA DE REAÇÃO TRANSFUSIONAL</t>
  </si>
  <si>
    <t>INC 1681 / 2026</t>
  </si>
  <si>
    <t>Paciente apresentou elevação dos níveis pressóricos após o início da hemotransfusão. Diante da alteração clínica, foi acionado o médico especialista (Bucomaxilofacial), que realizou avaliação e prescreveu medicação anti-hipertensiva.
Após a administração da medicação, observou-se normalização dos níveis pressóricos. Com o paciente estável e assintomático, a hemotransfusão foi mantida, apedido médico seguindo com a bolsa de sangue até sua finalização, sem novas intercorrências.
Paciente permaneceu sob monitorização contínua, sem registro de outros sinais ou sintomas relacionados ao procedimento.
Evento registrado para fins de hemovigilância, rastreabilidade e análise conforme protocolo institucional.</t>
  </si>
  <si>
    <t>cir2</t>
  </si>
  <si>
    <t xml:space="preserve">Reação transfusional </t>
  </si>
  <si>
    <t>INC 1682 / 2026</t>
  </si>
  <si>
    <t>Paciente submetido a hemotransfusão de 01 unidade de concentrado de hemácias no dia 03/02/2026, no entanto no decorrer do recebimento do CH, paciente apresentou hipertermia. 
Porém é válido ressaltar que o mesmo já estava com quadro febril em tratamento de sepse.</t>
  </si>
  <si>
    <t>SVD sem identificação</t>
  </si>
  <si>
    <t>INC 1683 / 2026</t>
  </si>
  <si>
    <t>Paciente retorna do centro cirúrgico sem identificação de sonda vesical de demora, podendo comprometer o controle nos bundles de rotinas de manutenção, deixando o paciente em risco quanto ao tempo de durabilidade do dispositivo.</t>
  </si>
  <si>
    <t>LEITO 20 CG</t>
  </si>
  <si>
    <t>Falha de Comunicação na Continuidade de Precaução de Contato.</t>
  </si>
  <si>
    <t>INC 1684 / 2026</t>
  </si>
  <si>
    <t>09/02/2026</t>
  </si>
  <si>
    <t>Durante visita realizada no setor da UTI, foi identificado paciente proveniente do leito de Observação que, no momento da visita, não se encontrava sob Precaução de Contato, apesar de haver indicação prévia para tal medida. Ressalta-se que o paciente iniciou a Precaução de Contato ainda durante internação no setor da UTI, sendo posteriormente transferido para o setor de Observação, ocasião em que a equipe assistencial realizou a orientação a equipe quanto à necessidade de manutenção das medidas de precaução. Contudo, ao retornar para a UTI, a informação referente à continuidade da Precaução de Contato não foi devidamente repassada durante a transferência do paciente e passagem de plantão, resultando na interrupção das medidas preconizadas. Destaca-se que há registro em evolução do Serviço de Controle de Infecção Hospitalar (SCIH) documentando a necessidade de manutenção da Precaução de Contato, reforçando que tais medidas devem ser seguidas de forma contínua, independentemente do setor de internação ou da dinâmica de transferências intra-hospitalares. Diante do exposto, reforça-se a necessidade de comunicação efetiva e padronizada entre as equipes assistenciais durante a passagem de casos e transferências de pacientes, bem como a checagem ativa das evoluções e orientações do SCIH, a fim de garantir a adesão às precauções instituídas, prevenir Infecções Relacionadas à Assistência à Saúde (IRAS) e reduzir o risco de contaminação cruzada entre pacientes, profissionais e ambiente.
Reitera-se que as medidas de Precaução de Contato devem ser rigorosamente mantidas, conforme protocolos institucionais e recomendações do SCIH.</t>
  </si>
  <si>
    <t>NÃO CONFORMIDADE ASSISTENCIAL - DESCUMPRIMENTO DE PROTOCOLO INSTITUCIONAL</t>
  </si>
  <si>
    <t>INC 1685 / 2026</t>
  </si>
  <si>
    <t>Revisão</t>
  </si>
  <si>
    <t>Durante visita realizada no setor da Unidade de Terapia Intensiva (UTI), foi observado que o paciente encontrava-se com acesso venoso periférico em região femoral, apresentando curativo compressivo no local de inserção. Conforme protocolo institucional vigente, curativos compressivos devem ser fixados exclusivamente com espadrapo e micropore, não sendo indicada, a utilização de curativo filme transparente nesses casos. Destaca-se que o curativo filme transparente possui prazo de validade de até 7 (sete) dias, sendo destinado ao monitoramento de dispositivos, enquanto o curativo compressivo possui indicação de troca em até 24 (vinte e quatro) horas, o que torna inadequada e injustificável a associação desses materiais. A prática observada configura não conformidade, uma vez que representa uso inadequado de insumo institucional, desvio de finalidade do material e descumprimento do protocolo estabelecido, podendo comprometer a gestão de recursos e a disponibilidade do insumo para situações em que seu uso é tecnicamente indicado.
Diante do exposto, esta não conformidade não é aceitável, devendo ser imediatamente corrigida e não repetida, reforçando-se a obrigatoriedade do cumprimento integral dos protocolos institucionais e do uso racional e adequado dos insumos, a fim de evitar desperdícios, desabastecimento e impactos negativos na assistência.</t>
  </si>
  <si>
    <t>26/02/2026</t>
  </si>
  <si>
    <t>Não Abertura do Bundle de Inserção de Cateter Venoso Central.</t>
  </si>
  <si>
    <t>INC 1686 / 2026</t>
  </si>
  <si>
    <t>Durante visita realizada no setor da UTI, foi identificado que paciente internado no leito 06, onde foi submetido à passagem de acesso venoso central (AVC), sem a abertura do bundle de inserção correspondente no momento do procedimento. Ressalta-se que a abertura do bundle de inserção constitui um pacote de boas práticas assistenciais, essencial para a padronização do cuidado, registro adequado do procedimento e monitoramento diário do dispositivo, com o objetivo de reduzir o risco de Infecções Relacionadas à Assistência à Saúde (IRAS), em especial as infecções primárias de corrente sanguínea associadas a cateter (IPCS). Destaca-se que a não abertura do bundle inviabiliza o acompanhamento diário da necessidade de manutenção do dispositivo, a avaliação de condições do sítio de inserção, bem como a checagem da adesão às medidas de prevenção preconizadas. Diante do exposto, reforça-se que a abertura do bundle de inserção deve ser realizada como rotina assistencial, sempre que houver necessidade de utilização de dispositivos invasivos, sendo esta atribuição da enfermeira plantonista no momento da inserção ou imediatamente após o procedimento, garantindo assim a continuidade do cuidado seguro, a rastreabilidade das ações e a qualidade da assistência prestada.</t>
  </si>
  <si>
    <t>ATRASO NA ENTREGA DE PROVATIVO PELA LAVANDERIA</t>
  </si>
  <si>
    <t>INC 1687 / 2026</t>
  </si>
  <si>
    <t>NO DIA 01/02/2026 POR VOLTA DE 23H:30MIN, O NEUROCIRURGIÃO REFERIU NÃO SER ATENDIDO NA LAVANDERIA, ONDE TENTOU SOLICITAR PRIVATIVO PARA ENTRAR NO BLOCO CIRÚRGICO PARA REALIZAR PROCEDIMENTO DE EMERGÊNCIA. NO MOMENTO, NÃO HAVIA NENHUM COLABORADOR NO LOCAL. A ENFERMEIRA DO SETOR, REALIZOU UMA SEGUNDA TENTATIVA DE ATENDIMENTO, SENDO NECESSÁRIO CHAMAR VÁRIAS VEZES ATÉ CONSEGUIR OBTER PRIVATIVO PARA ENTREGAR AO CIRURGIÃO, REFORÇO QUE DURANTE ESSE PERÍODO, O PACIENTE E.O.L (PONTUÁRIO N° 339296) JÁ ESTAVA EM SALA CIRÚRGICA SENDO ANESTESIADO, TAL OCORRÊNCIA INFLUENCIOU DIRETAMENTO NO TEMPO PARA INICAR PROCEDIMENTO, PODENDO PREJUDICAR QUADRO CLINICO DO PACIENTE.</t>
  </si>
  <si>
    <t>SPR - Serviço de Processamento de Roupas</t>
  </si>
  <si>
    <t>PACIENTE DEU ENTRADA NO CENTRO CIRÚRGICO SEM ACESSO VENOSO</t>
  </si>
  <si>
    <t>INC 1688 / 2026</t>
  </si>
  <si>
    <t>NO DIA 03/02/2026 PACIENTE D.C.N (PRONTUÁRIO N° 339294) PROVENIENTE DA CLINICA PEDIÁTRICA, DEU ENTRADA NO CENTRO CIRÚRGICO PARA REALIZAR PROCEDIMENTO ELETIVO SEM ACESSO VENOSO PÉRVIO. NÃO HOUVE JUSTIFICATIVA E/OOU AVISO PRÉVIO DO MOTIVO PELO QUAL PACIENTE NÃO HAVIA SIDO PUNCIONADO EM SETOR DE ORIGEM.</t>
  </si>
  <si>
    <t xml:space="preserve">Paciente em uso de SVD sem indicação </t>
  </si>
  <si>
    <t>INC 1689 / 2026</t>
  </si>
  <si>
    <t>Durante visita de rotina no Pronto-Socorro, foi identificado paciente em uso de sonda vesical de demora (SVD) sem indicação clínica devidamente justificada. Ao questionar a equipe assistencial sobre a necessidade do dispositivo, não foi apresentada justificativa plausível para sua inserção e permanência.
Após discussão do caso com o médico responsável, foi sugerida a retirada da SVD, bem como reforçadas as orientações quanto ao uso criterioso do dispositivo, ressaltando que sua indicação deve ocorrer apenas quando clinicamente necessária, conforme protocolos institucionais e diretrizes de segurança do paciente. A situação foi comunicada à enfermeira horizontal, considerando que o tema referente ao uso indevido de dispositivos invasivos já havia sido previamente alinhado com a equipe assistencial. Notifico para melhoria do processo.</t>
  </si>
  <si>
    <t>Leito semi critico. UCP</t>
  </si>
  <si>
    <t>Paciente com fraturas encaminhado de forma inadequada</t>
  </si>
  <si>
    <t>INC 1690 / 2026</t>
  </si>
  <si>
    <t>Relata-se que o paciente deu entrada no setor em cadeira de rodas, apesar de apresentar fraturas em ambos os membros inferiores.
Conforme protocolo assistencial, o paciente deveria ter sido encaminhado em maca, a fim de garantir segurança, conforto e evitar agravamento do quadro clínico.
A situação foi identificada na admissão, sendo a equipe orientada e realizadas as medidas necessárias para adequação do transporte.</t>
  </si>
  <si>
    <t>000000</t>
  </si>
  <si>
    <t>CAIXA DE PERFURO CORTANTE</t>
  </si>
  <si>
    <t>INC 1691 / 2026</t>
  </si>
  <si>
    <t>Durante visita de rotina no Pronto-Socorro, foram identificadas caixas coletoras de materiais perfurocortantes dispostas diretamente no chão do corredor, em desacordo com as normas de biossegurança, com os protocolos institucionais e com a legislação vigente sobre o gerenciamento de resíduos de serviços de saúde. A situação observada representa risco de acidentes ocupacionais, exposição a material biológico e potencial disseminação de microrganismos. Notifico para melhoria do processo.</t>
  </si>
  <si>
    <t>Coordenação de Hotelaria</t>
  </si>
  <si>
    <t>Extensor de silicone disposto sem a devida proteção</t>
  </si>
  <si>
    <t>INC 1692 / 2026</t>
  </si>
  <si>
    <t>Durante visita de rotina no Pronto-Socorro, foi identificado extensor de silicone disposto sem a devida proteção, em condições inadequadas de armazenamento. A situação observada encontra-se em desacordo com as boas práticas assistenciais e de biossegurança, aumentando o risco de contaminação e de infecção relacionada à assistência à saúde. Notifico para melhoria do processo.</t>
  </si>
  <si>
    <t>Leito semi critico UCP</t>
  </si>
  <si>
    <t>DEMORA NA LIBERAÇÃO DE RESULTADO LABORATORIAL</t>
  </si>
  <si>
    <t>INC 1693 / 2026</t>
  </si>
  <si>
    <t>Comunica-se a demora na liberação do resultado de exame de BAAR (3ª amostra), coletado em 30/01/2026, destinado à investigação diagnóstica de tuberculose.
Ressalta-se que houve cobrança formal por dois dias consecutivos quanto à necessidade de recoleta e liberação do resultado, realizada pela médica do setor, devido à importância clínica e epidemiológica do exame.
Até a presente data, 03/02/2026, não consta resultado liberado no sistema, o que compromete:
A definição diagnóstica do paciente;
A tomada de decisão clínica oportuna;
As ações de vigilância epidemiológica;
O controle de risco de transmissão, considerando tratar-se de agravo de importância em saúde pública.</t>
  </si>
  <si>
    <t>05/03/2026</t>
  </si>
  <si>
    <t>VOBPS 12</t>
  </si>
  <si>
    <t xml:space="preserve">Paciente admitido sem o devido isolamento </t>
  </si>
  <si>
    <t>INC 1694 / 2026</t>
  </si>
  <si>
    <t>Paciente admitido na UTI no dia 01/02/2026 proveniente da sala vermelha do PS a noite. Paciente idoso submetido a procedimento cirúrgico em outra instituição hospitalar. Não foi coletado as amostras para culturas swabs e nem inserido o paciente em isolamento de contato empírico, conforme protocolo institucional. 
Prontuário : 300820
INICIAIS DO PACIENTE: A.F.D.S.</t>
  </si>
  <si>
    <t>rn sem registro do peso de alta</t>
  </si>
  <si>
    <t>INC 1695 / 2026</t>
  </si>
  <si>
    <t>08/02/2026</t>
  </si>
  <si>
    <t>Bom dia
recebo plantão com RN de alta, com frequência RN sem registro do peso de alta
dão alta do RN sem fazer registro do peso de alta na carteira do RN
340195 RN J M S 
Nasceu 06/02 , recebeu alta 07/02</t>
  </si>
  <si>
    <t xml:space="preserve">Falha na comunicação entre setor </t>
  </si>
  <si>
    <t>INC 1696 / 2026</t>
  </si>
  <si>
    <t xml:space="preserve">Gerência de Cuidados Materno/Infantil / PAM - Pronto Atendimento Materno </t>
  </si>
  <si>
    <t>No dia 07/02/26 houve transferência de uma paciente do ps para o pam, onde a paciente estava com hb de 3,2 a mesma estava somente com um acesso que estava infiltrado, não houve alinhamento com a agencia transfusional sobre a necessidade de transfusão da paciente, dessa forma ocorrendo demora para a paciente iniciar a transfusão. Solicito que em caso de transferência de paciente critico seja informado as enfermeiras do setor sobre real situação do caso e priorize organizar de forma oportuna os cuidados com  paciente.</t>
  </si>
  <si>
    <t>Atraso no Transporte Interno</t>
  </si>
  <si>
    <t>INC 1697 / 2026</t>
  </si>
  <si>
    <t>Foi solicitado  maqueiro para transferência de paciente da Ala Psicossocial para a Clínica Médica, porém não houve resposta ao chamado via rádio ou via grupo de whatsApp, Diante da ausência de retorno e visando não atrasar a assistência, o transporte do paciente foi realizado pelo técnico de enfermagem da unidade.
Risco identificado:
A realização de transporte de pacientes por profissional não designado para esta função pode gerar:
Risco ergonômico ao colaborador;
Risco de queda e lesão ao paciente;
Desvio de função;
Comprometimento da segurança do transporte interno.</t>
  </si>
  <si>
    <t>Cancelamento de procedimento por erro de prescrição</t>
  </si>
  <si>
    <t>INC 1698 / 2026</t>
  </si>
  <si>
    <t>10/02/2026</t>
  </si>
  <si>
    <t>Equipe Médica- Paciente D.D.C.S. Atendimento 1540024, com agendamento cirúrgico para implante de Duplo J no dia 10/02/2026, encontrava-se com a medicação N.P - Heparina 5.000 UI/0,25 ml não suspensa na prescrição médica. Devido à falha na suspensão do anticoagulante, a cirurgia não foi realizada.
A não suspensão da heparina configura alto risco de sangramento intra e pós-operatório, impossibilitando a realização segura do procedimento cirúrgico.</t>
  </si>
  <si>
    <t>Falha no Transporte Interno de paciente para UTI</t>
  </si>
  <si>
    <t>INC 1699 / 2026</t>
  </si>
  <si>
    <t>No plantão diurno do dia 08/02/2026, a enfermeira plantonista realizou acionamento de maqueiro por meio de rádio comunicador e grupo institucional de WhatsApp, solicitando apoio para transferência de paciente da Clínica Médica para a UTI.
Apesar das tentativas de contato, não houve resposta imediata da equipe de maqueiros, ocasionando demora no atendimento. Diante da necessidade de continuidade da assistência e da condição clínica da paciente, o transporte foi realizado pela própria equipe de enfermagem do setor.</t>
  </si>
  <si>
    <t>30</t>
  </si>
  <si>
    <t>OMISSÃO DE DOSE TRATAMENTO DE MALÁRIA (CLOROQUINA 150 MG)</t>
  </si>
  <si>
    <t>INC 1700 / 2026</t>
  </si>
  <si>
    <t>11/02/2026</t>
  </si>
  <si>
    <t>PACIENTE M.M.F, DA UNIDADE DE INTERNAÇÃO CLÍNICA MÉDICA, INICIOU TRATAMENTO PARA MALÁRIA (CLOROQUINA 150 MG) D1/3; E (PRIMAQUINNA 15 MG) D1/7 NO DIA10/02/2026. PORÉM NO D2/3 DA CLOROQUINA 150 MG, EM (11/02/2026), NÃO FOI REALIZADO A DOSE CONFORME A PRESCRIÇÃO MÉDICA  (FREQUÊNCIA  DE 24H/24H - 08H), A DISPENSAÇÃO FOI  ÁS 11:40 H, A JUSFICATIVA  NO MOMENTO DA RETIRADA, FOI QUE, ESTAVAM OCUPADOS COM OUTRAS DEMANDAS NO SETOR E  NÃO FOI POSSÍVEL VIM NO HORÁRIO DETERMINADO NA PRESCRIÇÃO.
E POR SER UM MEDICAMENTO ESTRATÉGICO, A DISPENSAÇÃO NÃO VAI NA FITA DE MEDICAMENTO DO PACIENTE, ELA  É REALIZADA POR RETIRADA NA FARMÁCIA PELO SETOR MEDIANTE A PRESCRIÇÃO MÉDICA E PRENCHIMENTO DO FORMULÁRIO DE DISPENSAÇÃO PARA ACOMPANHAMENTO DO TRATAMENTO, ALINHAMNENTO ENTRE AS GERÊNCIAS DE ENFERMAGEM E COORDENAÇÃO DE FARMÁCIA, DEVIDO EVENTOS OCORRIDO NOS SETORES ANTERIOMENTE.
NÃO ADESÃO DA ENFERMAGEM ÀS PRÁTICAS DE CONTROLE NO PROCESSO DE RETIRADA DOS MEDICAMENTOS ESTRATÉGICOS NA FARMÁCIA PODEM RESULTAR EM DANOS NA ASSISTÊNCIA AO PACIENTE.
SEGUE ABAIXO OS ANEXOS DA PRESCRIÇÃO E DO FORMULÁRIO DE DISPENSAÇÃÇÃO.</t>
  </si>
  <si>
    <t>VOBPS 02</t>
  </si>
  <si>
    <t xml:space="preserve">Atraso em Solicitação de Vaga de Hemodiálise Ambulatorial </t>
  </si>
  <si>
    <t>INC 1701 / 2026</t>
  </si>
  <si>
    <t>Paciente encontra-se aguardando solicitação de vaga ambulatorial para hemodiálise. A documentação necessária foi entregue ao NIR em 30/01/2026, para que o setor desse seguimento ao fluxo institucional.
Entretanto, foi identificado que a solicitação somente chegou ao CNP na tarde do dia 10/02/2026, caracterizando atraso significativo no encaminhamento do processo.</t>
  </si>
  <si>
    <t>Administração de medicamento errada em paciente alérgica</t>
  </si>
  <si>
    <t>INC 1702 / 2026</t>
  </si>
  <si>
    <t>Lara Sophia de Castro Nascimento Pereira</t>
  </si>
  <si>
    <t>Paciente possuía alergia medicamentosa com pulseira de identificação, e registrado em prontuário, porém técnica de enfermagem, mesmo ciente da alergia, realizou medicamento. Foi acionado enfermeira e médica, ao qual a mesma de prontidão, realizou abertura do carrinho de emergência, e foi realizado PROMETAZINA IM.</t>
  </si>
  <si>
    <t>Paciente com suspeita de trauma em arcos costais, encaminhado para realização de exame de Raio-X deambulando sozinho sem assitencia</t>
  </si>
  <si>
    <t>INC 1703 / 2026</t>
  </si>
  <si>
    <t>12/02/2026</t>
  </si>
  <si>
    <t>Paciente com suspeita de trauma em arcos costais, encaminhado para realização de exame de Raio-X, apresentou-se no setor deambulando sozinho, portando apenas a guia médica e anamnese, sem qualquer profissional da assistência acompanhando.
Ressalta-se que, considerando a suspeita diagnóstica de trauma torácico, o paciente poderia apresentar dor intensa, limitação respiratória, instabilidade clínica ou risco de complicações, não sendo recomendável o deslocamento desacompanhado.
Riscos identificados:
Risco de queda durante o trajeto;
Agravamento de possível lesão costal ou torácica;
Risco de complicações respiratórias não monitoradas;
Ausência de suporte imediato em caso de intercorrência clínica.
Tal conduta contraria as boas práticas de segurança do paciente e os protocolos de transporte intra-hospitalar, conforme preconiza a RDC nº 36/2013 (Programa Nacional de Segurança do Paciente), que estabelece a necessidade de avaliação de risco e garantia de assistência segura durante todo o processo de cuidado.</t>
  </si>
  <si>
    <t>RAIO X HGP</t>
  </si>
  <si>
    <t>Prescrição de Medicamento com Registro de Alergia</t>
  </si>
  <si>
    <t>INC 1704 / 2026</t>
  </si>
  <si>
    <t>Durante conferência de prontuário, foi identificado que a paciente possui registro de alergia à dipirona descrito em evolução médica, porém constava prescrição ativa de dipirona na prescrição médica.
A inconformidade representa risco direto à segurança do paciente, podendo ocasionar evento adverso medicamentoso grave.</t>
  </si>
  <si>
    <t xml:space="preserve">EVASÃO DE PACIENTE </t>
  </si>
  <si>
    <t>INC 1705 / 2026</t>
  </si>
  <si>
    <t>Gerência de Cuidados Materno/Infantil / Unidade de Internação Pediátrica</t>
  </si>
  <si>
    <t>Poliana Pereira da Costa</t>
  </si>
  <si>
    <t>NO DIA 12/02/26 ÁS 08:40 GENITORA EVADIU DA UNIDADE COM CRIANÇA NOS BRAÇOS, CONSEGUE REALIZAR PASSAGEM PELA PORTARIA POIS NÃO FOI COBRADO RESULMO DE ALTA, QUESTIONO AGENTE DE PORTARIA O MESMO AFIRMA NÃO TER COBRADO DOCUMENTO E NEM FEITO CONFERÊNCIA DE PULSEIRA DE IDENTIFICAÇÃO, COMUNICADO SUPERVISORA DA LINHA, MÉDICO, EQUIPE DE ASSISTÊNCIA SOCIAL E AO SETOR DE REGULAÇÃO E REGISTRADO EM PRONTUÁRIO DE N° 333921.</t>
  </si>
  <si>
    <t>Demora no Atendimento de Transporte Interno (Maqueiro)</t>
  </si>
  <si>
    <t>INC 1706 / 2026</t>
  </si>
  <si>
    <t>Foi realizado acionamento da equipe de maqueiros pela Ala Psicossocial para encaminhamento de paciente para realização de ultrassonografia (USG). Entretanto, observou-se demora significativa no atendimento da solicitação, sem retorno em tempo oportuno.</t>
  </si>
  <si>
    <t>AVP com data de validade vencida</t>
  </si>
  <si>
    <t>INC 1707 / 2026</t>
  </si>
  <si>
    <t>Durante visita de rotina ao setor de Observação da Clínica Médica, ao abordar a acompanhante do leito 08, foi relatado que o paciente permanecia com acesso venoso periférico em membro superior direito com troca vencida há 1 dia. Segundo a acompanhante, a situação foi comunicada à equipe do plantão noturno, inclusive sendo informado que o paciente apresentava dor e edema, porém não houve realização da troca naquele momento. A acompanhante informou que a substituição do acesso ocorreu apenas no plantão diurno, após nova solicitação feita por ela. Foram apresentadas evidências fotográficas em aparelho celular, demonstrando acesso sujo, além de membro hiperemiado e edemaciado.
A situação configura risco significativo de flebite e outras complicações infecciosas, comprometendo a segurança do paciente. Ressalta-se que a avaliação e troca oportuna de acessos venosos periféricos são medidas fundamentais para prevenção de eventos adversos, não devendo tais situações ocorrer. Notifico tal situação para melhorias do processo.</t>
  </si>
  <si>
    <t>VOBPS 08</t>
  </si>
  <si>
    <t>POSSÍVEL DEMORA EM INICIAR TRATAMENTO DE PACIENTE EM DETERIORAÇÃO CLÍNICA</t>
  </si>
  <si>
    <t>INC 1708 / 2026</t>
  </si>
  <si>
    <t>PACIENTE APRESENTOU PIORA CLINICA RESPIRATÓRIA NA NOITE DE 11/02/26, SENDO INICIADO O2 SUPLEMENTAR POR CN. NÃO ENCONTREI REGISTRO DE ATENDIMENTO PELO MÉDICO INTERNISTA DE PLANTÃO. NA NOITE DE 10/02 PACIENTE ESTAVA SEM USO DE O2 SUPLEMENTAR. CHEGO HOJE PARA AVALIAR PACIENTE POR VOLTA 12:15H, PACIENTE EM USO DE O2 SUPLMENTAR, COM FR DE 45IPM, EM DESCONFORTO RESPIRATÓRIO.
 QUESTIONO SE HOUVE ACIONAMENTO DO PLANTAO DE INTERNISTA PELA ENFERMAGEM FRENTE A DETERIORAÇÃO CLÍNICA, OU SE O PLANTÃO FOI ACIONADO, MAS NÃO HOUVE REGISTRO DE ATENDIMENTO. 
NOTIFICO OCORRENCIA COM INTUITO DE MELHORIA DO PROCESSO DE ASSISTENCIA AO PACIENTE COM DETERIORAÇÃO CLÍNICA NAS ENFERMARIAS.</t>
  </si>
  <si>
    <t>OBSERVAÇÃO PS</t>
  </si>
  <si>
    <t>NÃO REALIZADO A HIGIENE DO PACIENTE</t>
  </si>
  <si>
    <t>INC 1709 / 2026</t>
  </si>
  <si>
    <t>NOTIFICO CENTRO CIRÚRGICO POR ENCAMINHAR PACIENTE AS 16:25 SEM REALIZAÇÃO DE HIGIENE CORPORAL, APRESENTANDO SUJIDADE POR EVACUAÇÃO, COM FEZES ATÉ A REGIÃO DORSAL.</t>
  </si>
  <si>
    <t>LEITO 13 CG</t>
  </si>
  <si>
    <t>Curativo de CVC com data de validade vencida</t>
  </si>
  <si>
    <t>INC 1710 / 2026</t>
  </si>
  <si>
    <t>13/02/2026</t>
  </si>
  <si>
    <t>Durante visita realizada na Unidade de Terapia Intensiva (UTI), foi constatado que o paciente encontrava-se com curativo compressivo em acesso venoso central (CVC) fora do prazo de validade estabelecido pelo protocolo institucional. O curativo foi realizado em 11/02/2026 às 11h00 no momento da inspeção, ocorrida em 12/02/2026 às 14h00, o dispositivo já apresentava com o curativo compressivo com tempo de permanência superior ao recomendado, configurando não conformidade assistencial quanto às boas práticas de manejo de dispositivos invasivos. A enfermeira plantonista foi imediatamente comunicada sobre a necessidade de substituição do curativo. Contudo, verificou-se que a troca não foi realizada pelos plantões diurno e noturno, sendo efetivada somente em 13/02/2026 pelo plantão diurno, evidenciando falha na continuidade do cuidado.
Reforça-se a necessidade de vigilância contínua entre os plantões, com corresponsabilização da equipe de enfermagem quanto ao cumprimento dos prazos, registro adequado e adoção imediata de medidas corretivas frente a não conformidades identificadas.</t>
  </si>
  <si>
    <t>Risco de Disseminação de Microrganismo Multirresistente por Contato Indevido ao Leito.</t>
  </si>
  <si>
    <t>INC 1711 / 2026</t>
  </si>
  <si>
    <t>Durante visita técnica realizada na Unidade de Terapia Intensiva (UTI), foi observado que residentes de Medicina encontravam-se sobre o leito, mantendo contato direto com paciente sob Precaução de Contato, instituída após resultado de urocultura com isolamento de microrganismo resistente a Ertapenem, Imipenem e com sensibilidade intermediária a Meropenem, caracterizando perfil de resistência a carbapenêmicos. Ressalta-se que a UTI configura setor crítico e que, nos últimos meses, tem apresentado aumento na incidência de microrganismos multirresistentes (MMR), demandando rigor máximo na adesão às medidas de prevenção e controle de infecções relacionadas à assistência à saúde (IRAS). No momento da abordagem, foi informado que a paciente havia apresentado intercorrência clínica. Contudo, verificou-se que a assistência já estava sendo devidamente conduzida pelo médico assistente e pela técnica de enfermagem, não havendo indicação assistencial que justificasse a permanência adicional de residentes com contato direto ao leito naquele contexto específico. Compreende-se que, em situações de emergência, pode haver necessidade de intervenção imediata, podendo impactar temporariamente a paramentação adequada. Entretanto, destaca-se que, na situação observada, não se tratava de ausência de equipe assistencial.
Reforça-se que todos os profissionais, incluindo residentes e internos, devem cumprir rigorosamente os protocolos institucionais de Precaução de Contato, com uso adequado de equipamentos de proteção individual (EPI) e restrição de contato desnecessário, a fim de prevenir a disseminação cruzada de microrganismos multirresistentes para outros pacientes do setor.</t>
  </si>
  <si>
    <t xml:space="preserve">OMISSÃO DE DOSE TRATAMENTO PARA MALÁRIA </t>
  </si>
  <si>
    <t>INC 1712 / 2026</t>
  </si>
  <si>
    <t>PACIENTE M.M.F. INICIOU TRATAMENTO NO DIA 10/02/2026, D1/7, FOI VERIFICADO QUE  NO DIA 11/02/2026 QUE SERIA O D2/7, NÃO HOUVE USO DA DOSE. ENTRADO EM CONTATO COM A SUPERVISÃO DO SETOR, E A ASSISTÊNCIA GARANTIU A RETIRADA DA DOSE NA FARMÁCIA .  NO ENTANTO NÃO HOUVE A DISPENSAÇÃO DO MEDICAMENTO PELA FARMÁCIA, VISTO QUE É UM MEDICAMENTO ESTRATÉGICO E HÁ UM FLUXO DE DISPENSAÇÃO PARA ACOMPANHAMENTO DO TRATAMENTO, E AS EVIDÊNCIAS DA DISPENSAÇÃO NÃO EXISTEM, NEM NA PRESCRIÇÃO E NEM NO FORMULÁRIO DE DISPENSAÇÃO. RESSALTO QUE FOI RECEBIDO 14 UNIDADES DE PRIMAQUINA 15 MG, E CONFORME A DISPENSAÇÃO AINDA TEMOS EM ESTOQUE 12 UNIDADES, DEVIDO A NÃO RETIRADA DA DOSE NO D2 E A RECUSA  DO PACIENTE NO D3/7 QUE FOI NO DIA 12/02/26.  IMPORTANTE FRISAR QUE O MEDICAMENTO NECESSITA SER ADMINISTRADO NA DOSE E NO INTERVALO CORRETOS CONFORME A PRESCRIÇÃO MÉDICA PARA GARANTIA  A EFICÁCIA TERAPÊUTICA E A SEGURANÇA DO PACIENTE.</t>
  </si>
  <si>
    <t xml:space="preserve">FALTA DE ITENS NO CARRO DE EMERGÊNCIA UTI ADULTO </t>
  </si>
  <si>
    <t>INC 1713 / 2026</t>
  </si>
  <si>
    <t>6</t>
  </si>
  <si>
    <t>Eliege Santos de Souza</t>
  </si>
  <si>
    <t>NO DIA DIA  11/02/2026, FEITO A AUDITORIA FARMACÊUTICA MENSAL NO CARRO DE EMERGÊNCIA UTI ADULTO I, ESTOQUE 130, OBSERVADO A FALTA DE ITENS:
MEDICAMENTOS: ( EPINEFRINA (2 UNID.); ADENOSINA (1UNID.); ÁGUA DESTILADA 10ML (3UNID); FENTANILA 2 ML (1UNID); FLUMAZENIL 5ML (1UNID); FUROSEMIDA 2 ML (1UNID); NOREPINEFRINA 4 ML (5 UNID);  METROPOLOL (1 UNID); MIDAZOLAM 3ML (1 UNID); ESCETAMINA 10 ML (1 UNID); CLORETO DE SÓDIO -10ML (5 UNID); SULFATO DE MAGNÉSIO 10% (2 UNID); CLORETO DE SÓDIO 500ML (2 UNID); GLICOSE 50% - 10ML (1 UNID); RINGER LACTATO 500 ML (1 UNID); SUXAMETÔNIO (1 UNID). 
MATERIAL HOSPITALAR: TUBO ENDOTRAQUIAL C/ BALÃO N°8,0 (1UNID); TUBO  ENDOTRAQUIAL C/BALÃO 7,0 (1 UNID); TORNEIRA TRÊS VIAS (2 UNID); SONDA FOLLEY 2 VIAS Nº 16 (2 UNID); SONDA FOLLEY Nº14 (2 UNID); INFUSOR 2 VIAS (1 UNID); LAMINA DE BISTURI Nº15 (1 UNID); CATETER DUPLO LUMÉM 7 FR (1 UNID).
RESSALTO QUE A AUSÊNCIA DE ITENS PODE IMPACTAR NO ATENDIMENTO  AO PACIENTE EM MOMENTOS DE INTERCORRÊNCIA, E  QUE  A REPOSIÇÃO DOS ITENS DEVE SER REGISTRADOS NO  FORMULÁRIO DE CHECK LIST PADRONIZADO PARA OS CARROS DE EMERGÊNCIA  E QUE A ROTINA PRECISA SER CONFORME O PROTOCOLO ESTABELECIDO PARA REPOSIÇÃO  E ASSIM GARANTIR QUE NÃO TENHA FALTAS DE ITENS E O ATENDIMENTO ADEQUADO AO PACIENTE QUANDO PRECISO EM UMA EMERGÊNCIA.
VISTO QUE IMPACTA NOS ESTOQUES  FÍSICO E SISTEMA  E QUE AS SAÍDAS DOS ITENS  NÃO SÃO REALIZADAS CONFORME O FLUXO ESTABELECIDO NO NOME DO PACIENTE E SIM POR SETOR.
SEGUE ABAIXO OS ANEXOS: RELATÓRIO CONFERÊNCIA DE LOTES (para início de auditoria); DOCUMENTO DE SAÍDA POR SETOR (de itens em falta no carro).</t>
  </si>
  <si>
    <t>DISPENSAÇÃO DE MEDICAÇÃO ERRADA.</t>
  </si>
  <si>
    <t>INC 1714 / 2026</t>
  </si>
  <si>
    <t>14/02/2026</t>
  </si>
  <si>
    <t>NA DATA DO DIA 14/02/26 FOI DISPENSADO PELA FARMÁCIA MEDICAÇÃO PARA A PACIENTE AYLLA REBECA MEDONÇA DE SOUZA LT 08, N° PRONTUÁRIO 200429 COM A ETIQUETA DA PACIENTE AYLLA CRISTINA SOUSA MORAIS LT 17, N° PRONTUÁRIO 295084.
IDENTIFICADO ERRO PIOS PARA PACIENTE AYLLA CRISTINA SOUSA MORAIS ESTÁ PRESCRITO SOMENTE DIPIRONA SE FEBRE OU DOR, ONDASETRONA SE NÁUSEAS E VÔMITO E SIMETICONA E NA FITA DISPENSADA VEIO SACCHAROMYCES E DIPIRONA, MEDICAÇÕES QUE ESTÁ PRESCRITO PARA PACIENTE AYLLA REBECA MENDONÇA SOUZA. PACIENTES HOMÔNIMAS.
MEDICAÇÃO DISPENSADA COM ETIQUETA ERRADA, RISCO DE ERRO DE MEDICAÇÃO.</t>
  </si>
  <si>
    <t>LT 08</t>
  </si>
  <si>
    <t>PISO MOLHADO</t>
  </si>
  <si>
    <t>INC 1715 / 2026</t>
  </si>
  <si>
    <t>16/02/2026</t>
  </si>
  <si>
    <t>Durante visita de rotina na Clínica Médica, foi observado que a equipe de higienização realizava limpeza concorrente no corredor com utilização de água em excesso, deixando o piso excessivamente molhado. A prática identificada compromete a segurança de pacientes, acompanhantes e profissionais, aumentando o risco de quedas e acidentes, além de não estar alinhada às boas práticas de limpeza e segurança institucional.
Destaca-se que a limpeza concorrente deve ser realizada com técnica adequada, utilizando quantidade controlada de solução e sinalização apropriada de piso molhado, a fim de minimizar riscos e garantir ambiente seguro. Ressalta-se ainda que a equipe já participou de treinamento específico sobre higienização hospitalar e práticas seguras. Notifico para melhoria do processo.</t>
  </si>
  <si>
    <t>Alimentação inadequada</t>
  </si>
  <si>
    <t>INC 1716 / 2026</t>
  </si>
  <si>
    <t>Durante visita de rotina na Pediatria, foi identificada mãe/acompanhante preparando alimento (mingau) na copa destinada exclusivamente ao uso dos profissionais. A situação caracteriza não conformidade, considerando que o referido espaço é restrito à equipe assistencial e destinado ao preparo e armazenamento de materiais e insumos de uso interno.
A prática observada pode comprometer a segurança do paciente, tendo em vista o risco de contaminação cruzada, além de interferir na organização e no fluxo adequado do setor. Notifico para melhoria do processo.</t>
  </si>
  <si>
    <t>REALIZAÇÃO DE ENEMA OPACO COM CONTRASTE SEM TCLE E SEM AVALIAÇÃO LABORATORIAL PRÉVIA EM RN NO SETOR CENTRO CIRÚRGICO</t>
  </si>
  <si>
    <t>INC 1717 / 2026</t>
  </si>
  <si>
    <t>NO DIA 07/02 :
Foi identificado que:
Houve realização de exame de Raio X - Enema Opaco com uso de meio de contraste, sem formalização prévia de Termo de Consentimento Livre e Esclarecido (TCLE) assinado pelo responsável legal.
Não foram realizados os exames laboratoriais de Creatinina e Ureia em Recém-Nascido (RN) previamente ao procedimento contrastado, impossibilitando avaliação da função renal antes da exposição ao contraste.
O Setor de Farmácia liberou medicamento relacionado ao procedimento contrastado, sem comunicação formal ao Serviço de Imagem. 
RISCOS ASSISTENCIAIS AO PACIENTE
Riscos clínicos:
Reação adversa ao meio de contraste (alérgica ou anafilática).
Potencial nefrotoxicidade, especialmente relevante em RN.
Agravamento de possível disfunção renal não previamente identificada.
Instabilidade clínica em paciente neonatal.
Riscos relacionados à segurança do paciente:
Ausência de consentimento informado formalizado.
Falha na avaliação pré-procedimento.
Quebra das barreiras de segurança.
Fragilidade na comunicação multiprofissional.</t>
  </si>
  <si>
    <t>CENTRO CIRÚRGICO</t>
  </si>
  <si>
    <t>AVP SEM IDENTIFICAÇÃO</t>
  </si>
  <si>
    <t>INC 1718 / 2026</t>
  </si>
  <si>
    <t>Prezados, Venho por meio deste notificar o setor do Ambulatório acerca do encaminhamento de paciente para esta unidade sem a devida identificação do acesso venoso periférico (AVP).
Ressalto que a identificação adequada do AVP é fundamental para garantir a segurança do paciente, a correta continuidade da assistência e a prevenção de eventos adversos.
Solicito, por gentileza, que sejam reforçadas junto à equipe as orientações quanto à obrigatoriedade da identificação completa antes do encaminhamento do paciente para outros setores.</t>
  </si>
  <si>
    <t>LEITO 5 ORT</t>
  </si>
  <si>
    <t>EQUIPO VENCIDO</t>
  </si>
  <si>
    <t>INC 1719 / 2026</t>
  </si>
  <si>
    <t>Venho, por meio desta data de hoje 16/02/2026, notificar a Clínica Ortopédica acerca da permanência de equipo em paciente pelo período de 7 (sete) dias, sem a devida retirada ou orientação adequada dentro do prazo previamente estabelecido, que é de apenas 4 (quatro) dias.
Ocorre que o equipamento permaneceu com o paciente além do período inicialmente determinado, fato que pode ter ocasionado riscos à saúde e possíveis complicações.</t>
  </si>
  <si>
    <t>CLINICA ORTOPEDICA LEITO 9</t>
  </si>
  <si>
    <t>Não realizado coleta laboratorial</t>
  </si>
  <si>
    <t>INC 1720 / 2026</t>
  </si>
  <si>
    <t>Foi identificado que o laboratório responsável pelas coletas não compareceu à Clínica desde o dia16/02/2026 permanecendo 06 (seis) solicitações de exames laboratoriais pendentes.
Os exames estavam previamente solicitados no sistema e programados conforme fluxo institucional, com horário acordado para coleta até às 16h, o que não ocorreu até o momento do registro desta notificação.
Não houve comunicação formal prévia por parte do laboratório informando impossibilidade de coleta, atraso ou reprogramação.
A não realização dos exames no prazo estabelecido pode:
* Comprometer conduta médica e tomada de decisão clínica;
* Retardar diagnósticos e intervenções terapêuticas;
* Prolongar tempo de internação;
* Gerar risco potencial à segurança do paciente.
__Conduta Imediata__
Registro da ocorrência em sistema de notificação institucional;
Comunicação ao laboratório responsável;
Solicitação de regularização imediata das coletas pendentes.
__Prontuários:155710/334772/212484/226718__</t>
  </si>
  <si>
    <t>LCIRT09</t>
  </si>
  <si>
    <t>Recebo paciente do CPN com febre de 38°</t>
  </si>
  <si>
    <t>INC 1721 / 2026</t>
  </si>
  <si>
    <t>Recebo paciente provinda do CPN com febre de 38°graus. 
mesmo com todos os profissionais do setor ciente da paciente não esta estavel hemodinamicamente, encaminham.
recebo paciente as 10:30. 
N°atendimento 1571030</t>
  </si>
  <si>
    <t>CPN</t>
  </si>
  <si>
    <t>Rn com toco umbilical com sangramento ativo</t>
  </si>
  <si>
    <t>INC 1722 / 2026</t>
  </si>
  <si>
    <t>Recebo paciente em leito com coto umbilical mal clampiado, com sangramento ativo pelo coto. durante a passagem de plantão foi passado que rn estava bem e estavel sem  intercorencias.
RN F.A.P.
Genitora relata que não foi ensinada ate o momento a limpeza do coto umbilical com alcool 70%
RN recebido durante o plantão diurno 15/02, passou por duas equipes. Ate recebimento de hoje 16/02
N°ATENDIMENTO 1570453.</t>
  </si>
  <si>
    <t>CGO LT 13</t>
  </si>
  <si>
    <t xml:space="preserve">Identificação incompleta de AVP </t>
  </si>
  <si>
    <t>INC 1723 / 2026</t>
  </si>
  <si>
    <t>Venho por meio desta notificar ocorrência relacionada à não identificação correta de AVP (Acesso Venoso Periférico) . foi constatada ausência do nome de quem realizou o AVP. Entrando em desacordo com os protocolos institucionais de segurança do paciente. Ressalta-se que a identificação correta do AVP é medida essencial para garantir rastreabilidade, segurança assistencial e prevenção de eventos adversos.</t>
  </si>
  <si>
    <t>LEITO 2 ORT.</t>
  </si>
  <si>
    <t>EXAME NAO REALIZADO PACIENTE COM JEJUM PROLONGADO</t>
  </si>
  <si>
    <t>INC 1724 / 2026</t>
  </si>
  <si>
    <t>Gerência de Cuidados Cirúrgicos / Unidade de Internação Ortopédica</t>
  </si>
  <si>
    <t>17/02/2026</t>
  </si>
  <si>
    <t>NO DIA EM QUESTÃO, A PACIENTE PERMANECEU EM JEJUM DESDE AS 9H00 DA MANHÃ, CONFORME ORIENTAÇÃO PRÉVIA, PARA REALIZAÇÃO DE EXAME DE TOMOGRAFIA COMPUTADORIZADA COM CONTRASTE, AGENDADO PARA AS 14H00. PARA VIABILIZAR O PROCEDIMENTO, FOI REALIZADO ACESSO VENOSO PERIFÉRICO (AVP) COM JELCO CALIBRE 18, EM CONDIÇÕES ADEQUADAS PARA ADMINISTRAÇÃO DO CONTRASTE.
AO CHEGAR AO SETOR RESPONSÁVEL PELO EXAME, O PROCEDIMENTO NÃO FOI REALIZADO. A JUSTIFICATIVA APRESENTADA PELA EQUIPE FOI A INTERPRETAÇÃO EQUIVOCADA DE QUE A PACIENTE ENCONTRAVA-SE COM ACESSO VENOSO CENTRAL (AVC), O QUE LEVOU À SUSPENSÃO DO EXAME. ESSA FALHA DE COMUNICAÇÃO E ATENÇÃO OCASIONOU ATRASO SIGNIFICATIVO NO DIAGNÓSTICO DA PACIENTE, IMPACTANDO DIRETAMENTE A CONTINUIDADE DO CUIDADO.
POSTERIORMENTE, UMA COLABORADORA DO SETOR ENTROU EM CONTATO INFORMANDO QUE A COORDENADORA HAVIA DETERMINADO QUE O EXAME FOSSE REAGENDADO PARA O DIA SEGUINTE, SOB A ALEGAÇÃO DE QUE NÃO SERIA POSSÍVEL REALIZAR O PROCEDIMENTO EM AVC. NESSE MOMENTO, ESCLARECI QUE A PACIENTE NÃO ESTAVA COM ACESSO VENOSO CENTRAL, MAS SIM COM ACESSO VENOSO PERIFÉRICO. A COLABORADORA SUGERIU QUE O PEDIDO FOSSE REENVIADO PARA VIABILIZAR O EXAME AINDA NO MESMO DIA. NO ENTANTO, CONSIDERANDO QUE A PACIENTE JÁ HAVIA SE ALIMENTADO APÓS O PERÍODO DE JEJUM, FOI DEFINIDO QUE O EXAME SERIA MANTIDO PARA O DIA SEGUINTE, CONFORME A ORIENTAÇÃO INICIAL DA COORDENADORA</t>
  </si>
  <si>
    <t>NÃO LIBERAÇÃO DE MATERIAL NECESSÁRIO PARA REALIZAÇÃO DE EXAME</t>
  </si>
  <si>
    <t>INC 1725 / 2026</t>
  </si>
  <si>
    <t>VENHO POR MEIO DESTA REGISTRAR QUE SOLICITEI 10 ELETRODOS NA FARMÁCIA PARA A REALIZAÇÃO DE EXAME DE ELETROCARDIOGRAMA, PORÉM FORAM LIBERADOS APENAS 05.
ESSA QUANTIDADE É INSUFICIENTE E IMPOSSIBILITA A EXECUÇÃO DO EXAME, VISTO QUE O PROCEDIMENTO EXIGE OBRIGATORIAMENTE 10 ELETRODOS (4 NOS MEMBROS E 6 NO TÓRAX).
A COLABORADORA INFORMOU QUE SERIA NECESSÁRIO JUSTIFICAR A QUANTIDADE SOLICITADA, COMO SE HOUVESSE PEDIDO ALÉM DO NECESSÁRIO. RESSALTO QUE A SOLICITAÇÃO CORRESPONDE EXATAMENTE AO NÚMERO MÍNIMO EXIGIDO PARA A REALIZAÇÃO CORRETA DO EXAME, NÃO HAVENDO EXCESSO OU PEDIDO INDEVIDO.
DESSA FORMA, A NÃO LIBERAÇÃO INTEGRAL COMPROMETE DIRETAMENTE A REALIZAÇÃO DO EXAME INDISPENSÁVEL PARA AVALIAÇÃO DE RISCO CIRÚRGICO, COLOCANDO EM RISCO A CONTINUIDADE DO ATENDIMENTO.</t>
  </si>
  <si>
    <t>farmacia central</t>
  </si>
  <si>
    <t xml:space="preserve">Medicação checada sem ter administrado </t>
  </si>
  <si>
    <t>INC 1726 / 2026</t>
  </si>
  <si>
    <t>18/02/2026</t>
  </si>
  <si>
    <t>Recebo plantão diurno 18/02
A técnica que passou disse que não adm medicamento porque não veio medicação nos saquinhos da farmácia...mas ainda havia checado a medicação. Médico prescreve e a equipe não pega medicamento na farmácia.</t>
  </si>
  <si>
    <t>11</t>
  </si>
  <si>
    <t>Dispositivo inadequado utilizado para Drenagem Urinária</t>
  </si>
  <si>
    <t>INC 1727 / 2026</t>
  </si>
  <si>
    <t>Paciente admitido na Clínica Médica proveniente do Pronto Socorro apresentando dispositivo tipo uropen com sistema coletor improvisado, acoplado a frasco de soro adaptado como coletor urinário.</t>
  </si>
  <si>
    <t xml:space="preserve">ACESSO VENCIDO </t>
  </si>
  <si>
    <t>INC 1728 / 2026</t>
  </si>
  <si>
    <t>Paciente proveniente da UTI, admitido na Clínica Médica às 12:17, apresentando acesso venoso periférico com prazo de validade vencido às 11:10 do mesmo dia.
No momento da admissão na unidade, foi identificado que o dispositivo já se encontrava fora do período recomendado para manutenção, em desacordo com protocolo institucional de controle e troca de acessos venosos.</t>
  </si>
  <si>
    <t>Heparina Prescrita em Paciente com Cirurgia Programada</t>
  </si>
  <si>
    <t>INC 1729 / 2026</t>
  </si>
  <si>
    <t>Paciente com procedimento cirúrgico programado, apresentando prescrição ativa de heparina no período pré-operatório.</t>
  </si>
  <si>
    <t>INC 1730 / 2026</t>
  </si>
  <si>
    <t>14:00 acompanhante me chama para avaliar sangramento da paciente, já tinha trocado 2x absorvente, estava achando estranho;
avaliei imediatamente observei útero acima da cicatriz umbilical, quadrante esquerdo
sangramento aumentado
realizado curagem
14:05 deixo equipe em alerta, desço para acionar médica no pam
14:11 consigo falar cm dra giulya, fala que é  para esperar a outra médica voltar do almoço
14:19 realizamos outra curagem com enf vitoria, saída de muitos coágulos
realizamos troca de compressas, das fraldas, paciente nega queixas
14:45 entro em contato com a dra adriana , responde que estava escovando os dentes
15:05 dra adriana chega no setor para avaliação
realiza curagem, saída de bastante coágulos
PA 90X80
T 36,3
FC 66
SAT 97
15:18 iniciado 4 ampolas de ocitocina com soro fisiologico 500ml
15:18 adm ergotrat
oriento tec realizar o 2ª acesso, a médica fala que não tem necessidade. aguardar ocitocina acabar para adm glicosado
15:22 
sat 100
fc 83
15:30
sat 100
fc 96
15:33
pa 100x70
15:33 iniciado soro glicosado
15:50 nova avaliação ainda com sangramento ativo
pa 120x80
t 36
fc 89
sat 98
aciono dra adriana
oriento sobre as outras medicações, dra fala que não precisa transamin porque é dificil de fazer pedido. falamos que tinha na caixa de hpp. ela fala que não precisa. que ocitocina pode ser usada até 4x
16:10 dra adriana vai avaliar
realizado outro acesso
16:26  Iniciado 4 ampolas de ocitocina com 250ml de soro fisiologico
16:31 coletado lab
ssvv pa 110x80
fc 90
sat 100
t 35,4
16:58 lab pronto
hb 10,6
ht 32,5
hem3,22
pla94mil
leuc 16,700
entro em contato imediatamente com dra adriana, via wathzap
responde "ta otimo, vamos ver como vai estar amanhã"
17:11 entro em contato com dra giulya para escutar a 2ª opinião com relação ao exame, a mesma fala que "ta ótimo"
fecho maleta , feito reposição dos materiais
17:40 puerpera levanta para tomar banho, um pouco assustada com tudo que aconteceu, dicção prejudicada, mas a mãe consegue entender e se comunicam bem</t>
  </si>
  <si>
    <t>30/04/2026</t>
  </si>
  <si>
    <t>ISO 1 - LEITO 12</t>
  </si>
  <si>
    <t>PROVÁVEL ALTA PRECOCE DA UTI PARA ENFERMARIA</t>
  </si>
  <si>
    <t>INC 1731 / 2026</t>
  </si>
  <si>
    <t>Notifico o setor de UTI quanto à ocorrência de alta precoce do paciente. A mesma foi admitida no dia anterior e, durante permanência na Clínica Cirúrgica hoje dia 18/02, evoluiu com três episódios de parada cardiorrespiratória (PCR) realizado RCP com sucesso, sendo, logo em seguida, encaminhada novamente para leito de UTI.</t>
  </si>
  <si>
    <t>leito 3 cg</t>
  </si>
  <si>
    <t>AVP EM MÁS CONDIÇÕES</t>
  </si>
  <si>
    <t>INC 1732 / 2026</t>
  </si>
  <si>
    <t>Notifico o Pronto-Socorro pelo encaminhamento de paciente com acesso venoso periférico (AVP) em más condições de higiene, apresentando presença de sangue visível no dispositivo e curativo fenestra.</t>
  </si>
  <si>
    <t>ORTOPEDIA 1</t>
  </si>
  <si>
    <t xml:space="preserve">OMISSÃO NO TRATAMENTO COM ALBUMINA </t>
  </si>
  <si>
    <t>INC 1733 / 2026</t>
  </si>
  <si>
    <t>PACIENTE  T.A.C. , ATENDIMENTO:1561095, INICIA TRATAMENTO COM ALBUMINA  NO DIA 16/02/2026, D1/3 (6 FRASCOS) POR DOSE.  NO DIA  D2/3, QUE SERIA DIA 17/02/2026, NÃO FOI PRESCRITO, E A PACIENTE NÃO FEZ A DOSE. SITUAÇÃO OBSERVADA NO DIA 18/02/2026, ENTRADO EM CONTATO COM O MÉDICO DO SETOR PARA INFORMAR SOBRE A FALTA DE DISPONIBILIDADE DA PRESCRIÇÃO MÉDICA E O NÃO USO DA DOSE PELA PACIENTE, O MESMO FEZ APRESCRIÇÃO PARA CONTINUIDADE DO TRATAMENTO.
 PORÉM NO DIA 19/02/2026, FOI OBSERVADO NOVAMENTE QUE A PACIENTE NÃO FEZ A DOSE CONTABILIZANDO EM DOIS DIAS CONSECUTIVOS SEM TRATAMENTO, E QUE FOI REALIZADO APENAS  A DOSE DO D1/3.
 INFORMADO A REINCIDÊNCIA  AO MÉDICO E TAMBÉM A  SUPERVISÃO DA UNIDADE DE INTERNAÇÃO UTI ADULTO PARA DEVIDAS PROVIDÊNCIAS, POIS A OMISSÃO COM A DOSE DE MEDICAMENTO PRESCRITO  PARA O TRATAMENTO IMPACTA DIRETAMENTE  NA SEGURANÇA DO PACIENTE.</t>
  </si>
  <si>
    <t>UTI 03</t>
  </si>
  <si>
    <t>Não realização de coleta de exames e falha na continuidade do atendimento</t>
  </si>
  <si>
    <t>INC 1734 / 2026</t>
  </si>
  <si>
    <t>Venho por meio desta notificar ocorrência relacionada à não realização de coleta de exames laboratoriais solicitados e à falha no repasse de pendências assistenciais.
No dia 08/01/2026, o médico infectologista solicitou os exames de Carga Viral (HIV) e TCD4 para paciente em primodiagnóstico de HIV, TARV naïve. Na mesma data, foi realizada evolução de enfermagem em prontuário, registrando as solicitações e orientando quanto aos fluxos para envio das amostras ao CTA para a enfermeira HORIZONTAL.
Entretanto, na data de hoje, fomos informados pelo CTA de que não houve recebimento das amostras da paciente, impossibilitando, inclusive, a liberação da medicação. Em contato com o laboratório, foi confirmado que não há registro de envio das amostras referentes a esses exames.
Ressalta-se ainda que, no mesmo dia 08/01/2026, às 16h40, a paciente foi transferida para o isolamento (ISOGO 02), sem que houvesse o repasse da pendência quanto à coleta e envio dos exames para a continuidade do atendimento.
A não realização da coleta no dia solicitado e a ausência de comunicação da pendência configuram falha de processo, com impacto direto no início oportuno do tratamento, no fluxo assistencial e nas ações de vigilância e acompanhamento do caso.
Solicitamos:
Apuração dos fatos junto à equipe envolvida;
Orientação e reforço dos fluxos de coleta, envio e comunicação de pendências;
Implementação de medidas para evitar a recorrência deste tipo de situação.</t>
  </si>
  <si>
    <t>Armazenamento inadequado de dispositivos</t>
  </si>
  <si>
    <t>INC 1735 / 2026</t>
  </si>
  <si>
    <t>20/02/2026</t>
  </si>
  <si>
    <t>Durante visita de rotina na UCP, no posto de enfermagem, foi identificado máscara de inalação e extensor acondicionados de forma inadequada, sem identificação quanto ao paciente e/ou data de utilização.
A ausência de armazenamento apropriado e de identificação compromete a rastreabilidade do material, favorece risco de contaminação cruzada e contraria as boas práticas de segurança assistencial e prevenção de Infecções Relacionadas à Assistência à Saúde (IRAS).
Ressalta-se que dispositivos respiratórios devem ser devidamente identificados, acondicionados em local limpo e protegido, conforme protocolo institucional, garantindo segurança ao paciente e organização do ambiente assistencial. A equipe foi orientada quanto à adequação imediata da não conformidade e reforçadas as medidas de boas práticas no manuseio e armazenamento de materiais. Notifico para melhoria do processo.</t>
  </si>
  <si>
    <t>Complicação Cirurgica- Cesariana</t>
  </si>
  <si>
    <t>INC 1736 / 2026</t>
  </si>
  <si>
    <t>Paciente internada nesta unidade para realização de procedimento cesariano. Apresenta histórico de B24, com carga viral indetectável. Na avaliação inicial, a paciente refere contrações uterinas não rítmicas, associadas a sangramento vaginal em pequeno volume, com movimentação fetal presente. Nega perda de líquido amniótico. Apresenta laudo da infectologia apontando uso inadequado da TARV; entretanto, a paciente refere uso regular da medicação.
Paciente admitida no Centro Cirúrgico em estado geral estável.
Início da cirurgia: 12h10
Término da cirurgia: 15h18
Durante o intraoperatório, evoluiu com sangramento em cavidade abdominal de difícil controle, sendo necessária a entrada do Dr. Ageu para auxílio cirúrgico. Realizada expansão volêmica com solução cristaloide associada à transfusão de 02 concentrados de hemácias, além de uso momentâneo de vasopressores. Foram coletados exames laboratoriais, nos quais foi diagnosticada acidose metabólica, prontamente tratada.
Em leito de SRPA, a paciente referiu retorno do bloqueio total do membro inferior direito, porém queixou-se de paresia em membro inferior esquerdo. Relata que, no intraoperatório, apresentou parestesia em membro inferior esquerdo em três episódios, associada a movimentos involuntários.
Ao exame físico:
Membro inferior esquerdo: cianótico, com temperatura fria
Membro inferior direito: sem alterações
Paciente nega outras queixas no momento.
Solicitada avaliação da cirurgia vascular. Após avaliação, foi indicado e realizado novo procedimento cirúrgico no mesmo dia, sendo optado por embolectomia em sítio femoral proximal e distal. Não houve progressão proximal ou distal do trombo. Procedimento realizado com embolectomia apresentando bom refluxo.</t>
  </si>
  <si>
    <t>Centro Cirurgico</t>
  </si>
  <si>
    <t>Reoperação após complicação de Cesariana</t>
  </si>
  <si>
    <t>INC 1737 / 2026</t>
  </si>
  <si>
    <t>Paciente internada nesta unidade para realização de procedimento cesariano, com histórico de B24 e carga viral indetectável. Após a cesariana, evoluiu com intercorrência de sangramento em cavidade abdominal, sendo realizada hemostasia com controle do sangramento.
Ainda em RPA, foi observado membro inferior esquerdo (MIE) cianótico, motivo pelo qual foi solicitada avaliação da cirurgia vascular. Após avaliação especializada, houve necessidade de reabordagem cirúrgica, sendo optado por embolectomia em sítio femoral proximal e distal. Não foi observada progressão proximal ou distal do trombo. O procedimento foi realizado com bom refluxo, sem intercorrências adicionais.
Paciente admitida no Centro Cirúrgico em estado geral estável.
Início da cirurgia: 12h10
Término da cirurgia: 15h18
Durante o intraoperatório, evoluiu com sangramento em cavidade abdominal de difícil controle, sendo necessária a entrada do Cirurgião geral para auxílio cirúrgico. Realizada expansão volêmica com solução cristaloide associada à transfusão de 02 concentrados de hemácias, além de uso momentâneo de vasopressores. Foram coletados exames laboratoriais, nos quais foi diagnosticada acidose metabólica, prontamente tratada.
Em leito de SRPA, a paciente referiu retorno do bloqueio total do membro inferior direito, porém queixou-se de paresia em membro inferior esquerdo. Relata que, no intraoperatório, apresentou parestesia em membro inferior esquerdo em três episódios, associada a movimentos involuntários.
Ao exame físico:
Membro inferior esquerdo: cianótico, com temperatura fria
Membro inferior direito: sem alterações
Paciente nega outras queixas no momento.
Solicitada avaliação da cirurgia vascular. Após avaliação, foi indicado e realizado novo procedimento cirúrgico no mesmo dia, sendo optado por embolectomia em sítio femoral proximal e distal. Não houve progressão proximal ou distal do trombo. Procedimento realizado com embolectomia apresentando bom refluxo.</t>
  </si>
  <si>
    <t>Pia para Higienização das mãos de difícil acesso</t>
  </si>
  <si>
    <t>INC 1738 / 2026</t>
  </si>
  <si>
    <t>Durante visita de rotina, foi identificado na sala de medicação a presença de objetos obstruindo a pia destinada exclusivamente à higienização das mãos.
Tal situação compromete o acesso adequado ao ponto de higienização, configurando não conformidade com as boas práticas assistenciais e com as diretrizes de segurança do paciente, além de representar risco potencial para falhas na adesão à higienização das mãos ? medida essencial na prevenção de Infecções Relacionadas à Assistência à Saúde (IRAS).
Ressalta-se que as pias destinadas à higienização das mãos devem permanecer desobstruídas, de uso exclusivo para essa finalidade, com disponibilidade de insumos adequados (sabonete líquido, papel toalha), conforme protocolo institucional e recomendações vigentes.
Anteriormente a equipe já havia sido orientada quanto à necessidade de manter o local livre de quaisquer materiais ou objetos, sendo solicitada adequação imediata para garantir a segurança assistencial e a conformidade com as normas institucionais. Notifico para melhoria do processo.</t>
  </si>
  <si>
    <t>Criança na visita sem comunicado prévio</t>
  </si>
  <si>
    <t>INC 1739 / 2026</t>
  </si>
  <si>
    <t>Notifico o setor de Recepção por permitir a entrada de criança na enfermaria sem agendamento prévio com o Psicólogo e a Assistente Social da clínica, em desacordo com o fluxo institucional estabelecido.
Ressalta-se que o descumprimento do protocolo pode expor a criança em riscos assistenciais, além de comprometer a organização do atendimento multiprofissional e a segurança no ambiente hospitalar.
Solicita-se que as orientações e fluxos vigentes sejam rigorosamente seguidos, a fim de garantir a segurança do paciente e a qualidade da assistência prestada.</t>
  </si>
  <si>
    <t>LEITO 26 CG</t>
  </si>
  <si>
    <t>DEMORA NO TRANSPORTE PARA EXAME INTERNO</t>
  </si>
  <si>
    <t>INC 1740 / 2026</t>
  </si>
  <si>
    <t>Notifico o setor de Transporte Interno que a paciente encontra-se aguardando encaminhamento para realização de tomografia computadorizada (TC), exame previamente solicitado e comunicado tanto via rádio quanto no grupo institucional de transporte. Até o presente momento, não houve comparecimento da equipe para remoção, ocasionando atraso na realização do exame e possível impacto na condução clínica.
Solicita-se verificação imediata da demanda e providências para atendimento prioritário.</t>
  </si>
  <si>
    <t>17/03/2026</t>
  </si>
  <si>
    <t>leito 27 cg</t>
  </si>
  <si>
    <t>Falha nos cuidados com dispositivos</t>
  </si>
  <si>
    <t>INC 1741 / 2026</t>
  </si>
  <si>
    <t>Notifico o Centro Cirúrgico por encaminhar paciente à enfermaria sem curativo adequado, o mesmo encontra-se em uso de dreno cirúrgico, apresentando ausência de cobertura apropriada, o que ocasionou má higiene local e presença de sangue em pele e vestimentas. Tal ocorrência compromete os cuidados assistenciais, a segurança do paciente e o controle de infecção.</t>
  </si>
  <si>
    <t>Inconformidade no Posicionamento de Sonda Vesical de Demora em Paciente em Uso de Sulfato de Magnésio</t>
  </si>
  <si>
    <t>INC 1742 / 2026</t>
  </si>
  <si>
    <t>23/02/2026</t>
  </si>
  <si>
    <t>22/02/2026</t>
  </si>
  <si>
    <t>No dia 19/02/2026, deu entrada no Centro Cirúrgico paciente B.S.J (nº pront. 342093), proveniente do Pronto Atendimento Materno, para realização de cesariana de emergência devido quadro de pré-eclâmpsia, em uso de sulfato de magnésio em bomba de infusão contínua.
Conforme protocolos assistenciais vigentes, pacientes em uso de sulfato de magnésio devem permanecer sob monitorização rigorosa do débito urinário, sendo necessária a utilização de sonda vesical de demora devidamente instalada e funcionante, visando acompanhamento adequado da diurese e prevenção de possíveis complicações relacionadas à toxicidade medicamentosa.
Após a realização do procedimento cirúrgico, durante os cuidados assistenciais de rotina para organização em SRPA, a equipe do Centro Cirúrgico identificou que a sonda vesical de demora não se encontrava posicionada no canal uretral, estando exteriorizada e solta.
Em contato com a profissional de enfermagem do setor de origem, foi informado que o dispositivo havia sido previamente instalado, com insuflação do balonete com 10 mL de água destilada. Contudo, no momento da avaliação pela equipe do Centro Cirúrgico, constatou-se ausência de posicionamento adequado do dispositivo, impossibilitando o monitoramento do débito urinário conforme preconizado. 
Ressalta-se que a ausência de sonda vesical funcionante em paciente em uso de sulfato de magnésio pode comprometer a adequada monitorização clínica, aumentando o risco de atraso na identificação de sinais de toxicidade medicamentosa e outras complicações assistenciais.
Diante da inconformidade identificada, foram adotadas as medidas assistenciais necessárias para garantir a segurança da paciente. Sendo realizado cateterismo vesical de demora e observado retorno imediato da diurese, confirmando o posicionamento correto da sonda. Anexado identificação com as informações necessárias e preenchido budlle, conforme protocolo vigente.
Esta notificação tem como objetivo registrar a ocorrência e reforçar a importância do cumprimento dos protocolos assistenciais relacionados ao encaminhamento seguro de pacientes em uso de medicações de alto risco, visando segurança do paciente e continuidade adequada da assistência.</t>
  </si>
  <si>
    <t>06/03/2026</t>
  </si>
  <si>
    <t>SVPAM 01</t>
  </si>
  <si>
    <t xml:space="preserve"> Acidente com Material Biológico (Exposição Percutânea)</t>
  </si>
  <si>
    <t>INC 1743 / 2026</t>
  </si>
  <si>
    <t>O Núcleo de Vigilância Epidemiológica Hospitalar (NVEH) vem por meio deste NOTIFICAR a ocorrência de acidente com material biológico envolvendo interna de medicina durante atendimento no setor de Pronto Socorro.
Conforme relato, a profissional sofreu perfuração percutânea em dedo da mão durante procedimento de sutura, com exposição a sangue.
Foi realizada apenas limpeza e curativo local. Informado que houve solicitação de exames para o paciente-fonte; entretanto, não há registro da identificação do referido paciente que possibilite o acompanhamento e verificação dos resultados laboratoriais.
Destacamos ainda que, até o momento, não há registro de solicitação de exames sorológicos (HIV, HBsAg, Anti-HBs, Anti-HCV) para a profissional acidentada, tampouco prescrição de Profilaxia Pós-Exposição (PEP), conforme preconizado pelo Ministério da Saúde para acidentes com exposição percutânea a material biológico.
Diante do exposto, solicitamos:
? Identificação imediata do paciente-fonte e rastreabilidade dos exames realizados;
? Acompanhamento da paciente.
Ressaltamos que acidentes com material biológico configuram agravo de notificação compulsória e exigem seguimento conforme protocolo institucional.
Permanecemos à disposição para alinhamento do fluxo e reforço das orientações junto à equipe.</t>
  </si>
  <si>
    <t>Pronto socorro</t>
  </si>
  <si>
    <t>Acidente com Material Biológico (Exposição Percutânea)</t>
  </si>
  <si>
    <t>INC 1744 / 2026</t>
  </si>
  <si>
    <t>O Núcleo de Vigilância Epidemiológica Hospitalar (NVEH) vem por meio deste NOTIFICAR a ocorrência de acidente com material biológico envolvendo interna de medicina durante atendimento no setor de Pronto Socorro.
Conforme relato, a profissional ( interna de medicina) sofreu perfuração percutânea em dedo da mão durante procedimento de sutura, com exposição a sangue.
Foi realizada apenas limpeza e curativo local. Informado que houve solicitação de exames para o paciente-fonte; entretanto, não há registro da identificação do referido paciente que possibilite o acompanhamento e verificação dos resultados laboratoriais.
Destacamos ainda que, até o momento, não há registro de solicitação de exames sorológicos (HIV, HBsAg, Anti-HBs, Anti-HCV) para a profissional acidentada, tampouco prescrição de Profilaxia Pós-Exposição (PEP), conforme preconizado pelo Ministério da Saúde para acidentes com exposição percutânea a material biológico.
Diante do exposto, solicitamos:
? Identificação imediata do paciente-fonte e rastreabilidade dos exames realizados;
Acompanhamento da paciente</t>
  </si>
  <si>
    <t>Diretoria Clínica</t>
  </si>
  <si>
    <t>pronto socorro</t>
  </si>
  <si>
    <t xml:space="preserve">Màs condições de acesso venoso periférico </t>
  </si>
  <si>
    <t>INC 1745 / 2026</t>
  </si>
  <si>
    <t>No dia 21/02/2026, deu entrada para procedimento cirúrgico paciente R.D.M.S (nº pront. 320191), proveniente da Clínica de Internação Cirúrgica, apresentando acesso venoso periférico previamente instalado em membro superior.
Durante a admissão do paciente no setor, foi identificado pela equipe assistencial que o acesso venoso periférico encontrava-se com sangramento ativo no sítio de inserção, apresentando presença de sangue sob o curativo e ao redor do dispositivo, evidenciando inadequada estabilização e necessidade de avaliação prévia das condições do acesso antes da admissão para o procedimento cirúrgico.
Ressalta-se que dispositivos venosos periféricos em condições inadequadas podem aumentar o risco de perda do acesso, contaminação do sítio de inserção, extravasamento de soluções e infecção relacionada à assistência à saúde, além de comprometer a segurança assistencial durante o período anestésico-cirúrgico, especialmente em situações que demandem administração imediata de medicações ou intervenções emergenciais.
Diante da inconformidade identificada, foram adotadas as medidas assistenciais necessárias para garantir a manutenção de acesso venoso seguro e a continuidade adequada da assistência ao paciente.
Esta notificação tem como objetivo registrar a ocorrência e reforçar a importância da avaliação das condições dos dispositivos invasivos previamente à admissão do paciente para procedimento cirúrgico, visando segurança do paciente e qualidade da assistência prestada</t>
  </si>
  <si>
    <t>Clinica Cirúrgica</t>
  </si>
  <si>
    <t>Flebite e falha na passagem de plantão</t>
  </si>
  <si>
    <t>INC 1746 / 2026</t>
  </si>
  <si>
    <t>No plantão em questão, a colaboradora solicitou a passagem de plantão à beira leito, conforme orientação previamente estabelecida pela instituição. A técnica recusou-se a realizar a passagem. Posteriormente, a TEC Layla identificou que o acesso venoso do paciente A.G.S LEITO 29 encontrava-se flebitado desde o período noturno, situação que não havia sido comunicada.
A prática de passagem de plantão à beira leito já foi reiterada em outras ocasiões como obrigatória, justamente para garantir a continuidade da assistência, a segurança do paciente e a comunicação efetiva entre equipes.
O não cumprimento desse procedimento resultou em falha na identificação precoce da flebite, expondo o paciente a risco e comprometendo a qualidade do cuidado prestado</t>
  </si>
  <si>
    <t>ENF LEITO 29</t>
  </si>
  <si>
    <t>TRANSPORTE INTERNO INSEGURO DE PACIENTE PARA A UTI</t>
  </si>
  <si>
    <t>INC 1747 / 2026</t>
  </si>
  <si>
    <t>Vangela Vitelia Mendes Barroso</t>
  </si>
  <si>
    <t>Venho por meio desta registrar ocorrência referente à transferência de paciente da Clínica Médica para a UTI em estado grave, realizada sem monitorização contínua e com perda de acesso venoso durante o transporte.
Considerando o quadro clínico crítico, tais condições podem representar risco adicional ao paciente, especialmente quanto à estabilidade hemodinâmica e à possibilidade de intervenção imediata em intercorrências. Esta notificação tem caráter exclusivamente preventivo e educativo, visando:
Reforçar a importância da monitorização adequada durante transferências de pacientes graves; Garantir acesso venoso pérvio e seguro previamente ao transporte; Alinhar condutas entre as equipes assistenciais; Evitar futuras intercorrências e possíveis constrangimentos institucionais.
Solicito avaliação do ocorrido para que sejam adotadas, se necessário, medidas de melhoria nos fluxos e protocolos assistenciais.</t>
  </si>
  <si>
    <t xml:space="preserve">PACIENTE NÃO RECEBEU MEDICAÇÃO POR FALTA DE PRESCRIÇÃO MÉDICA </t>
  </si>
  <si>
    <t>INC 1748 / 2026</t>
  </si>
  <si>
    <t>Paciente internada na UTI fazendo uso de imunoglobulina como tratamento, durante 3 dias. 
A mesma teve prescrição da medicação dia 16/02/26, porém dia 17/02 não foi prescrito. 
Dia 18/02 foi prescrito como agora, porém em uma prescrição que só valeria a partir das 20h, e por isso também não foi feito.
Somente nos dias 19/02 e 20/02 que foi realizado, atrasando o tratamento da paciente.</t>
  </si>
  <si>
    <t xml:space="preserve">DESABASTECIMENTO DE MEDICAÇÃO NA FARMÁCIA SATÉLITE UTI </t>
  </si>
  <si>
    <t>INC 1749 / 2026</t>
  </si>
  <si>
    <t>NO DIA 23/02/2026 PACIENTE GRAVE NA UTI PRECISOU SER INTUBADO, E DURANTE O PROCEDIMENTO FOI NECESSÁRIO USO DE PROPOFOL, EQUIPE FOI BUSCAR NA FARMÁCIA SATÉLITE DA UTI E NÃO HAVIA A MEDICAÇÃO LÁ DISPONÍVEL 
PRECISANDO A EQUIPE AGUARDAR BUSCAR NA FARMÁCIA CENTRAL</t>
  </si>
  <si>
    <t>Não conforme em auditoria Transfusional</t>
  </si>
  <si>
    <t>INC 1750 / 2026</t>
  </si>
  <si>
    <t>Durante a auditoria do processo transfusional, não foram identificados registros em prontuário MV referentes à evolução de enfermagem relacionada ao ato transfusional. Ressalta-se que, embora tenha sido aberta a ficha de acompanhamento transfusional, esta não substitui o registro obrigatório da evolução de enfermagem em prontuário.
Adicionalmente, não foi registrado o horário de recebimento do hemocomponente.
Hemocomponentes envolvidos:
* Bolsa nº 2163353-3 - 02/01/2026
* Bolsa nº 2163466-1 - 01/01/2026</t>
  </si>
  <si>
    <t>Inconsistência nos registros assistenciais de hemotransfusão</t>
  </si>
  <si>
    <t>INC 1751 / 2026</t>
  </si>
  <si>
    <t>Durante a auditoria do processo transfusional, foi identificada evolução de enfermagem incompatível com o quadro clínico da paciente. Consta em prontuário que a paciente deu entrada nesta unidade em 05/01, com quadro de metrorragia persistente. Paciente admitida em Unidade de Curta Permanência em 05/01/26 com quadro de sangramento uterino anormal há cerca de 2 meses, com metrorragia contínua e fluxo intenso
Entretanto, na auditoria do prontuário, observou-se registro de evolução realizado por técnica de enfermagem descrevendo a paciente como se estivesse internada no CGO, acompanhada de recém-nascido, sem que haja qualquer relato de parto, transferência para o CGO ou evento obstétrico registrado durante a internação, caracterizando inconsistência nos registros assistenciais.</t>
  </si>
  <si>
    <t>Não conformidade em auditoria Tranfusional</t>
  </si>
  <si>
    <t>INC 1752 / 2026</t>
  </si>
  <si>
    <t>Durante a auditoria do processo transfusional, não foram identificados registros em prontuário MV referentes à evolução de enfermagem relacionada ao ato transfusional. E abertura de ficha de acompanhamento transfusional, impossibilitando a rastreabilidade do processo transfusional.</t>
  </si>
  <si>
    <t>Infusão de Concentrado Hemácias Realizada em Tempo Inferior ao Preconizado</t>
  </si>
  <si>
    <t>INC 1753 / 2026</t>
  </si>
  <si>
    <t>24/02/2026</t>
  </si>
  <si>
    <t>Durante auditoria assistencial, foi identificado que a bolsa de concentrado hemácias, foi administrada em tempo inferior a 1 hora. Conforme protocolos institucionais e recomendações hemoterápicas, a infusão deve respeitar tempo mínimo e máximo estabelecidos, visando segurança do paciente e prevenção de reações transfusionais.</t>
  </si>
  <si>
    <t xml:space="preserve">Não conformidade em Auditoria Transfusional </t>
  </si>
  <si>
    <t>INC 1754 / 2026</t>
  </si>
  <si>
    <t>Foi identificado que a bolsa de concentrado de hemácias (CH) foi administrada após 1 hora do seu recebimento na unidade, ultrapassando o tempo preconizado para início da transfusão após retirada da agência transfusional.
Conforme protocolos institucionais e recomendações em hemoterapia, a bolsa deve ser instalada em até 30 minutos após sua liberação, a fim de preservar a estabilidade do hemocomponente e reduzir risco de proliferação bacteriana e eventos adversos transfusionais.
A situação configura não conformidade relacionada à segurança do paciente, uma vez que o atraso pode comprometer a qualidade do hemocomponente e aumentar riscos assistenciais.</t>
  </si>
  <si>
    <t>INC 1755 / 2026</t>
  </si>
  <si>
    <t>Foi identificado que a bolsa de concentrado de hemácias (CH) foi administrada após 3h 8min do seu recebimento na unidade, ultrapassando o tempo preconizado para início da transfusão após retirada da agência transfusional.
Conforme protocolos institucionais e recomendações em hemoterapia, a bolsa deve ser instalada em até 30 minutos após sua liberação, a fim de preservar a estabilidade do hemocomponente e reduzir risco de proliferação bacteriana e eventos adversos transfusionais.
A situação configura não conformidade relacionada à segurança do paciente, uma vez que o atraso pode comprometer a qualidade do hemocomponente e aumentar riscos assistenciais.</t>
  </si>
  <si>
    <t>Falha no encaminhamento para diálise</t>
  </si>
  <si>
    <t>INC 1756 / 2026</t>
  </si>
  <si>
    <t>Aos 22 (vinte e dois) dias do mês de fevereiro de 2026, ocorreu um incidente envolvendo o paciente N.R.S., internado na Clínica Médica, leito 09, com indicação de terapia dialítica. Na ocasião, constatei que o protocolo institucional vigente não foi integralmente cumprido.
Destaco como ponto crítico o fato de o fluxo institucional referente a esse processo não estar formalmente estruturado, documentado e amplamente divulgado, bem como não ter sido realizado treinamento específico da equipe para sua aplicação. Ainda assim, observa-se a expectativa institucional de cumprimento integral do referido fluxo, o que, ao meu ver, pode impactar a segurança assistencial e a padronização das condutas.
Em relação às fragilidades identificadas, registro os seguintes pontos críticos:
Não foi realizada a devida ciência no grupo de interconsulta;
A equipe médica da UTI não foi comunicada, havendo contato apenas com a equipe de enfermagem;
Não ocorreu intervenção do NIR no processo de transferência interna;
Não houve acionamento do médico internista para acompanhamento durante o transporte, sendo essa prática apenas mencionada em reunião prévia, sem formalização anterior;
Ressalto que, teoricamente, o paciente não apresentava perfil para internação em UTI, tendo sido encaminhado ao Anexo exclusivamente para realização de diálise, com previsão de retorno ao setor de origem e seguiria aguardando vaga na CNP para realização de dialise na clinica.
No momento da transferência, o paciente apresentava os seguintes parâmetros clínicos:
Temperatura: 36,0°C
Frequência cardíaca: 87 bpm
Frequência respiratória: 20 irpm
Pressão arterial: 170x70 mmHg
Dextro: 126 mg/dL
SpO?: 94% em ar ambiente
__''Informo ainda que a equipe de enfermagem da Clínica Médica entrou em contato comigo para organizar e viabilizar a condução do paciente, incluindo o acionamento do maqueiro, que realizou o acompanhamento até o destino final, conforme rotina. Contudo, reconheço que houve uma falha sistêmica ao não se verificar previamente que as etapas iniciais do fluxo não haviam sido plenamente cumpridas, tendo sido dada continuidade apenas às atribuições operacionais relacionadas ao transporte do paciente até UTI/Anexo, conforme condução anteriores.''__</t>
  </si>
  <si>
    <t>leito 9</t>
  </si>
  <si>
    <t>INC 1757 / 2026</t>
  </si>
  <si>
    <t>Identificada a ausência de registro do horário de chegada da bolsa de Concentrado de Hemácias na Ficha de AcompanhamentoTransfusional institucional, em desacordo com o protocolo transfusional vigente. Tal registro é obrigatório para rastreabilidade, controle do tempo de armazenamento/uso e segurança do paciente.</t>
  </si>
  <si>
    <t>Não conformidade em Auditoria Transfusional</t>
  </si>
  <si>
    <t>INC 1758 / 2026</t>
  </si>
  <si>
    <t>Foi identificada ausência de registro do horário de término da transfusão de Concentrado de Hemácias em prontuário/evolução de enfermagem. Consta em evolução de enfermagem que a infusão ultrapassou o tempo máximo recomendado de 4 horas.
Em decorrência da extrapolação do tempo limite para infusão, os 140 mL remanescentes foram desprezados, conforme protocolo hemoterápico vigente, a fim de mitigar risco sanitário ao paciente.
Observa-se ainda que, na bolsa subsequente, ocorreu situação semelhante, sendo necessário verificar e registrar adequadamente a permeabilidade do acesso venoso, considerando possível comprometimento do fluxo (acesso não pérvio ou obstrução parcial).
incidentes identificados:
* Ausência de registro do horário de término da transfusão.
* Tempo de infusão superior ao recomendado (? 4 horas).
* Descarte de 140 mL de hemocomponente.
* Fragilidade na checagem e monitoramento da permeabilidade do acesso venoso.</t>
  </si>
  <si>
    <t>Janela de Trombólise Não Cumprida</t>
  </si>
  <si>
    <t>INC 1759 / 2026</t>
  </si>
  <si>
    <t>Paciente recebida por volta das 02:45h, com quadro suspeito de AVC. O Dr.  avaliou e prescreveu medicação para trombólise, a qual foi entregue pessoalmente na farmácia (enfo Cristóvão), informando tratar-se de medicação para trombolizar a paciente.
A equipe da farmácia informou que enviaria a solicitação para a farmacêutica para liberação. O atendimento foi continuado pela equipe assistencial, sendo aguardado a medicação para seguimento.
Posteriormente, foi informado que a medicação não havia sido liberada, pois estava pendente resposta da diretoria técnica para autorização (SIC EQUIPE DE PLANTÃO). Como consequência, a paciente perdeu a janela de tempo indicada para trombólise.</t>
  </si>
  <si>
    <t>INC 1760 / 2026</t>
  </si>
  <si>
    <t>Identificada ausência de preenchimento da ficha de acompanhamento transfusional referente à administração de Concentrado de Hemácias (CH).
Conforme evolução de enfermagem do dia subsequente, o paciente relatou ter recebido a bolsa de sangue. Consta em prontuário prescrição médica e solicitação formal do hemocomponente, porém não há registro da checagem, monitorização dos sinais vitais, horário de início e término da transfusão, tampouco registro de intercorrências na ficha específica de acompanhamento transfusional.
A transfusão de hemocomponentes exige registro completo e rastreável, conforme protocolos institucionais e normativas hemoterápicas vigentes. A ausência da ficha de acompanhamento configura falha documental grave, comprometendo:
* Rastreabilidade do hemocomponente
* Monitoramento de possíveis reações transfusionais
* Segurança do paciente
* Conformidade legal e sanitária
* Continuidade assistencial
Risco Potencial:
* Subnotificação de reação transfusional
* Impossibilidade de auditoria do procedimento
* Fragilidade jurídica e institucional</t>
  </si>
  <si>
    <t>UDC14</t>
  </si>
  <si>
    <t>Preenchimento tardio de ficha de acompanhamento transfusional</t>
  </si>
  <si>
    <t>INC 1761 / 2026</t>
  </si>
  <si>
    <t>Identificado que a ficha de acompanhamento transfusional referente à administração de hemocomponente foi preenchida somente dois dias após a realização da transfusão.
Conforme protocolo institucional e diretrizes de hemoterapia, o registro do acompanhamento transfusional deve ser realizado em tempo real, contemplando sinais vitais pré, durante e pós-transfusão, bem como possíveis reações adversas.
__Análise do Risco:__
O registro tardio compromete a rastreabilidade do processo transfusional, fragiliza a segurança do paciente e dificulta a identificação oportuna de reações transfusionais imediatas ou tardias, configurando não conformidade assistencial e documental.</t>
  </si>
  <si>
    <t>PS</t>
  </si>
  <si>
    <t xml:space="preserve">Oferta de água antes da avaliação fonoaudiologica </t>
  </si>
  <si>
    <t>INC 1762 / 2026</t>
  </si>
  <si>
    <t>Paciente do leito 09 submetida a extubação orotraqueal no dia 20/02/2026 pela manhã por volta de 10:30h e foi solicitado a oferta de água para a paciente pela médica plantonista cerca de 1h ou 2h depois da extubação
Não foi solicitado avaliação prévia da fonoaudiologia conforme protocolo institucional.</t>
  </si>
  <si>
    <t xml:space="preserve">Extubação acidental </t>
  </si>
  <si>
    <t>INC 1763 / 2026</t>
  </si>
  <si>
    <t>No dia 24/02/2026 paciente do leito 09 durante o banho pela manhã, a mesma estava com o cuf vazio e acabou sofrendo extubação acidental.</t>
  </si>
  <si>
    <t>DEMORA NO RECOLHIMENTO DE COLETA OCASIONANDO RECOLETA</t>
  </si>
  <si>
    <t>INC 1764 / 2026</t>
  </si>
  <si>
    <t>25/02/2026</t>
  </si>
  <si>
    <t>No dia 25/02/26, realizo coleta de sangue arterial da paciente RN L. S. P (341475), conforme solicitação médica. Aciono equipe do laboratório para realizar recolhimento da amostra às 09:15h. Realizadas 03 ligações para o setor até que às 10:04h técnica desceu a unidade para recolher. Solicitando nova coleta, pois amostra estava inviável.</t>
  </si>
  <si>
    <t>UCI</t>
  </si>
  <si>
    <t xml:space="preserve">OMISSÃO DE DOSE  ANFOTERICINA B LIPOSSOMAL </t>
  </si>
  <si>
    <t>INC 1765 / 2026</t>
  </si>
  <si>
    <t>PACIENTE M.M.S, CLÍNICA MÉDICA, INICIOU TRATAMENTO COM ANFOTERICINA B LIPOSSOMAL NO DIA  23/02/2026, D1/5, A DOSE QUE SERIA NO DIA 24/05/2026, D2/5, NÃO FOI REALIZADA.
ENTRADO EM CONTATO COM A SUPERVISÃO QUE INFORMOU, QUE A DOSE SERIA REALIZADA NO PERÍODO NOTURNO, PORÉM  A DOSE NÃO FOI RETIRADA DA FARMÁCIA CONFORME ORIENTAÇÃO E FLUXO ESTABELECIDO PARA DISPENSAÇÃO. 
VISTO QUE SE TRATA DE OMISSÃO DE DOSE, RESTRINGINDO A EFICÁCIA  TERAPÊUTICA  E  QUE IMPACTA  DIRETAMENTE NA SEGURANÇA DO PACIENTE.</t>
  </si>
  <si>
    <t>LCM 10</t>
  </si>
  <si>
    <t xml:space="preserve">Não conformidade em Auditoria Transfusonal </t>
  </si>
  <si>
    <t>INC 1766 / 2026</t>
  </si>
  <si>
    <t>Durante a análise do prontuário do paciente, T.V.N.R atendimento: 335370. dia 05/01/2026 Paciente lactente, 2 meses, admitido em pronto socorro com relato de apneia, hipoatividade, anúria e recusa alimentar. Após avaliação pediátrica, foi solicitada transfusão de Concentrado de Hemácias (32 ml).
Em análise auditorial, verificou-se que a prescrição médica e a indicação do hemocomponente estavam em conformidade com os critérios técnicos estabelecidos. Contudo, identificou-se ausência de registros de enfermagem referentes à chegada do hemocomponente na unidade, horário de início e término da transfusão, monitorização de sinais vitais, avaliação de possíveis reações transfusionais, evolução de enfermagem e preenchimento do formulário transfusional específico.
Consta apenas evolução médica relatando a realização da transfusão.</t>
  </si>
  <si>
    <t>sala vermelha - pronto socorro</t>
  </si>
  <si>
    <t>Paciente sem pulseira de identificação.</t>
  </si>
  <si>
    <t>INC 1767 / 2026</t>
  </si>
  <si>
    <t>Marlene Da Silva Oliveira</t>
  </si>
  <si>
    <t>RECEBI PACIENTE DO LEITO 13; D.R.DO A. NÚMERO DO PRONTUÁRIO: 1565502,  SEM PULSEIRA DE IDENTIFICAÇÃO.</t>
  </si>
  <si>
    <t>DIETA ENTERAL VENCIDA</t>
  </si>
  <si>
    <t>INC 1768 / 2026</t>
  </si>
  <si>
    <t>RECEBI PACIENTE F.DE .F.B. EM LEITO 25 DA CLINICA MÉDICA COM DIETA NASOENTERICA VENCIDA, E EQUIPOS SEM IDENTIFICAÇÃO,A MESMA TINHA SIDO INSTALADA DIA 23/02, AS 06;00 HS DA MANHA, DEVERIA TER SIDO TROCADA DIA 24/02/26 AS 06:00HS,REALIZADO A TROCA DIA 25/02.APOS RECEBIMENTO DE PLANTÃO.</t>
  </si>
  <si>
    <t>25</t>
  </si>
  <si>
    <t>Falha no cuidado com dispositivos</t>
  </si>
  <si>
    <t>INC 1769 / 2026</t>
  </si>
  <si>
    <t>Durante visita de rotina ao setor da observação, foi identificado paciente em uso de Cateter Venoso Central (CVC) apresentando curativo inadequadamente fixado, deixando o óstio de inserção totalmente exposto. Tal condição compromete a barreira de proteção do sítio de inserção, aumentando o risco de contaminação e de Infecção Relacionada à Assistência à Saúde (IRAS), especialmente infecção primária de corrente sanguínea (IPCS). Notifico para melhoria do processo.</t>
  </si>
  <si>
    <t>FALHA NAS MEDIDAS DE PRECAUÇÃO DE CONTATO</t>
  </si>
  <si>
    <t>INC 1770 / 2026</t>
  </si>
  <si>
    <t>Durante visita de rotina ao setor da observação, foi identificado paciente em precaução de contato devido à presença de Acinetobacter baumannii em aspirado traqueal apresentando perfil de resistência aos antimicrobianos. No entanto, constatou-se ausência de sinalização adequada no leito, bem como indisponibilidade de Equipamentos de Proteção Individual (EPI) em local de fácil acesso nas proximidades do paciente. Notifico para melhoria do processo.</t>
  </si>
  <si>
    <t>Falha nos cuidados com AVP</t>
  </si>
  <si>
    <t>INC 1771 / 2026</t>
  </si>
  <si>
    <t>Durante visita de rotina ao setor de observação, foi identificado paciente em uso de acesso venoso periférico com curativo de filme transparente inadequadamente aplicado, deixando o óstio de inserção exposto, comprometendo a adequada cobertura e fixação do dispositivo. Favorecendo risco de contaminação do sítio de punção, deslocamento do cateter e ocorrência de eventos adversos, como flebite, infiltração ou infecção relacionada à assistência à saúde (IRAS). Notifico para melhoria do processo.</t>
  </si>
  <si>
    <t>Incidente Relacionado à Fixação de CVC em Recém-Nascido</t>
  </si>
  <si>
    <t>INC 1772 / 2026</t>
  </si>
  <si>
    <t>No dia 25/02/2026, durante visita à Unidade de Cuidados Intermediários (UCI), foi identificado que um recém-nascido (RN) apresentava Cateter Venoso Central (CVC) inserido em região axilar, com fixação realizada por meio de duas asas ("borboletas") do dispositivo, as quais estavam suturas diretamente na pele do paciente. Ao avaliar, constatou-se que as suturas transfixavam  a região próxima ao óstio do cateter e área proximal à fossa antecubital,  abrangendo extensão maior do que a necessária. Ressalta-se que, embora o cateter deva ser suturado para garantir estabilidade, a fixação deve ser restrita apenas à área essencial, evitando transfixação extensa. Essa conduta inadequada aumenta o risco de lesões cutâneas, dor, hematomas e comprometimento perfusional, especialmente em recém-nascidos, cuja pele é extremamente delicada e sensível.
O procedimento  foi realizado pelo Dr. V. D. N, cuja conduta inadequada resultou em exposição do RN a alguns riscos, incluindo lesão cutânea, hematoma, edema local, dor e sofrimento, podendo resultar em comprometimento perfusional do membro, infecção local ou sistêmica, além de configurar não conformidade com os protocolos institucionais de segurança do paciente. A conduta corretiva imediata foi realizada pela médica plantonista, Dra. Mara, que procedeu à correção adequada da fixação do CVC, garantindo estabilidade do cateter e preservando a integridade cutânea do paciente.
Esta notificação está sendo formalizada com o objetivo de documentar o evento e implementar medidas preventivas, visando evitar a recorrência de episódios semelhantes e fortalecer a segurança do paciente.</t>
  </si>
  <si>
    <t xml:space="preserve">Óbito por sepse </t>
  </si>
  <si>
    <t>INC 1773 / 2026</t>
  </si>
  <si>
    <t>PACIENTE E.D.S.S DE 45 ANOS, INTERNADO NO HGP PARA PROCEDIMENTO CIRURGICO ELETIVO DE COLECISTECTOMI CID DE ADMISSÃO K80 - COLELITIASE, O MESMO FOI INTERNADO DIA 19/02/2026 SUBMETIFDO AO PROCEDIMENTO CIRURGICO NO DIA 20/02
EVOLUIU AO ÓBITO COM SUSPEITA DE SESPSE DE FOCO ABDOMINAL NA UTI NO DIA 25/05/2026</t>
  </si>
  <si>
    <t xml:space="preserve">EXTUBAÇÃO ACIDENTAL </t>
  </si>
  <si>
    <t>INC 1774 / 2026</t>
  </si>
  <si>
    <t>PACIENTE DA UTI LEITO 08 D.    SE EXTUBOU NO PLANTÃO NOTURNO DO DIA 19/02/2026
A MESMA ESTAVA EM DESMAME DE SEDAÇÃO E RETIROU O TOT E SNE</t>
  </si>
  <si>
    <t xml:space="preserve">DESABASTECIMENTO DA FARMÁCIA </t>
  </si>
  <si>
    <t>INC 1775 / 2026</t>
  </si>
  <si>
    <t>PACIENTE DO LEITO 06 E.D.S.S FOI SUBMETIDO A PUNÇÃO DE PAI NA FEMURAL ESQUERDA, FOI SOLICITADO PARA A FARMÁCIA O CATETER MONO LUMEM , PORÉM NÃO HAVIA DISPONÍVEL NA FARMÁCIA
E POR ISSO FOI PRECISO UTILIZAR O DUPLO LUMEM E BLOQUEAR UMA DAS VIAS</t>
  </si>
  <si>
    <t xml:space="preserve">DEMORA DA DISPENSAÇÃO DE MEDICAÇÕES PARA UTI </t>
  </si>
  <si>
    <t>INC 1776 / 2026</t>
  </si>
  <si>
    <t>NO DIA 24/02/26 POR VOLTA DE 19H FOI SOLICITADO MEDICAÇÃO PARA A INTUBAÇÃO DO PACIENTE DO LEITO 02 F.A.R., MÉDICO PRECISAVA DE KETAMINA E ROCURONIO
NO ENTANTO OCORREU DEMORA NA DISPENSAÇÃO DA MEDICAÇÃO, QUE SÓ FOI DISPENSADA POR VOLTA DE 19:30H  - 19:40H APÓS INSISTENCIA DA ENFERMEIRA 
EQUIPE DA FARMÁCIA ALEGAVA QUE ESTAVAM AGUARDANDO EQUIPE DO NOTURNO PARA A TROCA DE PLANTÃO</t>
  </si>
  <si>
    <t>INC 1777 / 2026</t>
  </si>
  <si>
    <t>- No dia 19/01/2026 foi prescrito Concentrado de Hemácias para o paciente, conforme indicação clínica registrada em prontuário. No momento da auditoria do processo transfusional, identificou-se a ausência do registro do horário de recebimento do hemocomponente na Ficha de Acompanhamento Transfusional pelo enfermeiro responsável do setor. A confirmação do recebimento do hemocomponente somente foi possível devido ao registro de entrega devidamente realizado pela Agência Transfusional, o que permitiu verificar o horário.
Destaca-se que a ausência desse registro na ficha compromete:
* O controle do tempo entre a liberação, o recebimento e a instalação;
* A conformidade com protocolos institucionais e normativas vigentes;
* A segurança do paciente;
* O respaldo legal da assistência prestada.
O preenchimento completo e imediato da Ficha de Acompanhamento Transfusional é etapa obrigatória do processo, sendo fundamental para garantir segurança, qualidade assistencial e conformidade regulatória.</t>
  </si>
  <si>
    <t>VUCIN 01</t>
  </si>
  <si>
    <t>Incidente relacionado à não administração de dose prescrita de Anfotericina B Lipossomal, com atraso de 24h na continuidade do esquema terapêutico.</t>
  </si>
  <si>
    <t>INC 1778 / 2026</t>
  </si>
  <si>
    <t>Venho por meio desta formalizar notificação de INCIDENTE ASSISTENCIAL referente à não administração de medicamento prescrito, conforme descrito abaixo:
Paciente idoso, apresentando plaquetopenia, com indicação de tratamento imediato com Anfotericina B Lipossomal, medicamento de alto risco e uso hospitalar.
23/02/2026
Prescrição médica: Anfotericina B Lipossomal - início imediato (D1/5)
Administração realizada às 22:00 horas.
24/02/2026
Prescrição médica: D2/5, programado para 20:00 horas.
Dose não administrada pela equipe de enfermagem, sem registro de justificativa em prontuário até o momento da verificação.
25/02/2026
Realizado D2/5, configurando atraso aproximado de 24 horas na continuidade do esquema terapêutico.
A não administração de dose prescrita configura falha no processo de medicação, sendo considerada incidente segundo definições da Organização Mundial da Saúde e do Programa Nacional de Segurança do Paciente.</t>
  </si>
  <si>
    <t>nao conformidade do paciente.</t>
  </si>
  <si>
    <t>INC 1779 / 2026</t>
  </si>
  <si>
    <t>Francisca Rafaela de Lacerda</t>
  </si>
  <si>
    <t>No DIA 26/02/2026 paciente C.L.S veio da PAM para o centro cirúrgico para realizar procedimento com o obstetra, durante check list de cirurgia Segura, evidenciado que a mesma estava em uso de sua prótese dentaria, fato que compromete diretamente a segurança do paciente. realizado notificação para melhora do setor e segurança do paciente.</t>
  </si>
  <si>
    <t>C.C</t>
  </si>
  <si>
    <t xml:space="preserve">Administração indevida de Fórmula Infantil </t>
  </si>
  <si>
    <t>INC 1780 / 2026</t>
  </si>
  <si>
    <t>Gerência de Cuidados Materno/Infantil / Banco de Leite</t>
  </si>
  <si>
    <t>Venho por meio desta notificar ocorrência relacionada à dieta da RN de A.F.S, internada há 19 dias na UCI- Unidade de Cuidados Intermediários.
A dieta prescrita pela médica a RN foi Leite Humano Ordenhado Cru (LHOC) com adição do fortificante FM 85, considerando a necessidade de maior aporte calórico, proteico e de minerais, superior ao que a fórmula infantil isoladamente oferece.
A Técnica e a RT do Banco de Leite Humano (BLH) dirigiram-se à unidade para realizar a manipulação do fortificante no leite humano, com objetivo de oferta imediata à RN. Entretanto, no momento da manipulação, foi constatado que a técnica responsável pela RN já havia administrado fórmula infantil.
Ressalta-se que a RT do BLH e a enfermeira do plantão haviam comunicado previamente à técnica responsável que a próxima mamada deveria ser administrada com o leite humano acrescido do fortificante, conforme prescrição médica, considerando a necessidade nutricional específica da RN.
Destaca-se ainda que a mãe apresenta dificuldade na produção de leite materno, sendo o volume ordenhado para o referido horário limitado. Em virtude da administração prévia da fórmula infantil, o leite humano ordenhado para aquele momento foi desprezado, ocasionando prejuízo ao suporte nutricional planejado para a RN.
A presente notificação tem como finalidade registrar o ocorrido e reforçar a importância da conferência prévia das prescrições vigentes, bem como do alinhamento entre equipe assistencial e Banco de Leite, a fim de garantir a adequada execução da terapia nutricional prescrita e evitar perdas de leite materno e prejuízos nutricionais aos recém nascidos.</t>
  </si>
  <si>
    <t>Banco de Leite</t>
  </si>
  <si>
    <t>Não conformidades nas práticas de segurança do paciente.</t>
  </si>
  <si>
    <t>INC 1781 / 2026</t>
  </si>
  <si>
    <t>27/02/2026</t>
  </si>
  <si>
    <t>Durante ronda realizada pelo Núcleo de Segurança do Paciente, foi identificado que pacientes encaminhados para procedimento cirúrgico não apresentavam registro de avaliação pré-anestésica em prontuário.
Iniciais:  Z.T.B.L - Prontuário: 185460
Iniciais: M.F.M. - Prontuário: 340372 
Iniciais: RPSC - Prontuário293594
Iniciais:  AGS - Prontuário: 172916
Iniciais:  ACS - Prontuário: 263720
Iniciais: K.E.B.A - Prontuário: 316494
Iniciais: PAS - Prontuário:340953
Iniciais:BNLS - Prontuário: 337886
Iniciais: CMS - Prontuário: 329736
Iniciais:LERM - Prontuário: 340269
Iniciais:  VFS - Prontuário: 274788
Iniciais: NJRC - Prontuário: 323891
Iniciais: AKAL - Prontuário: 328114
Iniciais: DPS - Prontuário: 339836
Iniciais: EMS - Prontuário: 196457
Iniciais: AMPS - Prontuário: 340306
Iniciais: MDC - Prontuário: 310334
Iniciais: MFS - Prontuário: 334430
Iniciais: WMF - Prontuário: 227808
Iniciais: MIS - Prontuário: 164396
Iniciais: RSA - Prontuário: 239392
Iniciais:  MSCS - Prontuário: 195175
Iniciais: RMSA - Prontuário: 319434
Iniciais: FCS - Prontuário:242022
Iniciais:LHSS - Prontuário:342044
Iniciais: RNSAF - Prontuário: 282980
Iniciais: RCR - Prontuário: 336624</t>
  </si>
  <si>
    <t xml:space="preserve">Não conformidades nas práticas de segurança do paciente - Materiais vencidos </t>
  </si>
  <si>
    <t>INC 1782 / 2026</t>
  </si>
  <si>
    <t>Durante ronda realizada pelo Núcleo de Segurança do Paciente, constatou-se que os materiais necessários encontravam-se com o prazo de esterilização vencido.</t>
  </si>
  <si>
    <t>Não conformidades nas práticas de segurança do paciente - Não realizado conferência do carrinho anestésico</t>
  </si>
  <si>
    <t>INC 1783 / 2026</t>
  </si>
  <si>
    <t>Durante ronda realizada pelo Núcleo de Segurança do Paciente, foi identificado que não foi realizada a conferência do funcionamento do equipamento anestésico antes da entrada do paciente na sala operatória.
Iniciais:LERM - Prontuário: 340269
Iniciais: NJRC - Prontuário: 323891
Iniciais: DPS - Prontuário: 339836
Iniciais: EMS - Prontuário: 196457
Iniciais: AMPS - Prontuário: 340306
Iniciais: MDC - Prontuário: 310334</t>
  </si>
  <si>
    <t>09/03/2026</t>
  </si>
  <si>
    <t>Não conformidades nas práticas de segurança do paciente. - Pacientes Sem Pulseira de Identificação</t>
  </si>
  <si>
    <t>INC 1784 / 2026</t>
  </si>
  <si>
    <t>Durante ronda realizada pelo Núcleo de Segurança do Paciente, foi identificado paciente no Centro Cirúrgico sem pulseira de identificação.</t>
  </si>
  <si>
    <t>Não conformidades nas práticas de segurança do paciente - Não houve confirmação verbal do "Time Out" cirúrgico</t>
  </si>
  <si>
    <t>INC 1785 / 2026</t>
  </si>
  <si>
    <t>Durante ronda realizada pelo Núcleo de Segurança do Paciente, foi identificado que não houve confirmação verbal do "Time Out" pelo cirurgião, anestesiologista e equipe de enfermagem antes do início do procedimento.
Iniciais:LHSS - Prontuário:342044
Iniciais: RNSAF - Prontuário: 282980
Iniciais:LERM - Prontuário: 340269
Iniciais: NJRC - Prontuário: 323891</t>
  </si>
  <si>
    <t>Não conformidades nas práticas de segurança do paciente - Ausência de conferência da identificação de paciente</t>
  </si>
  <si>
    <t>INC 1786 / 2026</t>
  </si>
  <si>
    <t>Durante ronda realizada pelo Núcleo de Segurança do Paciente, constatou-se, conforme relato do paciente, a ausência de conferência da identificação (nome completo e data de nascimento) pelos colaboradores antes da realização de intervenções diagnósticas, terapêuticas, administração de medicamentos ou entrega de dieta.
Iniciais: GRS - Prontuário: 231568
Iniciais: AKCR- Prontuário: 340372
Iniciais: JJAA - Prontuário: 326284
Iniciais: TCS- Prontuário: 342564
Iniciais: JSM- Prontuário: 309521</t>
  </si>
  <si>
    <t>Não conformidades nas práticas de segurança do paciente - Falha na orientação de paciente quanto ao uso da identificaação</t>
  </si>
  <si>
    <t>INC 1787 / 2026</t>
  </si>
  <si>
    <t>Durante ronda realizada pelo Núcleo de Segurança do Paciente, foi identificado, que o paciente e seus acompanhantes/familiares responsáveis não estão devidamente orientados quanto ao motivo e à importância do uso da pulseira de identificação.
Iniciais: AKCR- Prontuário: 340372
Iniciais: JJAA - Prontuário: 326284
Iniciais: TCS- Prontuário: 342564</t>
  </si>
  <si>
    <t>Não conformidades nas práticas de segurança do paciente - Falha na identificação de dietas</t>
  </si>
  <si>
    <t>INC 1788 / 2026</t>
  </si>
  <si>
    <t>Durante ronda realizada pelo Núcleo de Segurança do Paciente, foi identificado que a identificação das dietas oferecidas não possui os indicadores descritos no protocolo de Segurança do Paciente.
Iniciais: GRS - Prontuário: 231568
Iniciais: AKCR- Prontuário: 340372
Iniciais: JJAA - Prontuário: 326284
Iniciais: TCS- Prontuário: 342564</t>
  </si>
  <si>
    <t>Esparadrapo excessivamente apertado - Risco de lesão de pele</t>
  </si>
  <si>
    <t>INC 1789 / 2026</t>
  </si>
  <si>
    <t>Durante ronda realizada pelo Núcleo de Segurança do Paciente, foi identificado paciente com esparadrapo excessivamente apertado, podendo comprometer a integridade da pele, causando desconforto na paciente.</t>
  </si>
  <si>
    <t>FALTA DE MEDICAÇÃO DE URGÊNCIA NA UTI</t>
  </si>
  <si>
    <t>INC 1790 / 2026</t>
  </si>
  <si>
    <t>No dia 27 de fevereiro de 2026, durante atendimento a paciente internado na UTI com instabilidade hemodinâmica, houve prescrição e solicitação em caráter de urgência da medicação Vasopressina.
Ao dirigir-se à farmácia satélite da UTI para retirada imediata do medicamento, a equipe foi informada de que não havia estoque disponível na unidade, sob a justificativa de que tal medicação somente é enviada à farmácia da UTI quando já está em uso por algum paciente.
A ausência do medicamento no estoque local ocasionou atraso na administração da droga vasoativa, podendo comprometer a segurança e a estabilidade clínica do paciente, considerando tratar-se de medicação essencial em situações críticas.</t>
  </si>
  <si>
    <t>Falta de material padronizado na farmácia da UTI - Capa de proteção estéril para vídeo em procedimento invasivo (PAI)</t>
  </si>
  <si>
    <t>INC 1791 / 2026</t>
  </si>
  <si>
    <t>No dia 26/02/2026, durante a preparação para realização de Procedimento Invasivo (PAI) em paciente internado na UTI, o qual necessitava de verificação precisa da pressão média, foi identificada a ausência de capa de proteção estéril para vídeo na farmácia da UTI.
Ressalta-se que o referido material é indispensável para a execução segura do procedimento, uma vez que se trata de intervenção invasiva que exige técnica estéril rigorosa e extrema precisão. A ausência do material ocasionou atraso na realização da punção, sendo necessário deslocamento até o Centro Cirúrgico (CC) para obtenção da capa estéril adequada. Salienta-se que não é a primeira vez que ocorre a indisponibilidade desse insumo na farmácia da UTI, configurando recorrência do problema. Devido isso foi observado que tivemos atraso na execução do procedimento invasivo; Potencial risco à segurança do paciente; Deslocamento adicional da equipe assistencial; Possível comprometimento da dinâmica e agilidade do atendimento.
Diante do exposto, solicita-se avaliação da possibilidade de padronização e disponibilização contínua da capa de proteção estéril para vídeo na farmácia da UTI, a fim de garantir segurança assistencial, evitar atrasos em procedimentos invasivos e reduzir riscos ao paciente.</t>
  </si>
  <si>
    <t>Indisponibilidade de soluções para assistência odontológica</t>
  </si>
  <si>
    <t>INC 1792 / 2026</t>
  </si>
  <si>
    <t>Venho por meio desta formalizar notificação referente a ocorrência registrada em 26/02/2026. Na presente data, a odontóloga dirigiu-se à farmácia para retirar os materiais solicitados previamente (clorexidina para higiene bucal), considerando que as prescrições são rotineiramente entregues com um dia de antecedência para organização e disponibilização dos insumos no período da manhã, antes da realização dos procedimentos. Entretanto, ao comparecer para retirada, foi informada de que as medicações não estavam disponíveis. Ao verificar a situação, constatou-se que as prescrições entregues anteriormente não foram localizadas, havendo extravio das mesmas. Ressalta-se que a própria profissional realiza a entrega física das prescrições na farmácia. O ocorrido gerou retrabalho, atraso na rotina e risco potencial de comprometimento da assistência. Diante do exposto, notifico o ocorrido com a finalidade de: Evitar falhas no fluxo de recebimento de prescrições; Reduzir retrabalho e atrasos nos atendimentos; Garantir segurança e rastreabilidade documental; Assegurar a disponibilidade prévia das medicações para os procedimentos.
Orientação:
Fica estabelecido que, a partir desta data, todas as prescrições entregues à farmácia deverão ser protocoladas no ato da entrega, com registro de data, horário e assinatura do responsável pelo recebimento, garantindo controle formal e rastreabilidade.
Solicita-se que os setores envolvidos reforcem o cumprimento do fluxo adequado para recebimento e arquivamento das prescrições.</t>
  </si>
  <si>
    <t xml:space="preserve">Falha no cuidado com dispositivos </t>
  </si>
  <si>
    <t>INC 1793 / 2026</t>
  </si>
  <si>
    <t>Paciente admitido na Clínica Médica, proveniente do Centro Cirúrgico, no período da tarde de ontem, apresentando curativo cirúrgico pós-operatório de TQT sujo, úmido e saturado, com presença de exsudato visível externamente, comprometendo a integridade da cobertura e a segurança do sítio cirúrgico.
Ressalta-se que curativos cirúrgicos saturados devem ser avaliados e trocados ainda no Centro Cirúrgico, antes do encaminhamento à unidade de internação, a fim de:
* Reduzir risco de infecção de sítio cirúrgico (ISC);
* Evitar contaminação cruzada durante o transporte;
* Garantir segurança e conforto ao paciente;
* Manter boas práticas assistenciais e conformidade com protocolos institucionais.
Solicitado reforço junto à supervisão do CC quanto à checagem das condições do curativo no momento da alta da SRPA/CC, assegurando que o paciente seja encaminhado à unidade com cobertura íntegra, limpa e seca.</t>
  </si>
  <si>
    <t>Centro Cirúrgico, identificado pelas enfermeiras da CM</t>
  </si>
  <si>
    <t>Não conformidades nas práticas de segurança do paciente - Paciente Sem Pulseira de alergia</t>
  </si>
  <si>
    <t>INC 1794 / 2026</t>
  </si>
  <si>
    <t>Durante ronda realizada pelo Núcleo de Segurança do Paciente, foi identificado paciente na Clinica Médica sem pulseira de alergia.</t>
  </si>
  <si>
    <t>Não conformidades as práticas de segurança do paciente - Paciente sem colchão Pneumático</t>
  </si>
  <si>
    <t>INC 1795 / 2026</t>
  </si>
  <si>
    <t>Durante ronda realizada pelo Núcleo de Segurança do Paciente, foi identificado paciente acamados sem colocação de colchão Pneumático
Iniciais: NRS   Prontuário: 22659
Iniciais: JMB   Prontuário: 260146
Iniciais: RNNR   Prontuário: 166683
Iniciais: FRS   Prontuário: 343106</t>
  </si>
  <si>
    <t>Não conformidades nas práticas de segurança do paciente - Falha na orientação de pacientes quanto ao uso da identificação.</t>
  </si>
  <si>
    <t>INC 1796 / 2026</t>
  </si>
  <si>
    <t>Durante ronda realizada pelo Núcleo de Segurança do Paciente, foi identificado, que o paciente e seus acompanhantes/familiares responsáveis não estão devidamente orientados quanto ao motivo e à importância do uso da pulseira de identificação.
Iniciais: MCLS- Prontuário: 217016
Iniciais: JDS- Prontuário: 342527
Iniciais: LGSM- Prontuário: 342795
Iniciais: FAS- Prontuário: 342855</t>
  </si>
  <si>
    <t>ISC FEVEREIRO 2026</t>
  </si>
  <si>
    <t>INC 1797 / 2026</t>
  </si>
  <si>
    <t>14/01 PCT SOFREU ACIDNETE DE MOTO COM TRAUMA EM PUNHO DIR. RX PUNHO DIR: FX DO RADIO DISTAL. CD: INTERNAÇÃO PARA CIRURGIA + EXAMES PRE OP. 15/01 PACIENTE NO PÓS-OP IMEDIATO DE FX DO RÁDIO DISTAL DIREITO. ESTÁVEL. SEGUE PARA RPA. DR. MIQUÉIAS LEITE. 16/01 - 1 DPO DE OSTEOSSINTESE DA FRATURA EM PUNHO DIR. PCT EVOLUI SEM INTERCORRENCIAS ORTOPÉDICAS. RX CONTROLE OK. CD: ALTA HOSPITALAR. ATB CEFALEXINA POR 10 DIAS. 06/02 ORTOTRAUMA-AMB. RX - FRATURA BEM REDUZIDA, SINTESE NORMOPOSICIONADA, SEM SOLTURAS. EF -SEM SINAIS DE INFECÇÃO. CD: RETORNO 3 SEMANAS RX SEM TALA E RMS. 11/02 PACIENTE VEM AO ATENDIMENTO APRESENTANDO SAIDA DE SECREÇÃO PURULENTA DE INCISÃO CIRURGICA; RELATA CIRURGIA HÁ 1 MÊS, RELATA CLINICA HÁ 8 DIAS ASSOCIADO A FEBRE HÁ 2 DIAS. REAVALIAÇÃO: REAVALIO PACIENTE APÓ EXAMES. LAB : LEUCO:12 MIL/PCR: 36. DISCUTO CASO COM ESPECIALISTA, DR. LUIZ CATILHO QUE ORIENTA PRESCRIÇÃO DE ANTIMICROBIANO E ENCAMINHAMENTO PARA AMBULATORIO AMANHA. ATB  CEFALEXINA POR 7 DIAS. NO MESMO DIA 11/02 ORTOTRAUMA-AMB: RX - FRATURA BEM REDUZIDA, SINTESE NORMOPOSICIONADA, SEM SOLTURAS. EF: POUCA SECREÇÃO EM FIO DE KIRSCHNER. ATB CIPROFLOXACINO 7. CD: RMS. LIBERO FST. RETORNO 30 DIAS. FECHOU - ISC INCISIONAL SUPERFICIAL (IS).</t>
  </si>
  <si>
    <t xml:space="preserve">Não conformidades nas práticas de segurança do paciente. - Paciente sem pulseira de identificação </t>
  </si>
  <si>
    <t>INC 1798 / 2026</t>
  </si>
  <si>
    <t>Durante ronda realizada pelo Núcleo de Segurança do Paciente, foi identificado paciente sem uso da pulseira de identificação.
Iniciais: ISC Prontuario: 313774
Iniciais: GLS Prontuario: 267523</t>
  </si>
  <si>
    <t xml:space="preserve">Não conformidades nas práticas de segurança do paciente. -  Paciente sem pulseira de Identificação </t>
  </si>
  <si>
    <t>INC 1799 / 2026</t>
  </si>
  <si>
    <t>Durante ronda realizada pelo Núcleo de Segurança do Paciente, foi identificado paciente sem uso da pulseira de identificação.
Iniciais:         Prontuario:</t>
  </si>
  <si>
    <t>Não conformidades nas práticas de segurança do paciente. - Paciente sem pulseira de Identificação</t>
  </si>
  <si>
    <t>INC 1800 / 2026</t>
  </si>
  <si>
    <t>Durante ronda realizada pelo Núcleo de Segurança do Paciente, foi identificado paciente sem uso da pulseira de identificação.
Iniciais: Prontuario:</t>
  </si>
  <si>
    <t xml:space="preserve">Não conformidades nas práticas de segurança do paciente. - Paciente sem pulseira de Identificação </t>
  </si>
  <si>
    <t>INC 1801 / 2026</t>
  </si>
  <si>
    <t>Durante ronda realizada pelo Núcleo de Segurança do Paciente, foi identificado paciente sem pulseira de identificação
RNVDR	166683
MCLSS	217016     
MCLP	342301
MRRS	299154
JDDS	335027
FMDS	288216</t>
  </si>
  <si>
    <t>INC 1802 / 2026</t>
  </si>
  <si>
    <t>Durante ronda realizada pelo Núcleo de Segurança do Paciente, foi identificado paciente</t>
  </si>
  <si>
    <t>INC 1803 / 2026</t>
  </si>
  <si>
    <t>Durante ronda realizada pelo Núcleo de Segurança do Paciente, foi identificado 
Iniciais: Prontuario:</t>
  </si>
  <si>
    <t>INC 1804 / 2026</t>
  </si>
  <si>
    <t>Durante ronda realizada pelo Núcleo de Segurança do Paciente, foi identificado
Iniciais: Prontuario:</t>
  </si>
  <si>
    <t>INC 1805 / 2026</t>
  </si>
  <si>
    <t>Durante ronda realizada pelo Núcleo de Segurança do Paciente, foi identificado paciente sem etiqueta de identificação 
Iniciais: Prontuario:
EMSS	336459
RNGC	158383
DNS 	186331
YLC         162801
HCDS	261899</t>
  </si>
  <si>
    <t>10/03/2026</t>
  </si>
  <si>
    <t>INC 1806 / 2026</t>
  </si>
  <si>
    <t>Durante ronda realizada pelo Núcleo de Segurança do Paciente, foi identificado Paciente sempulseira de Identificação
Iniciais: Prontuario:
ADSS	178537
JLL	        318543</t>
  </si>
  <si>
    <t>Não conformidades nas práticas de segurança do paciente. - Falha na orientação ao paciente e acompanhante</t>
  </si>
  <si>
    <t>INC 1807 / 2026</t>
  </si>
  <si>
    <t>Durante ronda realizada pelo Núcleo de Segurança do Paciente, foi identificado que não há evidências de que o paciente e/ou acompanhante tenham sido orientados quanto ao tratamento e às demais orientações pertinentes à assistência.
Iniciais: Prontuario:
MMS	188791
MNGP	341804
PKBA	279042
MRCV  	188663</t>
  </si>
  <si>
    <t>Não conformidades nas práticas de segurança do paciente. - META 03</t>
  </si>
  <si>
    <t>INC 1808 / 2026</t>
  </si>
  <si>
    <t>Não conformidades nas práticas de segurança do paciente. - META 06 LPP</t>
  </si>
  <si>
    <t>INC 1809 / 2026</t>
  </si>
  <si>
    <t>Durante ronda realizada pelo Núcleo de Segurança do Paciente, foi identificado  Iniciais: Prontuario:</t>
  </si>
  <si>
    <t xml:space="preserve">Não conformidades nas práticas de segurança do paciente. - Falha na avaliação do risco de Queda </t>
  </si>
  <si>
    <t>INC 1810 / 2026</t>
  </si>
  <si>
    <t>Durante ronda realizada pelo Núcleo de Segurança do Paciente, foi identificado que o paciente não foi avaliado na admissão quanto ao risco de queda, utilizando escala adequada (Morse ou Humpty Dumpty).
Iniciais: Prontuario:
JMB	        260146
NRDS	22659
JDDS	342527
LGSM	342795
JDDS	342527</t>
  </si>
  <si>
    <t>Não conformidades nas práticas de segurança do paciente. - META 02</t>
  </si>
  <si>
    <t>INC 1811 / 2026</t>
  </si>
  <si>
    <t>INC 1812 / 2026</t>
  </si>
  <si>
    <t xml:space="preserve"> Não conformidades nas práticas de segurança do paciente. - META 06 Queda</t>
  </si>
  <si>
    <t>INC 1813 / 2026</t>
  </si>
  <si>
    <t>Não conformidades nas práticas de segurança do paciente. - Falha na avaliação do risco de Queda</t>
  </si>
  <si>
    <t>INC 1814 / 2026</t>
  </si>
  <si>
    <t>Durante ronda realizada pelo Núcleo de Segurança do Paciente, foi identificado que o paciente não foi avaliado na admissão quanto ao risco de queda, utilizando escala adequada (Morse ou Humpty Dumpty).
Iniciais: Prontuario:
JAS  	176727</t>
  </si>
  <si>
    <t>INC 1815 / 2026</t>
  </si>
  <si>
    <t>Não conformidades nas práticas de segurança do paciente. - Não evidenciado dupla checagem na dispensação</t>
  </si>
  <si>
    <t>INC 1816 / 2026</t>
  </si>
  <si>
    <t>Durante ronda realizada pelo Núcleo de Segurança do Paciente, foi identificado que não há evidência de realização de dupla checagem antes da dispensação dos medicamentos entre a Farmácia e a Enfermagem.
Iniciais: Prontuario:
AKCR	186667
JSM  	309521
TCS	        349521
JJAA 	326284
C.D.S.R	226878
MNGP	341804
ANC	342769
JRDS	340775
LFS	342968
LLF	305609
GBS     	342146
EKSR	342798
CVC         337529
ALAR     	318027
RLS  	342740
MGPS	340868
ECGS	260528
JBLO	240941
MMM	292766
MMC	340853
MCL	334818
NSG	343181
GSS	165610
RNB	241342
LFDS	342968
LJBC	245427</t>
  </si>
  <si>
    <t>INC 1817 / 2026</t>
  </si>
  <si>
    <t>Não conformidades nas práticas de segurança do paciente. - Paciente com risco sem identificação</t>
  </si>
  <si>
    <t>INC 1818 / 2026</t>
  </si>
  <si>
    <t>Durante ronda realizada pelo Núcleo de Segurança do Paciente, foi identificado que o paciente não estava identificado conforme a classificação de risco de queda, por meio do uso da pulseira lilás.
Iniciais: Prontuario:
GRS         231568	
AKCR	186667
JSM 	309521
TCS 	349521
JJAA	326284
C.D.S.R	226878
MNGP	341804
ANC	34269
JRDS	340775
LFS 	342968
LLF	       305609
RLS  	342740
ALAR     	318027
CVC        337529
EKSR	 342798
GBS     	342146
MGPS	340868
EGS	260528
JBLO	240941
MMM	292766
MMC	340853
MCL	334818
NSG	343181
GSS	165610
RNB	241342
LFDS	342968
LJBC	245427</t>
  </si>
  <si>
    <t>Não conformidades nas práticas de segurança do paciente. - Falha na orientação a pacientes e acomapanhantes</t>
  </si>
  <si>
    <t>INC 1819 / 2026</t>
  </si>
  <si>
    <t>Durante ronda realizada pelo Núcleo de Segurança do Paciente, foi identificado que não há evidências de que o paciente e/ou acompanhante tenham sido orientados quanto ao tratamento e às orientações pertinentes à assistência.
Iniciais: Prontuario:
GOA	342326
NSG	198105</t>
  </si>
  <si>
    <t>INC 1820 / 2026</t>
  </si>
  <si>
    <t>Durante ronda realizada pelo Núcleo de Segurança do Paciente, foi identificado que não há evidência de realização de dupla checagem antes da dispensação dos medicamentos entre a Farmácia e a Enfermagem.
Iniciais: Prontuario:
EOA	342326
TFNR	179566
KOS	308448
NSG	198105
LCT 	189950</t>
  </si>
  <si>
    <t>INC 1821 / 2026</t>
  </si>
  <si>
    <t>Durante ronda realizada pelo Núcleo de Segurança do Paciente, foi identificado que o paciente não estava identificado conforme a classificação de risco de queda, por meio do uso da pulseira lilás.
Iniciais: Prontuario:
GOA	342326
TFNR	179566
KOS	308448
NSG	198105
LCT	      189950</t>
  </si>
  <si>
    <t>INC 1822 / 2026</t>
  </si>
  <si>
    <t>Não conformidades nas práticas de segurança do paciente. - Kanban desatualizado/incompleto</t>
  </si>
  <si>
    <t>INC 1823 / 2026</t>
  </si>
  <si>
    <t>Durante ronda realizada pelo Núcleo de Segurança do Paciente, foi identificado que o Quadro Kanban apresentava informações desatualizadas e incompletas.
Iniciais: Prontuario:
GMC	220307
JVLA	343101
IFR	       187967
JPDS	231741
jvla          	343101</t>
  </si>
  <si>
    <t>INC 1824 / 2026</t>
  </si>
  <si>
    <t>Durante ronda realizada pelo Núcleo de Segurança do Paciente, foi identificado que não há evidência de realização de dupla checagem antes da dispensação dos medicamentos entre a Farmácia e a Enfermagem.
Iniciais: Prontuario:
cmc	220307
jvla	343101
ifr	187967
jpds	231741</t>
  </si>
  <si>
    <t>Não conformidades nas práticas de segurança do paciente. - Paciente com risco, sem identificação</t>
  </si>
  <si>
    <t>INC 1825 / 2026</t>
  </si>
  <si>
    <t>Durante ronda realizada pelo Núcleo de Segurança do Paciente, foi identificado que o paciente não estava identificado conforme a classificação de risco de queda, por meio do uso da pulseira lilás.
Iniciais: Prontuario:
JPDS	231741
GMC	220307
JVLA	343101</t>
  </si>
  <si>
    <t>INC 1826 / 2026</t>
  </si>
  <si>
    <t xml:space="preserve">Não conformidades nas práticas de segurança do paciente. - Paciente com risco, sem identificação. </t>
  </si>
  <si>
    <t>INC 1827 / 2026</t>
  </si>
  <si>
    <t>Durante ronda realizada pelo Núcleo de Segurança do Paciente, foi identificado que o paciente não estava identificado conforme a classificação de risco de queda, por meio do uso da pulseira lilás.
Iniciais: Prontuario:
GCM	320608
EDSG	240179
YGRV	226718
MJV	        297532
RMB	332340
RJQ	        253835
DCS	317851
POR	340167
MAA	342911
cmm	232015
AFM	255963
ADSS	178537
EVDS	171461
MAA	342911
EFDS	18184
RDJQ	185798
EVS	        171461
MJV  	297532
JAS  	176727
BMB   	342562
JDSM	281687
JMB	        205857
FAM	        343191
MJV 	297532
JBDR	331850
WDCF	342889</t>
  </si>
  <si>
    <t>INC 1828 / 2026</t>
  </si>
  <si>
    <t>INC 1829 / 2026</t>
  </si>
  <si>
    <t>INC 1830 / 2026</t>
  </si>
  <si>
    <t>INC 1831 / 2026</t>
  </si>
  <si>
    <t>Não conformidades nas práticas de segurança do paciente. - Paciente com risco, sem identificação.</t>
  </si>
  <si>
    <t>INC 1832 / 2026</t>
  </si>
  <si>
    <t>Durante ronda realizada pelo Núcleo de Segurança do Paciente, foi identificado que o paciente não estava identificado conforme a classificação de risco de queda, por meio do uso da pulseira lilás.
Iniciais: Prontuario:
FTDS	343018
IDSC	313774
GLDS	267523
RDSC	167546</t>
  </si>
  <si>
    <t>INC 1833 / 2026</t>
  </si>
  <si>
    <t>Durante ronda realizada pelo Núcleo de Segurança do Paciente, foi identificado que não há evidência de realização de dupla checagem antes da dispensação dos medicamentos entre a Farmácia e a Enfermagem.
Iniciais: Prontuario:
FTDS	343018
IDSC	313774
GLDS	267523
RDSC	167546
IJDS	189136
JADF	342478
FAR  	162967
ACDCN	342152
IDSDS	334296</t>
  </si>
  <si>
    <t>INC 1834 / 2026</t>
  </si>
  <si>
    <t>LPP SACRAL UTI</t>
  </si>
  <si>
    <t>INC 1835 / 2026</t>
  </si>
  <si>
    <t>02/03/2026</t>
  </si>
  <si>
    <t>LPP E. 2  Sacral - identificada pela Enfª do plantão noturno.
Com perda parcial da pele, aspecto de bolha/abrasão, sem esfacelo, paciente com mobilidade reduzida.
Realizado curativo com cobertura adequada (espuma/silicone), limpeza com SF 0,9%, alívio de pressão, mudança de decúbito 2/2h, notificada comissão de feridas.
Lesão protegida, sem sinais de infecção, paciente refere conforto, mantido acompanhamento.
Desfecho: óbito.</t>
  </si>
  <si>
    <t>9 / 11</t>
  </si>
  <si>
    <t>LPP SACRAL SV</t>
  </si>
  <si>
    <t>INC 1836 / 2026</t>
  </si>
  <si>
    <t>LPP E. 2 Sacral - identificada pela Enfª do plantão noturno da UTI.
Com perda parcial da pele, aspecto de bolha/abrasão, sem esfacelo, paciente com mobilidade reduzida.
Realizado curativo com cobertura adequada (espuma/silicone) na UTI, limpeza com SF 0,9%, alívio de pressão, mudança de decúbito 2/2h, notificada comissão de feridas.
Lesão protegida, sem sinais de infecção, paciente refere conforto, mantido acompanhamento.</t>
  </si>
  <si>
    <t>sala vermelha</t>
  </si>
  <si>
    <t>Óbito Pós Cesariana+Histerectomia.</t>
  </si>
  <si>
    <t>INC 1837 / 2026</t>
  </si>
  <si>
    <t>Paciente admitida nesta unidade em 25/02 para indução do trabalho de parto. Após o início da indução, a paciente apresentou episódio convulsivo dia 26/02, sendo indicada cesariana de emergência. Foi encaminhada ao Centro Cirúrgico, onde, durante o procedimento, evoluiu com sangramento intenso associado à atonia uterina, tornando necessária a realização de histerectomia.
No pós-operatório imediato dia 27/02, ainda em sala operatória, a paciente apresentou sete paradas cardiorrespiratórias (PCR), evoluindo a óbito ainda no Centro Cirúrgico.</t>
  </si>
  <si>
    <t>Sala 01 CC</t>
  </si>
  <si>
    <t>FUGA de Paciente com Óbito Posterior</t>
  </si>
  <si>
    <t>INC 1838 / 2026</t>
  </si>
  <si>
    <t>Paciente trazido pelo SAMU após tentativa de enforcamento. Foi admitido, estabilizado e teve a contenção retirada. Evadiu-se da unidade e, cerca de 30 minutos depois, lançou-se em frente a um veículo nas proximidades do HGP, evoluindo a óbito.</t>
  </si>
  <si>
    <t>FILA PS</t>
  </si>
  <si>
    <t>NA CONFORMIDADES DO PACIENTE</t>
  </si>
  <si>
    <t>INC 1839 / 2026</t>
  </si>
  <si>
    <t>28/02/2026</t>
  </si>
  <si>
    <t>NO DIA 28/02/2026 PACIENTE J.A.S VEIO DA UDC (PS), PARA O CENTRO CIRURGICO PARA REALIZAR PROCEDIMENTO COM O VASCULAR,DURANTE O CHECK LIST DE CIRURGIA SEGURA,EVIDENCIADO QUE A MESMA ESTAVA EM USO DE SUA PROTESE DENTARIA,FATO QUE COMPROMETE A SEGURANÇA DA PACIENTE,REALIZO ESTA NOTIFICAÇÃO PARA MELHORIA DE SETOR E SEGURANÇA DO PACIENTE.</t>
  </si>
  <si>
    <t>Centro Cirugico</t>
  </si>
  <si>
    <t>Coleta de sangue em membro com fístula arteriovenosa</t>
  </si>
  <si>
    <t>INC 1840 / 2026</t>
  </si>
  <si>
    <t>Foi identificado que foi realizada coleta de sangue em membro superior onde a paciente possui fístula arteriovenosa, dispositivo destinado à terapia dialítica. A punção ocorreu no mesmo braço da fístula, o que não é recomendado devido ao risco de complicações, como lesão do acesso, hematoma, trombose e comprometimento do funcionamento da fístula.</t>
  </si>
  <si>
    <t>OMISSÃO DE DOSE IMUNOGLOBULINA HUMANA</t>
  </si>
  <si>
    <t>INC 1841 / 2026</t>
  </si>
  <si>
    <t>PACIENTE L.G.S.M, CLÍNICA MÉDICA, LEITO VOPS 06, INICIOU TRATAMENTO NO DIA 28/02/2026, D1/5, PORÉM NÃO FEZ A DOSE DO DIA D2/5, QUE SERIA EM 01/03/2026. FEITO CONTATO EM 02/03/2026 COM A SUPERVISÃO DO SETOR, E FOI CONFIRMADO QUE A DOSE NÃO  FOI REALIZADA, E CONSEQUENTEMENTE O PACIENTE FICOU UM (1) DIA SEM FAZER A ADMINISTRAÇÃO DA DOSE, QUE SO FOI REALIZADA NO DIA 02/03/2026 CORRESPONDENTE O D2/5. O QUE CORRABORA PARA MAIS UMA OMISSÃO DE DOSE AO PACIENTE, COMPROMETENDO A EFICIÊNCIA TERAPÊUTICA  E A SEGURANÇA DO PACIENTE.</t>
  </si>
  <si>
    <t>OBPS 06</t>
  </si>
  <si>
    <t xml:space="preserve">Falha no manejo de comunicação de noticias difíceis </t>
  </si>
  <si>
    <t>INC 1842 / 2026</t>
  </si>
  <si>
    <t>NO DIA 27/02/26 FOI PASSADO BOLETIM MÉDICO COM NOTÍCIA DIFICÍL PARA ESPOSA DO PACIENTE, IDOSA, BEIRA LEITO E SEM  O ACIONAMENTO DA PSICOLOGIA 
A MESMA FICOU MUITO NERVOSA E CHOROSA DENTRO DA UTI, PASSOU MAL, TEVE ELEVAÇÃO DE PA, ACOMPANHADO DE VÔMITOS, FOI ENCAMINHADA PARA ATENDIMENTO MÉDICO NO PRONTO SOCORRO</t>
  </si>
  <si>
    <t xml:space="preserve">Desabastecimento de noradrenalina na farmácia satélite  da uti </t>
  </si>
  <si>
    <t>INC 1843 / 2026</t>
  </si>
  <si>
    <t>No dia 27/02/2026 paciente precisou da medicação noradrenalina, porém não havia disponível na farmácia satélite da uti. Foi necessário a equipe abrir o carro de emergência para pegar as medicações. 
Paciente grave.</t>
  </si>
  <si>
    <t>Desabastecimento de fentanil na farmácia satélite da UTI</t>
  </si>
  <si>
    <t>INC 1844 / 2026</t>
  </si>
  <si>
    <t>Paciente grave sedado , em uso de fentanil. Foi solicitado a farmácia satélite da uti ampolas de fentanil para uso no referido paciente, porém não havia disponível.</t>
  </si>
  <si>
    <t>Fixação de TOT inadequada e olhos fixados com micropore</t>
  </si>
  <si>
    <t>INC 1845 / 2026</t>
  </si>
  <si>
    <t>Paciente recebido na UTI vindo do cc , intubado com fixação do TOT inadequada com risco de extubação durante a transferência entre os setores. 
E os olhos do paciente vieram colados com micropore , gerando dificuldade na retirada devido os cílios e sobrancelha.</t>
  </si>
  <si>
    <t>RECEBIMENTO DE PACIENTE DE PERFIL INADEQUADO PARA SETOR D ENFERMARIA POR SER RN E ESTÁ GRAVE  EM LEITO INAPROPRIADO SEM ACESSO E PACIENTE EVOLUIU PARA PCR</t>
  </si>
  <si>
    <t>INC 1846 / 2026</t>
  </si>
  <si>
    <t>Adriana de Sousa Silva</t>
  </si>
  <si>
    <t>03/03/2026</t>
  </si>
  <si>
    <t>NO DIA 28/02/26 AS 23:15 DA NOITE RECEBO EM UNIDADE DE PEDIATRIA,RN DE 16 DIAS DE NASCIDO,T.C.S,HD:EPIDERMOLISE BOLHOSA TRAZIDA PELO ENFERMEIRO DO NIR,SOB ORIENTAÇÃO DA DIREÇÃO ,PARA ACOMODAR  EM ISOLAMENTO 1 DO CGO,POREM LEITO MUITO DISTANTE DO POSTO DA PEDIATRIA,ALEM DO QUADRO DE RN QUE NÃO E PERFIL DA PEDIATRIA.ORIENTO ENFERMEIRO DO NIR REGULAR PARA LEITO 01 DA ENFERMARIA 01,POIS NÃO TINHA NEM UMA CRIANÇA INTERNADA EM LEITO,POREM MESMO RELATANDO A DIFICULDADE DA ASSISTENCIA PRESTADA,MENOR FOI REGULADA PARA CGO,NA ADMISSÃO,MENOR SEM PRESCRIÇÃO MEDICA,SEM ACESSO PERIFERICO,COM AIH DO MEDICO PS. NOTO RN ,HIPOATIVA,APRESENTANDO EXTREMIDADE CIANIOTICA,ABDOME DISTEDINDO.REALIZO HGT,MENOR COM 32mg/dl, DE IMEDIATO COMUNICO A MEDICA DE PLANTÃO,REALIZO ACESSO ,REALIZADA GLICOSE 50% SOB ORIETAÇÃO DA PEDIATRA PLANTONISTA,APOS A ADMINISTRAÇÃO DA CORREÇÃO DA GLICEMIA,MENOR EVOLUIU PARA PARADA CARDIORESPIRATORIA,INICIO MASSAGEM CARDIACA,ACIONO CODIGO AZUL,EQUIPE DA PEDIATRIA,TRAS  CARRO DE PCR+ASPIRADOR+BALA DE O2,MEDICA CHEGA E ASSUMI A VENTILAÇÃO,POREM REGUA DO CGO SEM O2,USANDO SUPORTE DE CILINDRO DE O2 EM CARRO DE PCR,APOS 1 CICLO DE MASSAGEM MENOR APRESENTA PULSO CHEIO,APOS ESTABILIZAR RN EM QUADRO DE PCR,EQUIPE DA UCI CHEGA PARA DA SUPORTE,MEDICA E EQUIPE DE ENFERMAGEM,APOS ESTABILIZAR, RN E ENCAMINHADA  UCI,MENOR TRASNPORTADA EM BERÇO COMUM EM AA,SEM USO DVA.</t>
  </si>
  <si>
    <t>ISOLAMENTO CGO</t>
  </si>
  <si>
    <t>Atraso nas entregas das  medicações.</t>
  </si>
  <si>
    <t>INC 1847 / 2026</t>
  </si>
  <si>
    <t>Gerência de Cuidados Clínicos e Intensivos / Unidade de Atenção a Saúde Mental</t>
  </si>
  <si>
    <t>Jose Elmar Nunes Leda</t>
  </si>
  <si>
    <t>As 9:06 do dia 03/03 medicações ainda não entregue pela farmácia.</t>
  </si>
  <si>
    <t>LEITO 01</t>
  </si>
  <si>
    <t>Óbito de RN Epidermólise bolhosa</t>
  </si>
  <si>
    <t>INC 1848 / 2026</t>
  </si>
  <si>
    <t>Em 23/02, a RN deu entrada pelo Pronto-Socorro, sendo avaliada pela médica da porta, apresentando lesão exulcerativa em processo de cicatrização em região de mão direita, além de lesões ulcerativas superficiais em coxa posterior esquerda, região abdominal (flanco esquerdo, baixo ventre, região periumbilical, fossa ilíaca esquerda) e região interescapular. Diante do quadro, foi solicitada internação.
Ainda em 23/02, a RN foi reavaliada pela pediatra. Compareceu a esta unidade com 12 dias de vida, apresentando lesões bolhosas mucocutâneas desde o nascimento. Após avaliação médica, recebeu alta com suspeita diagnóstica de epidermólise bolhosa, permanecendo em acompanhamento e aguardando resultado de biópsia de pele realizada em 16/02/2026, durante internação anterior.Em 24/02, foi definida conduta de encaminhamento para tratamento ambulatorial pelo SAD. Em 28/02, a paciente foi readmitida nesta unidade para internação hospitalar, após entrada pelo Pronto-Socorro. A internação foi orientada pela equipe de enfermagem devido à piora do quadro de epidermólise bolhosa. Admissão médica - Exame físico: Estado geral: bom estado geral; anictérica; afebril; acianótica; hipocorada; hidratada; eupneica em ar ambiente.Neurológico: Glasgow 15; pupilas isocóricas e fotorreagentes
Abdome: plano, flácido, timpânico à percussão, indolor à palpação superficial e profunda, sem visceromegalias, ruídos hidroaéreos presentes. Pele: lesão exulcerativa em cicatrização em mão direita; lesões ulcerativas superficiais em coxa posterior esquerda, flanco esquerdo, baixo ventre, região periumbilical, fossa ilíaca esquerda e interescapular.Neurológico: Glasgow 15; pupilas isocóricas e fotorreagentes. Aparelho respiratório: murmúrio vesicular presente bilateralmente, sem ruídos adventícios, expansibilidade torácica simétrica.
Aparelho cardiovascular: ritmo regular em dois tempos, bulhas normofonéticas, sem sopros, pulsos periféricos palpáveis e simétricos, enchimento capilar &lt; 2 segundos.
Abdome: plano, flácido, timpânico à percussão, indolor à palpação superficial e profunda, sem visceromegalias, ruídos hidroaéreos presentes. Pele: lesão exulcerativa em cicatrização em mão direita; lesões ulcerativas superficiais em coxa posterior esquerda, flanco esquerdo, baixo ventre, região periumbilical, fossa ilíaca esquerda e interescapular.
Paciente encaminhada para UCI.
Em 01/03, às 01:15h, RN admitida na UCI em gravíssimo estado geral, desidratada, com pele descamada devido à epidermólise bolhosa grave e hipoglicemia. Apresentou um episódio de parada cardiorrespiratória na enfermaria, sendo realizada RCP com sucesso.
Após entrada na UCI, realizado exame físico detalhado: Cabeça e pescoço: fontanelas deprimidas, boca seca, lesões difusas. SNG: com secreção sanguinolenta. Aparelho respiratório: murmúrio vesicular presente, roncos difusos. Abdome: muito distendido, tenso, ruídos hidroaéreos ausentes.
Aparelho cardiovascular: ritmo cardíaco regular, bulhas hipofonéticas, bradicardia, pulso fino, cianose de extremidades. Pele: lesões bolhosas difusas.Neurológico: apresentou dois episódios convulsivos, sendo administrada fenitoína.
Às 06:30h, a RN evoluiu com parada cardiorrespiratória, sendo iniciado protocolo de RCP, com realização de quatro ciclos de adrenalina e expansão volêmica, sem sucesso. Óbito declarado às 10:31h.
Notifico para analise, pois tratava-se de um RN com alto risco de mortalidade e  foi direcionada para tratamento ambulatorial, quando retorna a unidade retorna em esta gravissimo.</t>
  </si>
  <si>
    <t>Internação e procedimento em paciente errado.</t>
  </si>
  <si>
    <t>INC 1849 / 2026</t>
  </si>
  <si>
    <t>Foi realizada a solicitação de procedimento pelo cirurgião Ricardo em nome do paciente Miqueias Rodrigues de Sousa, 8 anos. As informações foram repassadas ao NIR e ao Ambulatório, e, ao conferir o mapa cirúrgico, constavam o nome e os dados do paciente Miqueias Rodrigues de Sousa.
Entretanto, durante o contato efetuado pelo Ambulatório, houve comunicação com o paciente Miqueias Brito da Conceição, de 3 anos. Diante desse equívoco, ocorreu a internação do paciente incorreto e, consequentemente, a realização do procedimento neste paciente.</t>
  </si>
  <si>
    <t>Sala 05</t>
  </si>
  <si>
    <t>PACIENTE ENCAMINHADO PARA AVALIAÇÃO SEM DESCRIÇÃO DO CASO</t>
  </si>
  <si>
    <t>INC 1850 / 2026</t>
  </si>
  <si>
    <t xml:space="preserve">Gerência Ambulatorial e de Apoio Diagnóstico  / Unidade de Diagnóstico por Imagem </t>
  </si>
  <si>
    <t>Marceline Ferreira dos Santos Silva</t>
  </si>
  <si>
    <t>PACIENTE E.F.S.S PROVENIENTE DO PS NA DATA 03/03 ENCAMINHADO AO AMBULATÓRIO COM FICHA DE ENCAMINHAMENTO, SEM INFORMAÇÕES CLINICAS E DO OCORRIDO COM O PACIENTE. AO AVALIAR O SISTEMA MÉDICO VERIFICOU QUE FOI DESCRITO NA FICHA CLINICA QUE NÃO FOI ENVIADA AO PACIENTE, QUE O MESMO NÃO TINHA ALTERAÇÕES EM RAIO X. ORTOPEDISTA AVALIOU O RAIO X E VERIFICOU QUE O PACIENTE NECESSITAVA DE PROCEDIMENTO CIRURGICO, E FOI INTERNADO PELO AMBULATÓRIO. SITUAÇÕES QUE TEM SIDO CORRIQUEIRAS.</t>
  </si>
  <si>
    <t>AMBULATÓRIO</t>
  </si>
  <si>
    <t>NOTIFICAÇÃO DE EVENTO ADVERSO GRAVE - ÓBITO</t>
  </si>
  <si>
    <t>INC 1851 / 2026</t>
  </si>
  <si>
    <t>Descrição do caso:
Durante revisão do prontuário, foi identificado que, na etapa de triagem da paciente, constavam registrados apenas os valores de saturação de oxigênio e glicemia capilar, não havendo registro de sinais vitais essenciais, tais como:
Pressão Arterial (PA)
Frequência Cardíaca (FC)
Frequência Respiratória (FR)
Temperatura (Tº)
Observa-se ainda que, nas evoluções subsequentes, também não há registro completo dos sinais vitais.
Posteriormente, exames laboratoriais evidenciaram alterações significativas, incluindo:
Leucócitos: 26.710/mm³
Proteína C Reativa: 297,19 mg/L
Ureia: 85,80 mg/dL
Gama GT: 136 U/L
Tais achados laboratoriais são compatíveis com processo infeccioso grave, com possibilidade de disfunção orgânica.
A ausência de registro completo dos sinais vitais impossibilitou a avaliação adequada de critérios clínicos para abertura oportuna do Protocolo de Sepse, podendo ter contribuído para atraso na identificação de gravidade.
A paciente evoluiu a óbito.</t>
  </si>
  <si>
    <t>UDC 04</t>
  </si>
  <si>
    <t>FALHA NO FLUXO ASSISTENCIAL A PACIENTES ADMITIDOS POR TENTATIVA DE SUICÍDIO (NÃO ACIONAMENTO DA PSICOLOGIA)</t>
  </si>
  <si>
    <t>INC 1852 / 2026</t>
  </si>
  <si>
    <t>NO PLANTÃO NOTURNO DO DIA 01/03/2026, O PACIENTE INICIALMENTE IDENTIFICADO COMO DESCONHECIDO C.T.N.B.D.M., NA OCASIÃO FOI TRAZIDO PELO SAMU E CONFORME REGISTRO EM PRONTUÁRIO TERIA TENTADO AUTOEXTERMÍNIO COM CORDA, INICIALMENTE ADMITIDO EM SALA VERMELHA NO QUAL FOI ATENDIDO PELO ASSISTENTE SOCIAL, O QUAL REGISTROU SES DADOS E REALIZOU LIGAÇÃO A MÃE DO PACIENTE POR SOLICITAÇÃO SUA, NA LIGAÇÃO TERIA PEDIDO PERDÃO A MÃE. RESSALTA-SE QUE NESSE PERÍODO A AVALIAÇÃO DE RISCO DE SUICÍDIO E INTERVENÇÃO PSICOLÓGICA SERIAM PRIMORDIAIS PRA AUXILIAR NO SUPORTE ASSISTENCIAL OFERTADO, BEM COMO AVALIAR RISCO IMINENTE, ORIENTANDO MEDIDAS PERTINENTES QUE A EQUIPE ASSISTENCIAL PODERIA TOMAR (POR EXEMPLO: MANTE-LO EM SUPERVISÃO CONTÍNUA POR RISCO DE EVASÃO E NOVA TENTATIVA INTRA-HOSPITALAR). PORÉM ACONAMENTO NÃO OCORREU.
ADEMAIS PACIENTE RETORNOU APÓS EVASÃO, ÀS 01:06, NOVAMENTE ATRAVÉS DO SAMU COM RELATOS DE QUE "SE JOGOU NA FRENTE DE UM CARRO PROXIMO A UNIDADE", EM QUADRO GRAVE EVOLUINDO A ÓBITO.
ÓBITO COMUNICADO AO AMIGO PRESENTE, MAS UMA VEZ SEM O ACIONAMENTO DA PSICOLOGIA PARA ACOMPANHAMENTO E ACOLHIMENTO. EM SUA SEGUNDA ADMISSÃO IDENTIFICADO COMO SUPOSTO J.M.S.F.
RESSALTO QUE ENFERMEIRA RELATOU NO PRONTUÁRIO A INFORMAÇÃO DE QUE ACIONOU O SERVIÇO DE PSICOLOGIA, NÃO SENDO IDENTIFICADA NENHUM ACIONAMENTO NOS CANAIS DE COMUNICAÇÃO DO SETOR OU VIA SISTEMA</t>
  </si>
  <si>
    <t>PS - Sala Vermelha</t>
  </si>
  <si>
    <t>INC 1853 / 2026</t>
  </si>
  <si>
    <t>Notifico a Clínica Cirúrgica por encaminhar paciente ao Centro Cirúrgico para realização de procedimento sem pulseira de identificação.
Tal ocorrência encontra-se em desacordo com os protocolos institucionais de segurança do paciente, especialmente no que se refere à identificação segura, conforme preconizado pelo Programa Nacional de Segurança do Paciente e pelas boas práticas assistenciais.
Ressalta-se que a ausência de identificação adequada pode acarretar riscos graves, como realização de procedimento em paciente errado, falhas na administração de medicamentos e demais eventos adversos.
Solicita-se reforço junto à equipe quanto à conferência obrigatória da pulseira de identificação antes do encaminhamento para qualquer procedimento.</t>
  </si>
  <si>
    <t>CURATIVO SEM IDENTICAÇÃO E EXPOSTO</t>
  </si>
  <si>
    <t>INC 1854 / 2026</t>
  </si>
  <si>
    <t>Paciente advindo do CC com curativo sem identificação e com parte do curativo solto, ocasionando exposição da ferida operatória.
Tal ocorrência encontra-se em desacordo com os protocolos institucionais de segurança do paciente e boas práticas assistenciais, comprometendo a rastreabilidade do procedimento realizado, bem como aumentando o risco de contaminação, infecção e demais complicações.
Solicita-se orientação e reforço junto à equipe quanto à adequada identificação do curativo (data, horário e responsável) e à garantia de sua correta fixação antes do encaminhamento do paciente, a fim de assegurar a qualidade e segurança da assistência prestada.</t>
  </si>
  <si>
    <t>LEITO 21</t>
  </si>
  <si>
    <t>Possível falha na avaliação da Gravidade Pediátrica</t>
  </si>
  <si>
    <t>INC 1855 / 2026</t>
  </si>
  <si>
    <t>Durante atendimento pediátrico, a criança L.D.S.S (Prontuário: 330383) foi inicialmente avaliada pelo médico, que a encaminhou para fila de medicação sem considerar a gravidade clínica apresentada.
Posteriormente, ao verificar pessoalmente o quadro da criança, constatei sinais preocupantes: ictérica, hipoativa, hipotensa, com pele fria e pegajosa, apresentando características compatíveis com choque hipovolêmico e comprometimento clínico significativo.
Diante da situação, acionei o médico de referência da sala vermelha, que orientou que o menor fosse imediatamente encaminhado para o setor crítico, devido à gravidade do quadro atual.</t>
  </si>
  <si>
    <t>PEDIATRIA</t>
  </si>
  <si>
    <t xml:space="preserve">Ausência de Atendimento Médico Presencial para avaliação de paciente </t>
  </si>
  <si>
    <t>INC 1856 / 2026</t>
  </si>
  <si>
    <t>Na data de hoje 03/03/2026, durante o  plantão noturno , encontrava-se o técnico  responsável pela paciente M.A. G.S, leito 26, portadora de neoplasia em coluna vertebral, com evolução para três fraturas, cursando com quadro de dor intensa e refratária.
A paciente apresentava dor exacerbada, com gritos frequentes, agitação e episódios de delírio associados ao quadro álgico. A equipe de enfermagem realizou múltiplos contatos telefônicos com o médico internista responsável,  (aproximadamente cinco acionamentos), sendo orientado, inicialmente, a adiantar os analgésicos prescritos e administrar medicações "se necessário" (SN).
Foram administrados:
Tramal das 06h às 01h20;
Morfina das 04h às 02h.
O técnico de enfermagem, responsável pela execução das medicações no plantão, realizou o preparo e a administração conforme orientações recebidas.
Apesar das medidas adotadas, não houve controle efetivo da dor, mantendo-se o quadro de sofrimento intenso. Novas tentativas de contato com o médico foram realizadas. Por volta das 03h40, ele atendeu e reiterou a orientação de adiantar medicações e utilizar prescrições "SN", sem comparecer à unidade para avaliação presencial da paciente naquele momento.
Diante da persistência da dor intensa, do sofrimento evidente da paciente e da angústia da acompanhante, foi realizada infusão contínua em BIC de solução contendo 100 ml de SF 0,9% com 1 ampola de morfina e 1 ampola de Tramal, em velocidade de 30 ml/h. A infusão foi executada pelo técnico de enfermagem.</t>
  </si>
  <si>
    <t>LEITO 26 CM</t>
  </si>
  <si>
    <t>Retardo na Identificação de Quadro Cardíaco Agudo</t>
  </si>
  <si>
    <t>INC 1857 / 2026</t>
  </si>
  <si>
    <t>No dia 24/01/2026, durante o atendimento inicial, a equipe de enfermagem e médica não reconheceu que o paciente apresentava quadro compatível com infarto agudo do miocárdio, não considerando adequadamente a queixa clínica e os sinais vitais apresentados.
Durante a classificação de risco, o paciente foi triado com cor amarela. Posteriormente, no consultório, o quadro foi interpretado como epigastralgia, sendo investigada possível úlcera gástrica.
Após avaliação da enfermeira horizontal, foi realizado ECG, que evidenciou a gravidade do quadro. O paciente foi imediatamente encaminhado para setor de urgência (SV), posteriormente transferido para UTI e, por fim, para realização de cateterismo cardíaco (CATE).</t>
  </si>
  <si>
    <t>Crise Convulsiva Fora do Ponto de Cuidado Adequado</t>
  </si>
  <si>
    <t>INC 1858 / 2026</t>
  </si>
  <si>
    <t>Foi observado que a condução da equipe médica da Sala Vermelha (SV), no que diz respeito à solicitação e acompanhamento de exames de imagem, necessita de aprimoramento. Rotineiramente, pacientes encaminhados para realização de exames não estão sendo retornados imediatamente ao setor crítico após a conclusão dos procedimentos.
Essa prática tem ocasionado situações em que o paciente permanece na fila ou na UDC, sem monitoramento adequado. No caso do paciente J.N.S (Prontuário: 343417), durante esse período, ocorreu convulsão, sendo necessário encaminhar o paciente de forma urgente para a Sala Vermelha, comprometendo a segurança e a continuidade do atendimento.</t>
  </si>
  <si>
    <t>Falha no Retorno de Paciente Crítico após Exame de Imagem</t>
  </si>
  <si>
    <t>INC 1859 / 2026</t>
  </si>
  <si>
    <t>Foi observado que a condução da equipe médica da Sala Vermelha (SV), no que se refere à solicitação e acompanhamento de exames de imagem, necessita de aprimoramento. Rotineiramente, pacientes encaminhados para realização de exames não estão sendo retornados imediatamente ao setor crítico após a conclusão dos procedimentos.
Essa conduta tem gerado situações em que o paciente permanece na fila ou na UDC sem monitoramento adequado. No caso do paciente G.P.S (Prontuário: 217390), ao sair o resultado da TC, que apresentou achado crítico relevante, foi necessário encaminhar o paciente de forma urgente para a Sala Vermelha, comprometendo a segurança e a continuidade do atendimento.</t>
  </si>
  <si>
    <t>Falha no Retorno de Paciente Crítico após Exame de Imagem- CASO 2</t>
  </si>
  <si>
    <t>INC 1860 / 2026</t>
  </si>
  <si>
    <t>Foi observado que a condução da equipe médica da Sala Vermelha (SV), no que se refere à solicitação e acompanhamento de exames de imagem, necessita de aprimoramento. Rotineiramente, pacientes encaminhados para realização de exames não estão sendo retornados imediatamente ao setor crítico após a conclusão dos procedimentos.
Essa prática tem resultado em situações nas quais o paciente permanece na fila ou na UDC sem monitoramento adequado. No caso do paciente S.J.R.S.R (Prontuário: 343395), ao sair o resultado da TC, que revelou achado crítico relevante, foi necessário encaminhar o paciente de forma urgente para a Sala Vermelha, comprometendo a segurança e a continuidade do atendimento.</t>
  </si>
  <si>
    <t>Falha na Conduta da Equipe de Enfermagem e Médica</t>
  </si>
  <si>
    <t>INC 1861 / 2026</t>
  </si>
  <si>
    <t>Foi observado que o paciente L.C  não recebeu cuidado adequado pela equipe de enfermagem e médica, não sendo prescrita a assistência necessária. O paciente foi avaliado pelo médico somente no momento da PCR franca, evidenciando atraso significativo na identificação e condução de conduta clínica apropriada.</t>
  </si>
  <si>
    <t>Não Conformidade no Registro e Monitoramento de Transfusão de Concentrado de Hemácias.</t>
  </si>
  <si>
    <t>INC 1862 / 2026</t>
  </si>
  <si>
    <t>04/03/2026</t>
  </si>
  <si>
    <t>Paciente recebeu concentrado de hemácias, entretanto não foi localizada a Ficha de Acompanhamento Transfusional devidamente preenchida no prontuário. Durante a análise das evoluções médicas e de enfermagem, observou-se que constam apenas registros informando a realização da transfusão de concentrado de hemácias, porém não há dados essenciais relacionados ao procedimento, tais como:
Número e identificação da bolsa transfundida; Tipo sanguíneo e fator Rh do hemocomponente; Horário de início e término da transfusão; Registro completo dos sinais vitais antes, durante (conforme protocolo institucional) e após a transfusão; Identificação do profissional responsável pela instalação e acompanhamento; Ressalta-se que o registro adequado do ato transfusional é obrigatório, conforme preconizam as normas de segurança do paciente e protocolos hemoterápicos vigentes, sendo fundamental para a rastreabilidade do hemocomponente, segurança do paciente e respaldo legal da equipe assistencial. A ausência dessas informações configura não conformidade documental e assistencial, podendo comprometer a qualidade do cuidado, a segurança do paciente e a responsabilidade técnica dos profissionais envolvidos. Recomenda-se reforço quanto ao cumprimento do protocolo transfusional e preenchimento completo e imediato da documentação obrigatória.</t>
  </si>
  <si>
    <t xml:space="preserve">Não realizado exames solicitados </t>
  </si>
  <si>
    <t>INC 1863 / 2026</t>
  </si>
  <si>
    <t>Em 01/03/2026 às 20:00, foi solicitado exame Dengue NS1 - Teste Rápido para Dengue para paciente com suspeita clínica de arbovirose.
Em 02/03/2026, a enfermeira do plantão noturno realizou a notificação compulsória e encaminhou ao laboratório juntamente com as solicitações laboratoriais.
Constatou-se que:
Os demais exames laboratoriais foram devidamente processados e cadastrados no sistema às 08:01 de 02/03/2026;
O exame de Dengue NS1 não foi realizado, permanecendo pendente sob justificativa de falta de material;
Até 04/03/2026, o exame ainda não havia sido executado;
Não houve comunicação formal prévia ao setor solicitante sobre a indisponibilidade do insumo.</t>
  </si>
  <si>
    <t>27/03/2026</t>
  </si>
  <si>
    <t>LCM 29</t>
  </si>
  <si>
    <t>FALHA NO FLUXO DE ACESSO À SALA VERMELHA E AUSÊNCIA DE CELERIDADE NO ATENDIMENTO</t>
  </si>
  <si>
    <t>INC 1864 / 2026</t>
  </si>
  <si>
    <t>Refere-se a ocorrência assistencial envolvendo o paciente J.F.L., prontuário nº 339701.
Conforme registros, o paciente deu entrada nesta unidade no dia 04/02/2026, às 13h53, trazido pelo Serviço de Atendimento Móvel de Urgência (SAMU), apresentando quadro compatível com abstinência alcoólica, com relato de crise convulsiva prévia, acompanhado de familiar.
Durante a permanência inicial na unidade, foi encaminhado para realização de tomografia computadorizada, momento em que evoluiu com nova crise convulsiva. Após o episódio, retornou ao setor de origem, permanecendo fora da Sala Vermelha, apesar da gravidade clínica e do risco de novas intercorrências.
Ao longo do dia, o paciente apresentou rebaixamento do nível de consciência e sinais de agravamento do quadro neurológico. Ressalta-se que, mesmo diante da instabilidade clínica e da indicação assistencial para monitorização intensiva, não houve admissão imediata na Sala Vermelha. Consta em evolução que a profissional responsável , ciente da gravidade do quadro, solicitou previamente o encaminhamento do paciente para a Sala Vermelha, tendo o pedido sido negado.
Observa-se que não houve comunicação formal e imediata à supervisão de enfermagem ou à instância hierárquica superior quanto à negativa de leito em setor crítico, configurando falha no fluxo institucional de escalonamento e na gestão do risco assistencial.
Somente às 19h00 o paciente foi admitido na Sala Vermelha, quando já apresentava importante deterioração clínica, sendo submetido à intubação orotraqueal, sem intercorrências imediatas. Posteriormente, foi transferido para UTI às 22h37 do mesmo dia.
O paciente evoluiu a óbito em 06/02/2026, às 16h20.</t>
  </si>
  <si>
    <t>NAO CONFORMIDADES</t>
  </si>
  <si>
    <t>INC 1865 / 2026</t>
  </si>
  <si>
    <t>No dia 04/03/2026 paciente A.S.S veio do CGO para o centro cirúrgico para realizar procedimento de laqueadura, com o obstetra, durante o check list de cirurgia segura ,evidenciamos que a mesma estava em uso de roupas intimas e sua aliança, fato que compromete a segurança do paciente. Realizo esta notificação para melhoria do setor e segurança do paciente.</t>
  </si>
  <si>
    <t>nao conformiedades</t>
  </si>
  <si>
    <t>INC 1866 / 2026</t>
  </si>
  <si>
    <t>No dia 04/03/2026 Paciente A.S veio do Ps para o centro cirurgico para realizar procedimnto cirurgico de apendcectomia, com cirurgião geral,durante check list de cirurgia segura,evidenciamos que o mesmo estava em uso de sua protese dentaria,fato que compromete diretamente  a segurança do paciente.Realizo esta notificação para melhoria do setor e segurança do paciente.</t>
  </si>
  <si>
    <t>Clamp umbilical posicionado de forma errada pressionando a pele do RN</t>
  </si>
  <si>
    <t>INC 1867 / 2026</t>
  </si>
  <si>
    <t>Amanda de Oliveira Silva</t>
  </si>
  <si>
    <t>RECEBO RN DO CENTRO CIRURGICO COM O CLAMP CLAMPEADO NA PELE DO RN MACHUCANDO A PELE E ROMPENDO O COTO UMBILICAL. (plantão noturno)</t>
  </si>
  <si>
    <t xml:space="preserve">Falha na avaliação de paciente para hemotransfusão </t>
  </si>
  <si>
    <t>INC 1868 / 2026</t>
  </si>
  <si>
    <t>Tania Maria Pinheiro de Souza</t>
  </si>
  <si>
    <t>RECEBO PLANTÃO BEIRA LEITO DA ENFª THAYS, AS 19:23, A PACIENTE TERESA REIS DA SILVA, LEITO 28 CG, HD: 4º PO  DESBRIDAMENTO DE MID + AMPUTAÇÃO TRANS FALANGEANA DE HÁLUX DIREITO + PÉ DIABÉTIDO DIREITO, HPP: HAS, DM, CARDIOPATA. A MESMA ENCONTRAVA-SE COM UMA BOLSA DE CONCENTRADO DE HEMACIAS EM CURSO, PORÉM O GOTEJAMENTO NÃO ESTAVA FLUINDO BEM, DE IMEDIATO O ACESSO FOI SALINIZADO, NÃO OBTIVEMOS SUCESSO, ENTÃO FOI TROCADO O AVP, QUE FLUIU PERVEAMENTE. FOI PASSADO EM PLANTÃO QUE A BOLSA FOI INICIADA COM A PA 160x80mmHg, A ENFª RELATA QUE ACIONOU O MEDICO, QUE O MESMO CONSENTIU QUE FOSSE INFUNDIDA MESMO ASSIM. PACIENTE RELATA QUE NÃO FEZ O USO DO ANTIHIPERTENSIVO ANTES DA INFUSÃO DO CH. AS 20:19, A BOLSA FOI FINALIZADA COM SUCESSO, A PA ESTAVA 208x102mmHg, FOI ACIONADO INTERNISTA, QUE PEDIU P/ ADMINISTRAR 01 COMP. DE HIDRALAZINA, AGUARDAR 40 MINUTOS E ADMINITRAR 01 COMP. DE ANLODIPINO, CASO NÃO BAIXASSE, ACIONÁ-LO NOVAMENTE PARA NOVA INTERVENÇÃO.</t>
  </si>
  <si>
    <t>11/03/2026</t>
  </si>
  <si>
    <t>Agência Transfusional</t>
  </si>
  <si>
    <t>Leito 28</t>
  </si>
  <si>
    <t>Óbito possivelmente evitável - (M.A.M.D.S 171808)</t>
  </si>
  <si>
    <t>INC 1869 / 2026</t>
  </si>
  <si>
    <t>Paciente com progressão para choque septico refratório e falência múltipla de orgãos. Evolui com piora de quadro septico. Veio a óbito com a necessidade de transferência para cirurgia torácica.</t>
  </si>
  <si>
    <t>UTI ADULTO</t>
  </si>
  <si>
    <t xml:space="preserve">Óbito possivelmente evitável - NECESSIDADE DE HEMODINAMICA </t>
  </si>
  <si>
    <t>INC 1870 / 2026</t>
  </si>
  <si>
    <t>Paciente DRC, DM, internou por lombalgia com piora, diarreia e febre. Alergia a captopril, enalapril, buscopam. Apresentou ECG infra de V4,V5 E V8. Evoluiu sem possibilidade de realização de cateterismo e/ou angioplastia primária intercorrendo com PCR em assistolia sem RCE. Paciente evoluiu a obito com a necessidade de serviçoes hemodinâmicos na rede SUS.</t>
  </si>
  <si>
    <t xml:space="preserve">Óbito possivelmente evitável - IC DESCOMPENSADA COM NECESSIDADE DE HEMODINAMICA </t>
  </si>
  <si>
    <t>INC 1871 / 2026</t>
  </si>
  <si>
    <t>Trata-se de paciente idosa com histórico de doenças prévias (HPP). DE HAS, DM, ICC E DPOC DE ETIOLOGIA TABÁGICA. Foi admitida em leito de clínica médica, proveniente da UPA, com quado de descompensação de ICC. Ás 03:55 hrs apresentou PCR em ritmo de assistolia. Foi iniciada RCP de alta qualidade, porém, sem retorno da circulação espontânea (RCE) após as manobras. Óbito foi constatado as 03:43hrs. Paciente necessitava de serviços hemodinamicos.</t>
  </si>
  <si>
    <t>Óbito possivelmente evitável - PACIENTE COM NECESSIDADE DE COLOCAÇÃO DE MARCAPASSO.</t>
  </si>
  <si>
    <t>INC 1872 / 2026</t>
  </si>
  <si>
    <t>Paciente cardiopata, BAVT, veio a óbito internado na unidade aguardando transferência para colocação de marcapasso.</t>
  </si>
  <si>
    <t>Falta higienização do paciente na admissão</t>
  </si>
  <si>
    <t>INC 1873 / 2026</t>
  </si>
  <si>
    <t>Paciente admitido na Clínica Cirúrgica às 04:00 horas, proveniente de atendimento inicial relacionado a acidente. Durante avaliação assistencial subsequente, foi identificado que não havia sido realizada a higienização corporal do paciente na admissão, permanecendo o mesmo com as vestimentas utilizadas no momento do acidente.
A ausência de higienização e troca de vestimenta após admissão caracteriza falha no cuidado inicial ao paciente, podendo impactar na segurança do paciente, uma vez que aumenta o risco de contaminação, dificulta a avaliação adequada de possíveis lesões e compromete o conforto e a dignidade do paciente durante a internação.</t>
  </si>
  <si>
    <t>lcort08</t>
  </si>
  <si>
    <t>JEJUM PROLONGADO PARA PROCEDIMENTO CIRURGICO</t>
  </si>
  <si>
    <t>INC 1874 / 2026</t>
  </si>
  <si>
    <t>Gisely Leticia Medeiros Bessa</t>
  </si>
  <si>
    <t>Paciente em leito de UTI teve a dieta suspensa as 00h do dia 05/03 para a realização da traqueostomia na manhã do dia seguinte, como não houve um retorno da situação e o paciente permanecia em dieta zero por mais de 10h, a supervisora da UTI entrou em contato com centro cirurgico e foi informada de que o procedimento foi cancelado as 12h do dia 05/03, por volta das 18h do mesmo dia a dieta foi retomada. Sobe a justificativa de que o paciente ficou de zero por mais tempo sem necessidade, entrando em hipercatabolismo, sendo paciente critico, aumentando as chances de infecções e comprometendo a resposta inflamatória do mesmo, notifico para a melhoria do processo de comunicação.</t>
  </si>
  <si>
    <t xml:space="preserve">Fragilidade na transição de cuidados </t>
  </si>
  <si>
    <t>INC 1875 / 2026</t>
  </si>
  <si>
    <t>Paciente proveniente do cc em PO de tratamento cirúrgico de fratura de fêmur direito chegou a UTI com curativo em ferida operatória extremamente sujo de sangue, em uso de noradrenalina em equipo não fotossensível, acesso venoso central sujo de sangue, acesso venoso periférico em uso de esparadrapo, paciente com hipotensão e hipotermia.</t>
  </si>
  <si>
    <t>Indisponibilidade de Clorexidina 0,12% na Farmácia Satélite da UTI</t>
  </si>
  <si>
    <t>INC 1876 / 2026</t>
  </si>
  <si>
    <t>Gabriele da Silva Silva</t>
  </si>
  <si>
    <t>No dia 09 de março de 2026, foi identificada a indisponibilidade de clorexidina 0,12% na farmácia satélite, responsável por atender às demandas da Unidade de Terapia Intensiva (UTI). Ressalta-se que este insumo é essencial para a realização da higiene oral dos pacientes internados.
Considerando que se trata de uma demanda rotineira e diária, observa-se a necessidade de manutenção desse insumo disponível na farmácia satélite. O fato de depender do envio pela farmácia central ocasiona atrasos no atendimento e na assistência aos pacientes da UTI, impactando o fluxo de cuidados prestados pela equipe.
Atraso na entrega das clorexidinas 0,12%, foram recebidas depois das 10h da manhã</t>
  </si>
  <si>
    <t>INC 1877 / 2026</t>
  </si>
  <si>
    <t>No dia 09 de março de 2026, foi identificada a indisponibilidade de clorexidina 0,12% na farmácia satélite, responsável por atender às demandas da Unidade de Terapia Intensiva (UTI). Ressalta-se que este insumo é essencial para a realização da higiene oral dos pacientes internados.
Considerando que se trata de uma demanda rotineira e diária, observa-se a necessidade de manutenção desse insumo disponível na farmácia satélite. O fato de depender do envio pela farmácia central ocasiona atrasos no atendimento e na assistência aos pacientes da UTI, impactando o fluxo de cuidados prestados pela equipe.
Atraso na entrega das clorexidinas 0,12%, foram recebidas depois das 10h da manhã</t>
  </si>
  <si>
    <t>INC 1878 / 2026</t>
  </si>
  <si>
    <t>LPP CALCANEO CM</t>
  </si>
  <si>
    <t>INC 1879 / 2026</t>
  </si>
  <si>
    <t>Lesão por pressão não classificável em região calcânea direito, devido à presença de tecido desvitalizado úmido que impede visualização da profundidade real.
Realizado curativo conforme protocolo, orientado e mantido alívio de pressão, solicitado parecer da comissão de feridas para avaliação e possível desbridamento.
Lesão protegida, sem complicações imediatas.
Instalada placa de orientação de cuidados com paciente com LPP e relógio de mudança de decúbito.
notifico para registro do caso.</t>
  </si>
  <si>
    <t>24</t>
  </si>
  <si>
    <t>LPP TROCANTER CM</t>
  </si>
  <si>
    <t>INC 1880 / 2026</t>
  </si>
  <si>
    <t>Presença de área com eritema não branqueável em regiões trocantéricas direita e esquerda, pele íntegra, quente ao toque, paciente acamado, Braden = 11.
Realizado alívio de pressão imediata, mudança de decúbito, proteção local com placa de espuma/silicone, hidratação da pele, orientação à equipe quanto à vigilância da área.
Área mantida íntegra, sem progressão da lesão, paciente confortável, pele monitorada continuamente.
Instalada placa de orientação de cuidados com paciente com LPP e relógio de mudança de decúbito.
notifico para registro do caso.</t>
  </si>
  <si>
    <t xml:space="preserve">LPP SACRAL </t>
  </si>
  <si>
    <t>INC 1881 / 2026</t>
  </si>
  <si>
    <t>Observa-se lesão inicialmente classificada como LPP estágio 2, evoluindo para estágio 3, apresentando perda total da espessura da pele.
Ao exame, identifica-se lesão de formato irregular, com área aberta linear associada a pequenas áreas adjacentes de perda tecidual. Leito da ferida com predomínio de tecido de granulação de coloração vermelho-vivo, úmido, sem presença evidente de tecido necrótico ou esfacelo no momento. Presença de exsudato seroso em pequena quantidade. Bordas irregulares, levemente maceradas em pontos isolados. Pele perilesional apresentando hiperpigmentação e sinais de fricção/pressão prévia, sem hiperemia importante ou sinais clínicos de infecção local. Paciente com mobilidade reduzida, fator predisponente para manutenção da lesão.
Orientadas medidas de alívio rigoroso de pressão, com orientação para mudança de decúbito a cada 2 horas, manutenção de superfície de suporte adequada (colchão pneumático/redistribuição de pressão) e proteção da pele perilesional.
Notifico para tratativa do caso.</t>
  </si>
  <si>
    <t>13/04/2026</t>
  </si>
  <si>
    <t>12 - OBS-PS</t>
  </si>
  <si>
    <t>Paciente sem identificação</t>
  </si>
  <si>
    <t>INC 1882 / 2026</t>
  </si>
  <si>
    <t>Danielly Santos Feitosa Camilo</t>
  </si>
  <si>
    <t>Ao receber paciente K.D.S.S no centro cirurgico no dia 06/03/2026 foi identificado que a mesma se encontrava sem pulseira de identificação e sem a pulseira de alergia. Ressalto que a falta dessas identificaçoes gera falha e risco a segurança do paciente.
Pontuario:232331</t>
  </si>
  <si>
    <t>Intercorrência durante transporte de paciente crítico para o CC</t>
  </si>
  <si>
    <t>INC 1883 / 2026</t>
  </si>
  <si>
    <t>No dia 11/02/2026, por volta das 18h, foi informado pelo cirurgião geral às enfermeiras do Bloco Cirúrgico que haveria um procedimento de emergência, sendo solicitado o encaminhamento imediato do paciente para o setor. A equipe organizou a sala e entrou em contato com a Sala Vermelha para obter informações clínicas do paciente, a fim de organizar a equipe e comunicar a anestesista acerca do caso.
Nesse contato telefônico, uma interna informou que a enfermeira responsável pela Sala Vermelha encontrava-se indisponível para a passagem do caso, em razão da gravidade dos pacientes presentes no setor. A interna tentou repassar informações, comunicando que havia também outro paciente grave da ortopedia para ser encaminhado ao Bloco Cirúrgico.
Diante disso, a enfermeira Iara, do Bloco Cirúrgico, solicitou que a enfermeira da Sala Vermelha entrasse em contato assim que possível para alinhamento dos casos e definição do fluxo. Ressalta-se que, até esse momento, não houve qualquer comunicação prévia por parte do médico ortopedista com a equipe do Bloco Cirúrgico sobre a necessidade de procedimento para o paciente da ortopedia.
Considerando que o cirurgião geral já se encontrava no Bloco Cirúrgico, que não havia aviso formal sobre o caso da ortopedia e que o Ortopedista não estava no setor, foi solicitado o encaminhamento apenas do paciente da cirurgia geral. Este paciente foi encaminhado e direcionado à sala cirúrgica.
O médico ortopedista chegou ao Bloco Cirúrgico informando sobre o caso do paciente e que este realizaria um raio-X, entretanto, o paciente da ortopedia E.F.A. (prontuário nº 169562, DN: 21/02/1947) deu entrada cerca de cinco minutos depois no Bloco Cirúrgico sem qualquer aviso prévio à equipe do setor. 
A equipe da Sala Vermelha informou que, durante o trajeto para o raio-x, a bomba de infusão de noradrenalina descarregou, pois estava sem o cabo de alimentação e não mantinha carga fora da tomada. Com isso, o paciente apresentou piora do quadro clínico e alterações significativas dos sinais vitais.
No momento da chegada, a anestesista encontrava-se em sala com o paciente da cirurgia geral. O paciente foi recebido pelo enfermeiro Celmo e pela enfermeira Fernanda, não havendo possibilidade de atendimento imediato pela anestesista, pois esta se encontrava em procedimento com outro paciente crítico.
Ao receber o paciente da ortopedia, não havia registro de sinais vitais no monitor. O paciente foi levado à sala cirúrgica e, na avaliação inicial, foi constatado que se encontrava sem pulso, em parada cardiorrespiratória. Imediatamente, a equipe iniciou as manobras de reanimação conforme protocolo institucional.
Essa ocorrência expôs ambos os pacientes a risco assistencial significativo, em razão da ausência de comunicação prévia, falha no fluxo de encaminhamento e falta de organização adequada para o recebimento simultâneo de dois casos graves no Bloco Cirúrgico.
Esta notificação tem como objetivo registrar o ocorrido, sinalizar as falhas de comunicação e de fluxo assistencial, e reforçar a necessidade de que todo encaminhamento de paciente crítico ao Bloco Cirúrgico seja previamente comunicado, a fim de garantir a segurança do paciente e da equipe</t>
  </si>
  <si>
    <t>REOPERAÇÃO NÃO PROGRAMADA</t>
  </si>
  <si>
    <t>INC 1884 / 2026</t>
  </si>
  <si>
    <t>Paciente internado nesta unidade em 13/02 para realização de apendicectomia, conforme evolução médica, tendo sido submetido ao procedimento sem intercorrências. Alta melhorada 15/02.
Em 22/02, o paciente retornou a esta unidade hospitalar apresentando dor abdominal intensa, náuseas, vômitos e diarreia. Na mesma data, foi encaminhado para cirurgia de emergência, sendo submetido à laparotomia exploradora em decorrência de peritonite generalizada no pós-operatório de apendicectomia complicada.
O procedimento foi realizado sob anestesia geral, sendo identificada grande quantidade de pus em cavidade abdominal.</t>
  </si>
  <si>
    <t>INC 1885 / 2026</t>
  </si>
  <si>
    <t>NOTIFICO O CENTRO CIRÚRGICO POR ENCAMINHAR PACIENTE PARA A UNIDADE SEM O USO DE TEGADERM NO ACESSO VENOSO PERIFÉRICO (AVP), ENCONTRANDO-SE O DISPOSITIVO SEM A DEVIDA FIXAÇÃO E PROTEÇÃO ADEQUADA. PACIENTE RECEBIDO NO SETOR, SENDO REALIZADA A AVALIAÇÃO DO DISPOSITIVO E ADOTADAS AS MEDIDAS NECESSÁRIAS PELA EQUIPE DE ENFERMAGEM PARA GARANTIR A SEGURANÇA E MANUTENÇÃO DO ACESSO VENOSO.</t>
  </si>
  <si>
    <t>leito 6  ort</t>
  </si>
  <si>
    <t>ENCAMINHAMENTO DE PACIENTE SEM ACOMPANHAMENTO DA ENFERMAGEM</t>
  </si>
  <si>
    <t>INC 1886 / 2026</t>
  </si>
  <si>
    <t>Paciente: J dos S B
Exame solicitado: Tomografia Computadorizada de Crânio
Classificação de risco: URGENTE
Justificativa clínica na guia médica: Neurotoxoplasmose / Crises convulsivas
Descrição da ocorrência:
Informamos que o paciente acima identificado foi encaminhado ao setor de Diagnóstico por Imagem para realização de Tomografia Computadorizada de Crânio, conforme prescrição médica registrada em prontuário eletrônico.
No momento da chegada ao setor, foi constatado que o paciente estava acompanhado exclusivamente pelo maqueiro, sem a presença de profissional da equipe de enfermagem, apesar de se tratar de paciente classificado como urgente e com histórico clínico de crises convulsivas, conforme descrito na solicitação médica.
Diante da condição clínica descrita, ressalta-se que o transporte e acompanhamento de pacientes com risco potencial de instabilidade clínica devem ocorrer sob supervisão de profissional habilitado da equipe assistencial, preferencialmente da enfermagem, garantindo monitoramento adequado durante o deslocamento e permanência no setor de imagem.
Riscos potenciais ao paciente:
A ausência de acompanhamento da equipe de enfermagem pode acarretar riscos assistenciais, tais como:
Ocorrência de crise convulsiva durante o transporte ou no setor de imagem, sem assistência imediata especializada;
Possibilidade de instabilidade clínica súbita, sem monitoramento adequado dos sinais e sintomas;
Risco de queda ou aspiração, especialmente em caso de rebaixamento do nível de consciência;
Atraso na intervenção assistencial em situações de urgência ou intercorrências;
Comprometimento da segurança do paciente, conforme preconizado pelos protocolos assistenciais e de segurança hospitalar.</t>
  </si>
  <si>
    <t>ENCAMINHAMENTO DE PACIENTE SEM ACOMPANHAMENTO DA EQUIPE DE ENFERMAGEM</t>
  </si>
  <si>
    <t>INC 1887 / 2026</t>
  </si>
  <si>
    <t>Paciente: H C B
Data de nascimento: 04/07/2004
Exame solicitado: Tomografia Computadorizada de Crânio
Classificação de risco: URGENTE
Médico solicitante: Dr. Tiago Tabosa Prata - CRM/PA 21273
Descrição da ocorrência:
Informamos que o paciente acima identificado foi encaminhado ao setor de Diagnóstico por Imagem para realização de Tomografia Computadorizada de Crânio, conforme solicitação médica registrada no prontuário eletrônico.
De acordo com a justificativa clínica presente na guia médica, o paciente relata queda de motocicleta ocorrida no domingo, apresentando cefaleia, tontura e episódios de vômitos, tendo ocorrido último episódio de êmese na madrugada, com relato de uso de capacete no momento do acidente.
No momento da chegada ao setor de imagem, foi observado que o paciente estava acompanhado exclusivamente pelo maqueiro, sem acompanhamento de profissional da equipe de enfermagem, apesar da classificação de risco URGENTE e da suspeita clínica de trauma cranioencefálico decorrente do acidente motociclístico.
Riscos potenciais ao paciente durante o transporte e permanência no setor:
Considerando o quadro clínico descrito na solicitação médica, a ausência de acompanhamento da equipe assistencial pode expor o paciente aos seguintes riscos:
Possível rebaixamento do nível de consciência decorrente de trauma cranioencefálico;
Episódios de vômitos, com risco de broncoaspiração durante o transporte ou no posicionamento para o exame;
Instabilidade clínica súbita, necessitando de intervenção imediata;
Tontura ou perda de equilíbrio, aumentando risco de queda durante movimentação;
Agravamento de possível lesão neurológica, sem monitoramento clínico adequado;
Atraso na identificação e manejo de intercorrências clínicas durante o deslocamento ou realização do exame.
Considerações:
Ressalta-se que pacientes classificados como urgentes, especialmente com suspeita de trauma cranioencefálico ou sintomas neurológicos, devem ser encaminhados para exames diagnósticos com acompanhamento de profissional da equipe assistencial, preferencialmente da enfermagem, a fim de garantir monitoramento adequado e intervenção imediata em caso de intercorrências.</t>
  </si>
  <si>
    <t>PACEINTE COM AVP COM SUJIDADE</t>
  </si>
  <si>
    <t>INC 1888 / 2026</t>
  </si>
  <si>
    <t>Notifico a CLINICA CIRÚGICA que o paciente foi encaminhado ao CENTRO CIRÚRGICO apresentando sujidade no AVP (Acesso Venoso Periférico), em desacordo com as condições ideais de assepsia e segurança para o procedimento.
Solicito atenção quanto à verificação das condições do acesso venoso antes do encaminhamento do paciente, a fim de garantir a adequada segurança e prevenção de riscos de infecção.</t>
  </si>
  <si>
    <t>CENTRO CIRURGICO SALA DE INDUÇÃO</t>
  </si>
  <si>
    <t xml:space="preserve">PACIENTE COM AVP SEM IDENTIFICAÇÃO </t>
  </si>
  <si>
    <t>INC 1889 / 2026</t>
  </si>
  <si>
    <t>Notifico a Clínica Ortopédica por encaminhar paciente ao Centro Cirúrgico sem identificação do AVP (Acesso Venoso Periférico), em desacordo com as normas de segurança e identificação de dispositivos.
Solicito maior atenção quanto à identificação adequada do acesso venoso antes do encaminhamento do paciente, visando garantir a segurança e rastreabilidade do dispositivo.</t>
  </si>
  <si>
    <t>PACIENTE ENCAMINHADO AO CENTRO CIRURGICO COM ADORNOS</t>
  </si>
  <si>
    <t>INC 1890 / 2026</t>
  </si>
  <si>
    <t>Notifico a Clínica Ortopédica por encaminhar paciente à unidade com adorno (aliança), em desacordo com as orientações de preparo e segurança do paciente para o procedimento.
Solicito maior atenção quanto à retirada de adornos antes do encaminhamento do paciente, visando prevenir riscos e garantir o cumprimento dos protocolos institucionais.</t>
  </si>
  <si>
    <t>CLINICA CIRURGICO SALA DE INDUÇÃO</t>
  </si>
  <si>
    <t>Reoperação não programada paciente evolui para óbito</t>
  </si>
  <si>
    <t>INC 1891 / 2026</t>
  </si>
  <si>
    <t>Paciente interna nesta unidade para realizar procedimento de colecistectomia eletiva dia 20/02, conforme descrição médica procedimento sem intercorrências, dia 23/02 paciente submetido a laparotomia exploratória. Paciente submetido à laparotomia exploradora devido a quadro de fístula biliar. Durante o procedimento foi identificada fístula biliar em coto do ducto cístico. Pós operatório em UTI. Dia 25/02 Paciente evoluiu com choque refratário, em uso de aminas em doses máximas, sem resposta terapêutica. Apresentou parada cardiorrespiratória (PCR), sendo realizadas manobras de reanimação cardiopulmonar por 40 minutos, sem resposta. Óbito declarado às 09h32.</t>
  </si>
  <si>
    <t xml:space="preserve">Re abordagem cirúrgica </t>
  </si>
  <si>
    <t>INC 1892 / 2026</t>
  </si>
  <si>
    <t>Paciente A.B.A. vítima de trauma por moto foi submetido a procedimento cirúrgico devido fratura de diáfise fêmur direito no dia 05/03/2026 com ortopedia.
O paciente foi encaminhado a UTI no pós operatório com FO com sangramento intenso, que persistiu por alguns dias.
Paciente precisou passar por re abordagem cirúrgica com cirurgião vascular no dia 08/03/2026, paciente precisou de concentrado de hemácias.</t>
  </si>
  <si>
    <t>Reoperação Não programada</t>
  </si>
  <si>
    <t>INC 1893 / 2026</t>
  </si>
  <si>
    <t>12/03/2026</t>
  </si>
  <si>
    <t>Data do procedimento inicial: 24/01
Descrição do caso:
Paciente submetida em 24/01 a hernioplastia incisional abdominal eletiva, realizada sob raquianestesia, com colocação de tela. O procedimento ocorreu sem intercorrências. Após o ato cirúrgico, a paciente foi encaminhada à enfermaria, evoluindo clinicamente bem. Em 26/01, foi realizada a retirada do dreno tipo Portovac, e a paciente recebeu alta hospitalar em boas condições clínicas. Em 06/02, a paciente retornou ao Pronto-Socorro, apresentando abaulamento no local da ferida operatória. Foi realizada ultrassonografia de parede abdominal, que evidenciou coleção em parede abdominal. Em 07/02, a paciente foi submetida à drenagem de coleção da parede abdominal, sob raquianestesia associada à sedação, sem intercorrências. Observou-se saída imediata de grande volume de líquido sero-hemático, sendo realizada a colocação de dreno tipo Portovac.
Desfecho:
Complicação pós-operatória caracterizada por coleção em parede abdominal, necessitando de reabordagem cirúrgica para drenagem.
Caso encaminhado para registro e análise conforme protocolo institucional de Segurança do Paciente, visando avaliação de fatores contribuintes e prevenção de recorrências.</t>
  </si>
  <si>
    <t>INC 1894 / 2026</t>
  </si>
  <si>
    <t>Procedimento relacionado: Apendicectomia
Data do evento inicial: 13/02
Em 12/02, paciente admitido com quadro clínico compatível com apendicite aguda. Em 13/02, foi submetido à apendicectomia, realizada sem intercorrências. Foi mantido dreno sentinela, com saída de secreção sero-hemática de baixo débito. Recebe alta mellhorda em 15/02.
Em 22/02, o paciente retornou ao hospital apresentando dor abdominal intensa, associada a náuseas, vômitos e diarreia, referindo ausência de eliminação de flatos há dois dias. Encontrava-se deambulando, porém com fácies de dor.
Na mesma data (22/02), diante do quadro clínico, o paciente foi submetido à laparotomia exploradora, sendo diagnosticada peritonite generalizada no pós-operatório de apendicectomia complicada. O procedimento foi realizado sob anestesia geral, com identificação de grande quantidade de pus em cavidade abdominal.
Foram realizados lavagem exaustiva da cavidade abdominal, drenagem e confecção de bolsa de tabaco no coto apendicular. Instituída antibioticoterapia com ceftriaxona e metronidazol, finalizada em 02/03. Paciente encaminhado para recuperação em enfermaria.
Desfecho:
Em 04/03, paciente recebeu alta hospitalar com melhora clínica.
Conduta adotada:
Reabordagem cirúrgica com laparotomia exploradora, controle de foco infeccioso, drenagem abdominal e antibioticoterapia endovenosa.
Incidente registrado para fins de monitoramento, análise de causa e melhoria contínua dos processos assistenciais, conforme diretrizes institucionais de Segurança do Paciente.</t>
  </si>
  <si>
    <t xml:space="preserve">COMPLICAÇÃO CIRÚRGICA </t>
  </si>
  <si>
    <t>INC 1895 / 2026</t>
  </si>
  <si>
    <t>Complicação cirúrgica / reoperação
Área envolvida: Ginecologia / Urologia / Nefrologia
Data do evento inicial: 16/02
Data da identificação do incidente: 23/02
Descrição do incidente:
Paciente admitida em 07/02 com sangramento uterino anormal intenso há aproximadamente um mês, associado a astenia e dismenorreia, necessitando uso de fralda devido ao volume do sangramento. Durante a internação, manteve sangramento ativo, sendo necessária hemotransfusão.
Apresentava exames laboratoriais de 13/02 com anemia importante (Hb 7,9 g/dL / Ht 25,3%). Evoluiu com insuficiência renal aguda KDIGO 3, possivelmente associada à nefrite intersticial aguda secundária ao uso de cetoprofeno, conforme avaliação da Nefrologia. Foi indicado suporte renal substitutivo, com implante de cateter duplo lúmen em veia jugular interna direita, sem intercorrências, e início de hemodiálise. Orientada suspensão imediata de AINEs e IECA/BRA.
Em 16/02, foi submetida a histerectomia total por miomatose uterina, sem intercorrências intraoperatórias relatadas.
Em 22/02, paciente apresentou eliminação de secreção citrina, sem odor, pela ferida operatória, inicialmente sem características típicas de seroma, sendo levantada a hipótese de extravasamento urinário.
Em 23/02, a paciente evoluiu com eliminação de urina pela ferida operatória, caracterizando lesão do trato urinário no pós-operatório, configurando complicação cirúrgica. O caso foi discutido com a equipe de Urologia, sendo indicada reoperação.
Conduta adotada (reoperação):
Em 24/02, a paciente foi submetida a laparotomia exploradora, com identificação de lesão ureteral direita, sendo realizada ureterorrafia direita e implante de cateter duplo J bilateral.
No pós-operatório, exames de urgência evidenciaram normalização da função renal. Paciente manteve acompanhamento clínico, apresentando evolução hemodinâmica estável.</t>
  </si>
  <si>
    <t xml:space="preserve">CURATIVO INADEQUADO PARA TRANSFERÊNCIA ENTRE SETORES </t>
  </si>
  <si>
    <t>INC 1896 / 2026</t>
  </si>
  <si>
    <t>Paciente com queimadura de 2º grau superficial em região torácica e dorso da mão esquerda, recebido na unidade CLC proveniente da UTI. Observado curativo composto apenas por compressas sobre a lesão, sem fixação com ataduras ou outro método que garantisse estabilidade da cobertura durante o transporte. Situação que expõe a ferida ao risco de contaminação e perda da cobertura, configurando não conformidade na continuidade do cuidado e potencial risco para infecção relacionada à assistência. 
Realizado curativo adequado na unidade conforme protocolo institucional.
Equipe da unidade de origem orientada sobre a forma correta.
Notifico para registro do caso.</t>
  </si>
  <si>
    <t>PACIENTE ENCAMINHADO AO CC COM ADORNOS</t>
  </si>
  <si>
    <t>INC 1897 / 2026</t>
  </si>
  <si>
    <t>Ao receber paciente A.P.C.O no centro cirurgico foi identificado que a mesma se encontrava com anel. Ressalto que adornos gera risco a segurança do paciente. PRONTUARIO:339706</t>
  </si>
  <si>
    <t>paciente com adorno e roupa intima encaminhado ao CC</t>
  </si>
  <si>
    <t>INC 1898 / 2026</t>
  </si>
  <si>
    <t>Ao receber paciente R.N.D.A.D.S no centro cirurgico foi identificado que o mesmo se encontrava com pulseira e roupa intima. Ressalto que isso gera risco a segurança do paciente. 
PRONTUARIO:344587</t>
  </si>
  <si>
    <t>centro cirurgico</t>
  </si>
  <si>
    <t>Atraso na troca de acesso venoso periférico flebitado com impacto na administração de medicação.</t>
  </si>
  <si>
    <t>INC 1899 / 2026</t>
  </si>
  <si>
    <t>13/03/2026</t>
  </si>
  <si>
    <t>Paciente Leito 21 Cirurgica, apresentava acesso venoso periférico com sinais de flebite, sendo indicada pela SCIH e Enfermeira Assistencial retirada imediata e realização de nova punção venosa conforme protocolo institucional. No momento da solicitação do material necessário para o procedimento, houve demora na dispensação pela farmácia (mais de 4h) , o que impossibilitou a realização imediata da troca do acesso.
Em decorrência da indisponibilidade do material no momento oportuno, houve dificuldade da equipe assistencial em estabelecer novo acesso venoso, resultando em atraso na administração de medicação intravenosa (antibioticoterapia) prescrita no horário previsto.
O material foi disponibilizado posteriormente, após solicitação à supervisão da unidade, momento em que foi realizada a punção venosa e regularizada a administração medicamentosa.
O atraso na administração de medicação intravenosa prescrita, além da permanência de acesso venoso com sinais de flebite por tempo superior ao recomendado, podendo gerar dor, inflamação local e risco de complicações associadas ao acesso venoso.</t>
  </si>
  <si>
    <t>Preparo inadequado de paciente</t>
  </si>
  <si>
    <t>INC 1900 / 2026</t>
  </si>
  <si>
    <t>Foi identificado evento relacionado ao cumprimento da Meta de Cirurgia Segura, em que paciente com procedimento eletivo, cujo preparo deveria ter sido realizado no plantão noturno pela equipe do próprio setor, não foi devidamente preparado dentro do tempo oportuno.
Em decorrência da falha, o preparo precisou ser realizado de forma apressada no período da manhã, no momento em que o paciente já estava em processo de encaminhamento ao Centro Cirúrgico. Além disso, o paciente foi encaminhado sem acesso venoso periférico instalado, gerando não conformidade no fluxo assistencial e expondo o processo a riscos desnecessários.
A situação compromete a organização do cuidado, a segurança do paciente e o cumprimento adequado das etapas preconizadas no protocolo institucional de cirurgia segura, podendo ocasionar atrasos, intercorrências e fragilidade na assistência perioperatória.</t>
  </si>
  <si>
    <t>14</t>
  </si>
  <si>
    <t>HIGIENIZAÇÃO DAS MÃOS PREJUDICADA POR OBSTRUÇÃO FÍSICA</t>
  </si>
  <si>
    <t>INC 1901 / 2026</t>
  </si>
  <si>
    <t>Durante visita de rotina no Pronto Socorro, foi verificado que pias destinadas à higienização das mãos encontravam-se obstruídas por lixeiras posicionadas à frente do equipamento, dificultando o acesso e, consequentemente, a adequada realização da higienização das mãos pelos profissionais. A situação foi observada especificamente na sala de medicação e na UDC.
Ressalta-se que a higienização das mãos é considerada uma das principais medidas de prevenção e controle de Infecções Relacionadas à Assistência à Saúde (IRAS), sendo imprescindível que os pontos destinados a essa prática permaneçam livres de obstruções e de fácil acesso para os profissionais durante a assistência. Notifico para melhoria do processo.</t>
  </si>
  <si>
    <t>QUEDA INTRA HOSPITALAR</t>
  </si>
  <si>
    <t>INC 1902 / 2026</t>
  </si>
  <si>
    <t xml:space="preserve">Gerência de Cuidados Cirúrgicos / CME - Centro de Material e Esterilização </t>
  </si>
  <si>
    <t>Angela Maria Amorim Panont</t>
  </si>
  <si>
    <t>14/03/2026</t>
  </si>
  <si>
    <t>Sinalizo ocorrência de queda intra-hospitalar envolvendo paciente internado nesta unidade. No momento da ocorrência, o paciente encontrava-se fazendo uso do banheiro, quando tentou retornar para seu leito sem auxílio da equipe e do acompanhante, teve uma crise convulsiva  evoluindo com queda ao solo, sendo colocada ao leito acionado internista que imediatamente esteve presente, a mesma avalia paciente a beira leito, ausência de possíveis lesão.
 Sinais vitais verificados e mantidos  PA: 160X70, FC 87BPM, SPO2 99%.Oriento  paciente ficar mantido sob observação.
Medidas de segurança foram reforçadas, incluindo orientação ao paciente e acompanhante quanto à solicitação de auxílio à equipe para deambulação, bem como reforço das medidas de prevenção de quedas. PACIENTE SEGU
Evento registrado para ciência da equipe e monitoramento da segurança do paciente.</t>
  </si>
  <si>
    <t>PRE OPERATORIO INEFICAZ</t>
  </si>
  <si>
    <t>INC 1903 / 2026</t>
  </si>
  <si>
    <t>16/03/2026</t>
  </si>
  <si>
    <t>Paciente admitido no período noturno para realização de procedimento cirúrgico eletivo. Durante avaliação no período diurno, foi identificado que o paciente encontrava-se sem preparo cirúrgico realizado e sem uso de bata cirúrgica, conforme rotina institucional.
Ressalta-se que o colaborador do plantão noturno, Tec. de Enfermagem Wília, devido solicitação superior, permaneceu no setor no período diurno até o meio dia e realizou as providências necessárias para encaminhamento do paciente ao Centro Cirúrgico.
Entretanto, no momento do encaminhamento, foi observado que o paciente seguiu para o Centro Cirúrgico sem acesso venoso periférico, situação que pode aumentar riscos assistenciais, como atraso no início do procedimento, dificuldade para administração imediata de medicações e fluidoterapia, além de possíveis intercorrências no período pré-operatório.
Ocorrência registrada para conhecimento da equipe e reforço da importância do cumprimento do protocolo de preparo pré-operatório, visando maior segurança ao paciente.</t>
  </si>
  <si>
    <t>LEITO 14</t>
  </si>
  <si>
    <t>Administração inadequada de medicação em paciente com sonda enteral</t>
  </si>
  <si>
    <t>INC 1904 / 2026</t>
  </si>
  <si>
    <t>Paciente em uso de sonda enteral no setor leito 28 senhor. J.A. F. Foi observado que a técnica de enfermagem assistencial do noturno, administrou comprimidos por via oral com água ao paciente e orientou à acompanhante que o mesmo poderia ingerir água.
Ressalta-se que pacientes em uso de sonda necessitam de avaliação (do fonoaudiólogo) e prescrição quanto à via de administração de medicamentos e ingestão oral, a fim de evitar riscos assistenciais como broncoaspiração, administração inadequada de medicamentos e possíveis complicações clínicas.
Ocorrência registrada para conhecimento da equipe e reforço das orientações quanto ao cumprimento das prescrições e protocolos assistenciais, visando garantir a segurança do paciente.</t>
  </si>
  <si>
    <t>leito 28</t>
  </si>
  <si>
    <t xml:space="preserve">Paciente encaminhada ao CC em uso de prótese dentária </t>
  </si>
  <si>
    <t>INC 1905 / 2026</t>
  </si>
  <si>
    <t>NO DIA 06/03/2026 PACIENTE M.M.L.R VEIO DA CLINICA CIRURGICA PARA REALIZAR PROCEDIMENTO  COM O CIRURGIÃO GERAL , DURANTE O CHECK LIST DE CIRURGIA SEGURA, EVIDENCIADO QUE A MESMA ESTAVA EM USO DE SUA PROTESE DENTARIA,FATO QUE COMPROMETE A SEGURANÇAS DO PACIENTE.REALIZO ESSA NOTIFICAÇÃO PARA MELHORIA DO SETOR E SEGURANÇA DO PACIENTE.</t>
  </si>
  <si>
    <t>CC</t>
  </si>
  <si>
    <t>Não conformidades nas práticas de segurança do paciente - Meta 01</t>
  </si>
  <si>
    <t>INC 1906 / 2026</t>
  </si>
  <si>
    <t>Não conformidades evidenciadas durante ronda da segurança foi observado paciente no centro sem o uso da pulseira de identificação, em desacordo com a Meta 01 .
Prontuario: 260409
Iniciais: IMCLM
Prontuario: 335981
Iniciais: RBS
Prontuario: 268159
Iniciais: ASLA
Prontuario: 179504
Iniciais: PFS
Prontuario: 214829
Iniciais: JPMA</t>
  </si>
  <si>
    <t>não conformidade</t>
  </si>
  <si>
    <t>INC 1907 / 2026</t>
  </si>
  <si>
    <t>Ao receber paciente K.D.S.S no centro cirurgico no dia 06/03/2026 foi identificado que a mesma se encontrava sem pulseira de identificação e sem a pulseira de alergia. Ressalto que a falta dessas identificaçoes gera falha e risco a segurança do paciente.</t>
  </si>
  <si>
    <t>06/04/2026</t>
  </si>
  <si>
    <t>INC 1908 / 2026</t>
  </si>
  <si>
    <t>NOTIFICO O SETOR DO AMBULATÓRIO POR ENCAMINHAR PACIENTE PARA A UNIDADE SEM IDENTIFICAÇÃO NO ACESSO VENOSO PERIFÉRICO (AVP). RESSALTA-SE QUE A IDENTIFICAÇÃO DO AVP É NECESSÁRIA PARA GARANTIR A SEGURANÇA DO PACIENTE E A RASTREABILIDADE DO DISPOSITIVO, CONTENDO INFORMAÇÕES COMO DATA, HORA E PROFISSIONAL RESPONSÁVEL PELA PUNÇÃO. SOLICITA-SE MAIOR ATENÇÃO QUANTO AO CUMPRIMENTO DOS PROTOCOLOS ASSISTENCIAIS.</t>
  </si>
  <si>
    <t>28/03/2026</t>
  </si>
  <si>
    <t>LEITO 3 ORTOPEDICO</t>
  </si>
  <si>
    <t>Medicação administrada na via PAI</t>
  </si>
  <si>
    <t>INC 1909 / 2026</t>
  </si>
  <si>
    <t>No plantão noturno dia dia 15/03/2026 paciente do leito 10 da uti teve PCR, e no momento da reanimação a tec em enfermagem acabou realizando a medicação adrenalina na via da PAI do paciente. 
A PAI e AVC do paciente ambos estavam na femoral direita com distância de 2 cm mais ou menos de uma via da outra.</t>
  </si>
  <si>
    <t>Carro de Emergência UCI com lacre rompido</t>
  </si>
  <si>
    <t>INC 1910 / 2026</t>
  </si>
  <si>
    <t>Foi realizada a abertura do carro de emergência no dia 17/03/2026, na unidade UCI Neonatal para conferência dos medicamentos (dobutamina e escetamina). No entanto, foi identificado que o carro encontrava-se com o lacre violado.
Além disso, havia um formulário de checklist preenchido, indicando utilização para atendimento de paciente, datado em 15/03/2026. Contudo, o referido formulário não foi encaminhado à farmácia para a devida reposição dos itens do carro de emergência.
A situação foi comunicada à enfermeira plantonista e à supervisão do setor.
Ressalta-se que, por se tratar de carro de emergência, é imprescindível a reposição imediata dos itens utilizados após a estabilização do paciente. Conforme protocolo, o tempo máximo estabelecido para reposição é de 30 minutos, tanto para a solicitação por parte da equipe de enfermagem quanto para o atendimento pela farmácia.
Considerando que a unidade atende pacientes com possibilidade de intercorrências, a ausência de itens no carro de emergência pode ocasionar risco assistencial e potencial incidente ao paciente..</t>
  </si>
  <si>
    <t xml:space="preserve">Falha na oferta de dieta para paciente. </t>
  </si>
  <si>
    <t>INC 1911 / 2026</t>
  </si>
  <si>
    <t>Giany Ferreira Gatinho Santos</t>
  </si>
  <si>
    <t>18/03/2026</t>
  </si>
  <si>
    <t>No dia 17/03/2026 o paciente A.B.A foi admitido na enfermaria da Clínica Cirúrgica às 18:19 H, sendo liberada a dieta no grupo de Whatsapp conforme rotina pela Enfermeira plantonista A.T.A.A.S ás 19:50 H dentro do horário definido pelo SND para entrega de alimentação extra de jantar até às 20 H. Realizo notificação para registro da falha na garantia de assistência segura(Nutrição adequada), solicito que revejam o fluxo de entrega para melhoria da assistência nutricional.</t>
  </si>
  <si>
    <t>Leito 19</t>
  </si>
  <si>
    <t>INC 1912 / 2026</t>
  </si>
  <si>
    <t>19/03/2026</t>
  </si>
  <si>
    <t>Durante ronda da segurança no Centro Cirurgico,  foi identificado pacientes, que deu entrada encaminhado do PAM sem pulseira de identificação .
Iniciais: TOS Prontuario: 344457
Iniciais: ECFO Prontuario: 262525
Iniciais: AKLO Prontuario: 155974
Iniciais: BRMS Prontuario: 209884</t>
  </si>
  <si>
    <t>LPP SACRAL - CM</t>
  </si>
  <si>
    <t>INC 1913 / 2026</t>
  </si>
  <si>
    <t>Paciente em média/longa internação, com mobilidade reduzida e dificuldade na adesão às orientações.
A equipe instalou colchão pneumático. Não há relógio de mudança de decúbito beira leito. 
Lesão: Grau 2, apresenta hiperemia não esbranquiçável à digitopressão periborda, regiões com rompimento de epiderme e dor.
Tratamento atual com AGE (óleo de girassol).
Notifico para tratativa do caso.</t>
  </si>
  <si>
    <t>08/04/2026</t>
  </si>
  <si>
    <t>INC 1914 / 2026</t>
  </si>
  <si>
    <t>Lesão por pressão em região sacral/glútea, classificada como Estágio 3, com perda total da espessura da pele, presença de cavidade, tecido de granulação, áreas de esfacelo e focos de necrose. Pele perilesional hiperpigmentada, com sinais de maceração. Presença de exsudato moderado, com aspecto variável. Risco elevado para infecção local e sistêmica.
O evento foi identificado e registrado em prontuário no dia 04/03/26, parabenizo a colaboradora pela evidência, e reforço a notificação imediata de EA de LPP.</t>
  </si>
  <si>
    <t>27</t>
  </si>
  <si>
    <t>LPP OCCIPITAL UTI</t>
  </si>
  <si>
    <t>INC 1915 / 2026</t>
  </si>
  <si>
    <t>Lesão por pressão localizada em região occipital, associada a proeminência óssea, apresentando área circular de aproximadamente 3-4 cm de diâmetro, com perda parcial da espessura da pele, compatível com Estágio 2. 
Presença de alopecia local associada à pressão contínua. Exsudato ausente.
Lesão provavelmente relacionada a pressão prolongada em região occipital, agravada por imobilidade, rebaixamento do nível de consciência e uso de dispositivos.
Fatores contribuintes identificados: Imobilidade prolongada, Rebaixamento do nível de consciência, Uso de dispositivos (apoio contínuo occipital), Estado crítico em UTI, Edema periférico.
Notifico para registro do caso.</t>
  </si>
  <si>
    <t>LPP'S DIVERSAS UTI</t>
  </si>
  <si>
    <t>INC 1916 / 2026</t>
  </si>
  <si>
    <t>Paciente apresenta lesão por pressão em região sacrococcígea e escapular classificadas como estágio 2, com perda superficial da pele e sinais de maceração associada à umidade. Além de lesão por dispositivo médico (colar cervical) em região da cintura escapular (em trapézio direito). Evidenciam-se alterações de coloração perilesional sugestivas de possível agravamento tecidual. Lesão compatível com evento adverso relacionado à assistência, possivelmente associado à pressão prolongada, quadro geral do paciente, umidade e/ou manejo inadequado de mudanças de decúbito. 
Notificado para monitoramento e implementação de medidas preventivas."</t>
  </si>
  <si>
    <t>LPP SACRAL - SV</t>
  </si>
  <si>
    <t>INC 1917 / 2026</t>
  </si>
  <si>
    <t>Paciente admitido em UTI com LPP em Região sacrococcígea e glútea bilateral, Presença de coloração purpúrea escura, castanha. Há também um hematoma extenso e áreas com aspecto de flutuação. Pele íntegra em algumas partes, mas com descoloração profunda e persistente. 
Lesão por Pressão Tissular Profunda (LPTP): Devido à coloração vermelho-escura/púrpura persistente e à aparência de "fundo de hematoma", sugerindo dano intenso nos tecidos moles subjacentes na interface osso-músculo. Dada a extensão e a coloração, esta lesão indica um dano tecidual severo e um alto risco de evolução para Estágio 3 ou 4.
O paciente evoluiu com estabilidade da lesão, sem piora e discreta melhora. 
Durante busca ativa no dia anterior à avaliação do paciente na UTI, a enfermeira do setor de origem (sala vermelha) informou o início da lesão sacral (já estava internado há 2 dias), porém sem possibilidade de instalar colchão pneumático ou placas pois seria transferido no mesmo dia para a UTI. Orientei a notificação e utilização das medidas de conforto/prevenção mesmo assim.
Notifico para registro do caso.</t>
  </si>
  <si>
    <t>LESÕES POR FRICÇÃO ou LRDM - UTI</t>
  </si>
  <si>
    <t>INC 1918 / 2026</t>
  </si>
  <si>
    <t>As lesões apresentam características compatíveis com lesões por fricção (skin tears) categoria 2 ou lesões por pressão relacionadas a dispositivos médicos, possivelmente decorrentes de adesivos ou movimentação no leito.
Face lateral da coxa, Lesões lineares e alongadas, múltiplas, com perda parcial da espessura da pele (epiderme e derme). Presença de tecido de granulação (vermelho vivo/brilhante) e áreas com desprendimento de retalho cutâneo (flap).  Mínimo, de aspecto serossanguinolento. Bordas Irregulares; nota-se que em algumas áreas a epiderme está "enrugada" ou descolada, sugerindo tração mecânica. Presença de eritema (vermelhidão) e marcas que sugerem pressão ou fricção recente, em região perilesão.
Notifico para registro do caso.</t>
  </si>
  <si>
    <t>Curativo adesivo de avp inadequado</t>
  </si>
  <si>
    <t>INC 1919 / 2026</t>
  </si>
  <si>
    <t>Notifico o setor PAM por encaminhar paciente com não conformidade no acesso venoso periférico (AVP), apresentando curativo com Tegaderm mas com o óstio do acesso tampado com esparadrapo, comprometendo sua adequada utilização.</t>
  </si>
  <si>
    <t>recebimento no centro cirurgico</t>
  </si>
  <si>
    <t>Paciente sem preparo para procedimento cirúrgico</t>
  </si>
  <si>
    <t>INC 1920 / 2026</t>
  </si>
  <si>
    <t>20/03/2026</t>
  </si>
  <si>
    <t>Ao receber paciente no centro cirurgico no dia 18/03/26 foi identificado esmalte nas unhas da paciente, sendo assim podendo interferir na leitura do oxímetro e assim gerando risco a segurança da paciente durante procedimento.
prontuario:244364</t>
  </si>
  <si>
    <t>paciente sem pulseira de identificação</t>
  </si>
  <si>
    <t>INC 1921 / 2026</t>
  </si>
  <si>
    <t>Ao receber paciente G.M.S em centro cirurgico para realizar procedimento de parto cesariana+laqueadura foi identificado que a mesma estava sem pulseira de identificação. ressalto que a paciente sem pulseira de identificação gera risco a segurança da paciente.
PRONTUARIO:183783</t>
  </si>
  <si>
    <t>INC 1922 / 2026</t>
  </si>
  <si>
    <t>Lesão por pressão localizada em região sacrococcigia, associada a proeminência óssea, apresentando área de aproximadamente 3-4 cm de diâmetro, com perda parcial da espessura da pele, compatível com Estágio 2. Exsudato ausente.
Lesão provavelmente relacionada a pressão prolongada da região, mesmo com o uso de espuma de silicone e colchão pneumático (longa internação), agravada por imobilidade, rebaixamento do nível de consciência e uso de dispositivos.
Fatores contribuintes identificados: Imobilidade prolongada, Rebaixamento do nível de consciência, Uso de dispositivos, Estado crítico em UTI, Edema periférico.
Notifico para registro do caso.</t>
  </si>
  <si>
    <t>vestimenta inadequada</t>
  </si>
  <si>
    <t>INC 1923 / 2026</t>
  </si>
  <si>
    <t>24/03/2026</t>
  </si>
  <si>
    <t>Paciente F.S.D.S deu entrada no dia 24/03/2026 no centro cirurgico utilizando vestimenta inadequada (calcinha), téc. justificando que a paciente está em período menstrual. Reforço que paciente em período menstrual deve ser encaminhada com fralda descartavel, garantindo segurança e higiene ao paciente.
PRONTUARIO:1608563</t>
  </si>
  <si>
    <t>PS - Pronto Socorro Adulto</t>
  </si>
  <si>
    <t xml:space="preserve">Paciente encaminhado ao CC com adorno </t>
  </si>
  <si>
    <t>INC 1924 / 2026</t>
  </si>
  <si>
    <t>No dia 20/03/2026 paciente A.G.D.S deu entrada no centro cirurgico utilizando pulseira de pano. Ressalto que antes de encaminhar paciente pro centro cirurgico é obrigatorio tirar todos os adornos , conforme protocolo de segurança e infecção.</t>
  </si>
  <si>
    <t>INC 1925 / 2026</t>
  </si>
  <si>
    <t>Bruno Silva Souza</t>
  </si>
  <si>
    <t>PACIENTE SEM IDENTIFICAÇÃO</t>
  </si>
  <si>
    <t>INC 1926 / 2026</t>
  </si>
  <si>
    <t>Ao receber paciente A.B.R.S em centro cirurgico foi identificado que a paciente se encontrava sem pulseira de identificação. Reforço que isso gera risco a segurança do paciente.
OBS:Paciente refere está sem pulseira á 2 dias.
PRONTUARIO:346180</t>
  </si>
  <si>
    <t>Paciente encaminhado ao CC com adorno</t>
  </si>
  <si>
    <t>INC 1927 / 2026</t>
  </si>
  <si>
    <t>Ao receber paciente M.S.F em centro cirurgico foi visto que a mesma estava  com adorno em desacordo com os protocolos de segurança do paciente. Paciente fazendo uso de adornos(BRINCO).
PRONTUARIO:345162</t>
  </si>
  <si>
    <t xml:space="preserve">Paciente com unha em gel dificultando monitorização </t>
  </si>
  <si>
    <t>INC 1928 / 2026</t>
  </si>
  <si>
    <t>Ao receber paciente H.P.D.S no centro cirurgico foi identificado que a mesma está com esmaltação em unhas (gel), o que compromete a monitorização adequada da paciente sendo assim, comprometendo a segurança da paciente. Ressalto que por se tratar de um procedimento eletivo , a paciente deveria ter sido orientada conforme protocolo institucionais para assim garantir a segurança da paciente.
obs: A esmaltação não sai com acetona.
prontuario:176443</t>
  </si>
  <si>
    <t xml:space="preserve">Não conformidades nas práticas de segurança do paciente -  Uso de adorno </t>
  </si>
  <si>
    <t>INC 1929 / 2026</t>
  </si>
  <si>
    <t>Durante ronda da segurança no Centro Cirurgico, foi indentificado. 
Dr Ruan Gabriel usando aliança
Dra: Gabriela Camilo - Usando brinco, anel, colar e crocs sem proteção do calcaneo
Dr: Marcos Bimbato - Usando Cordão e sandalia crocs sem proteção do calcaneo
Dra: Bianca Veloso - Usando aliança
Dr: Paulo Henrique - Usando adorno cordão no pescoço
Dr: Valconci - Usando adorno
Dr: Marcos Vinicius - Usando aliança</t>
  </si>
  <si>
    <t xml:space="preserve">ENCAMINHADO PACIENTE ERRADO </t>
  </si>
  <si>
    <t>INC 1930 / 2026</t>
  </si>
  <si>
    <t>NOTIFICO O CENTRO CIRÚRGICO POR ENCAMINHAR PACIENTE INCORRETO AS 10:40 PARA LEITO JÁ OCUPADO. A PACIENTE DO LEITO 05 ORTOPÉDICO ENCONTRAVA-SE NO CENTRO CIRÚRGICO. PORTANTO, FOI ENCAMINHADO PACIENTE ERRADO PARA O LEITO 05 ORTOPÉDICO, SEM REGULAÇÃO PRÉVIA, OCASIONANDO FALHA NO FLUXO ASSISTENCIAL E RISCO À SEGURANÇA DO PACIENTE. RESSALTO QUE, NO MOMENTO DO OCORRIDO, TODOS OS LEITOS ENCONTRAVAM-SE OCUPADOS!
PACIENTE QUE JÁ ESTAVA OCUPANDO O LEITO  C.S. P. 
PACIENTE QUE FICOU NO LEITO QUE JÁ ESTAVA OCUPADO F.S.S.</t>
  </si>
  <si>
    <t>LEITO 05 ORTOPEDICO FEMININO</t>
  </si>
  <si>
    <t>Não Conformidade na Identificação de Dispositivos Invasivos - UTI</t>
  </si>
  <si>
    <t>INC 1931 / 2026</t>
  </si>
  <si>
    <t>25/03/2026</t>
  </si>
  <si>
    <t>Durante visita do SCIH, realizada em 25/03/2026 por volta das 10:00 horas, foi identificado paciente em uso de acesso venoso central em região jugular e sonda nasogástrica sem identificação nos respectivos curativos/dispositivos. A ausência de identificação compromete o monitoramento da periodicidade de troca e a rastreabilidade dos dispositivos, em desacordo com os protocolos institucionais de prevenção e controle de Infecções Relacionadas à Assistência à Saúde (IRAS). Ressalta-se que, conforme preconizado, o curativo de acesso venoso central deve ser trocado e tem data de validade de até 7 dias, quando íntegro, limpo e seco, e a sonda nasogástrica deve possuir registro de data de inserção/troca para controle do tempo de permanência. Ao ser questionada, a equipe assistencial informou que a paciente foi admitida proveniente do centro cirúrgico sem as devidas identificações. Contudo, segundo informação do supervisor do setor do centro cirúrgico, a admissão na UTI ocorreu por volta das 21:00 horas do dia 24/03/2026, evidenciando tempo oportuno para correção da não conformidade antes da inspeção do SCIH. Destaca-se que, na ausência de evidência documental que comprove a admissão do paciente com a inconformidade (registro em prontuário, notificação ou outro meio formal), a responsabilidade pela regularização dos dispositivos passa a ser do setor assistencial a partir do momento da admissão. 
Diante do exposto, foi realizada sinalização imediata à equipe quanto à necessidade de adequação, reforçando a obrigatoriedade de identificação dos dispositivos, cumprimento dos prazos de troca, registro adequado e adesão às medidas de segurança do paciente e controle de infecção.</t>
  </si>
  <si>
    <t>UTI - Unidade de Terapia Intensiva Adulto</t>
  </si>
  <si>
    <t>Desabastecimento farmácia satélite UTI</t>
  </si>
  <si>
    <t>INC 1932 / 2026</t>
  </si>
  <si>
    <t>Paciente da uti precisou trocar a medicação tridil. No entanto ao solicitar na farmácia satélite da uti não havia a medicação disponível. Precisando aguardar buscar na farmácia central o que demorou cerca de 20  a 30 minutos. Causando riscos ao paciente crítico.</t>
  </si>
  <si>
    <t>Contaminação física em dieta da Pediatria</t>
  </si>
  <si>
    <t>INC 1933 / 2026</t>
  </si>
  <si>
    <t>Gerência de Cuidados Materno/Infantil / Gerência de Cuidado Materno Infantil</t>
  </si>
  <si>
    <t>Bianca Mikaelly Freitas Lemos</t>
  </si>
  <si>
    <t>26/03/2026</t>
  </si>
  <si>
    <t>Relato que durante a oferta de dieta pastosa liquidificada, acompanhante da paciente SRRS, internada na Clínica Pediátrica, identificou fragmento de osso presente na preparação (sopa), caracterizando corpo estranho. O objeto foi observado no momento da administração da dieta, sendo posteriormente guardado pelo acompanhante para comprovação.  
A presença de fragmento de osso em dieta destinada a pacientes com esse tipo de dieta representa risco significativo de engasgo, broncoaspiração e lesões em cavidade oral e/ou TGI. Recomenda-se a revisão dos protocolos de preparo, especialmente quanto à adequada liquidificação, peneiramento e inspeção antes da distribuição.</t>
  </si>
  <si>
    <t>PED</t>
  </si>
  <si>
    <t>ERRO DE INCISÃO POR NÃO CONFERÊNCIA DE DADOS</t>
  </si>
  <si>
    <t>INC 1934 / 2026</t>
  </si>
  <si>
    <t>José Nascimento dos Reis Júnior</t>
  </si>
  <si>
    <t>Paciente V.R.D. prontuario 1608124 deu entrada no centro cirúrgico para realização de procedimento eletivo de laqueadura tubária. No entanto, foi identificado que o médico ginecologista responsável não realizou a conferência prévia do prontuário da paciente antes do início do procedimento.
Durante o ato cirúrgico, o profissional realizou duas incisões, sob a suposição equivocada de que se tratava de uma laqueadura pós-parto normal. Posteriormente, verificou-se que a indicação correta era de procedimento eletivo, o que resultou em abordagem inadequada.
Ressalta-se que a laqueadura tratava-se de procedimento eletivo (extra). Após a identificação do equívoco, o cirurgião realizou nova incisão na paciente para adequação da técnica cirúrgica correta.
Recomenda-se análise do caso, revisão de protocolos de segurança cirúrgica (incluindo conferência de prontuário e checklist pré-operatório), bem como adoção de medidas preventivas para evitar recorrência de eventos semelhantes.
Notifico para melhoria no processo.</t>
  </si>
  <si>
    <t>Óbito possivelmente evitável por choque septico. J.M.C.J</t>
  </si>
  <si>
    <t>INC 1935 / 2026</t>
  </si>
  <si>
    <t>Paciente: J.M.C.J
Idade: 52 anos
Data do óbito: 05/02/2026
Hora do óbito: 16h40
Local: UTI adulto
Tempo de internação: óbito após mais de 24 horas
Paciente cardiopata, com histórico de insuficiência cardíaca com fração de ejeção reduzida, arritmia e valvulopatia.
Na primeira internação, em 04/11, deu entrada com quadro de taquicardia supraventricular, revertida com cardioversão elétrica. Relatava não fazer uso regular de medicações e referia aguardar há mais de um mês procedimento cirúrgico cardíaco devido insuficiência aórtica.
Foi avaliado pela cardiologia, com ecocardiograma evidenciando insuficiência aórtica, hipertrofia ventricular e fração de ejeção reduzida (43%). Recebeu tratamento clínico, apresentou melhora do quadro e recebeu alta em 06/11.
Em 25/01, procurou atendimento no pronto-socorro por quadro de pneumonia. Exames laboratoriais evidenciaram leucocitose (19.790), hiponatremia (Na 126), hipercalemia (K 5,6) e PCR elevada (172,47). Recebeu alta com prescrição de amoxicilina + clavulanato (Clavulin), dipirona, furosemida e Noripurum.
Em 03/02, retorna em grave estado geral, com saturação de 76%, sendo submetido à intubação orotraqueal e ventilação mecânica. Admitido em unidade de terapia intensiva com quadro de insuficiência respiratória aguda, choque séptico, acidose metabólica e insuficiência renal aguda (KDIGO 3).
Ainda em 03/02, evoluiu com parada cardiorrespiratória em ritmo chocável, com duração de aproximadamente 12 minutos, obtendo retorno da circulação espontânea após manobras de reanimação. Foi iniciada droga vasoativa (dobutamina).
Paciente evoluiu com instabilidade hemodinâmica persistente. Avaliado pela nefrologia em 04/02, porém sem condições clínicas para realização de hemodiálise.
Em 05/02, apresentou importante leucocitose (43.312), evoluindo com bradicardia progressiva e nova parada cardiorrespiratória, com duração de aproximadamente 18 minutos, sem retorno da circulação espontânea.
Óbito declarado às 16h40.</t>
  </si>
  <si>
    <t>leito 10</t>
  </si>
  <si>
    <t>Óbito por não ser abordado cirurgicamente pela neurocirurgia.</t>
  </si>
  <si>
    <t>INC 1936 / 2026</t>
  </si>
  <si>
    <t>Paciente necessitava de abordagem cirurgica pela neurocirurgia. Paciente chegou a ter 84.000 - 57.000 de plaquetas que geralmente é acionavel para centro cirurgico. Paciente necessitava de uma drenagem ventricular.</t>
  </si>
  <si>
    <t>LEITO 8</t>
  </si>
  <si>
    <t>Óbito possivelmente evitável por falha em fluxo de condutas. M.D.C</t>
  </si>
  <si>
    <t>INC 1937 / 2026</t>
  </si>
  <si>
    <t>M.D.C, 89 anos, sexo feminino, hipertensa, cardiopata, diabética. Foi admitida em pronto socorro as 19:34 hrs do dia 07/02/2026 devido a queda de própria altura, relatando dor e deformidade em coxa esquerda. Após isso, foi realizado o exame físico da paciente, solicitado raio x de membro inferior esquerdo e realizado medicamentos sintomáticos para contenção da dor. Em admissão, paciente estava, em avaliação traumática com: (X) sem hemorragias exsanguinantes, (A) Via aérea pérvia, sem colar cervical. (B) MV+BILATERAL, SRA, som claro pulmonar, simétrico, (C) BNCF em 2T, RCR, SS, normotenso, pulsos amplos, (D) G15, sem déficits focais, normotermico, (E) deformidade em coxa esquerda. Em radiografia de M.I.E., apresentava fratura de diafase de fêmur esquerdo. Após isso, foi realizado, as 22:49 hrs solicitação de parecer médico especialista para definir melhor conduta terapêutica. No dia 08/02/2026, as 19:14 hrs, parecer médico foi emitido com opinião favorável a propedêutica de cirurgia de fratura transtrocanteriana em caráter de urgência, com solicitação de leito de UTI e reserva de hemocomponentes. Posteriormente, foi admitida em centro cirúrgico somente as 09:27 do dia 09/02/2026 para realização de procedimento que teve início as 11:28 hrs e foi finalizado as 12:00 sem nenhuma intercorrência. No pós-operatório imediato, as 12:00, paciente teve um episódio convulsão tônico - clônica, evoluindo bem, após o período pós- ictal. Foi transferida para sala de recuperação pós cirúrgica, estável hemodinamicante, com normotensão, normotermia, eucárdica e eupneica. Porém, em poucos minutos, ás 12:28, evoluiu com hipotensão (93x41 MMHG). As 15:47 hrs, foi submetida a expansão volêmica, sem sucesso terapêutico em contornar a hipotensão. Foi administrado aminas vasoativas em veia periférica para contornar a hipotensão, as quais resultaram em melhora do quadro clínico da paciente a princípio. Posteriormente, durante todo o resto da tarde, paciente voltou a apresentar hipotensão, combinada, agora com diminuição do grau de consciência e hipotermia (34.2). evoluindo, infelizmente, com bradicardia e parada cardiorespiratória. Foi submetida a manobras de reanimação em caráter de prontidão durante 20 minutos, apresentando os ritmos cardíacos AESP/ASSITOLIA. Foi realizado aumento de DVA, expansão com ringer lactato, gluconato de cálcio, mas, sem resposta. As 20:07 horas, paciente veio a óbito.</t>
  </si>
  <si>
    <t>LEITO 07</t>
  </si>
  <si>
    <t>Desabastecimento da farmácia UTI</t>
  </si>
  <si>
    <t>INC 1938 / 2026</t>
  </si>
  <si>
    <t>Paciente com quadro de hipotermia na uti dia 25/03/2026, solicitado mante térmica para a farmácia, porém não estando disponível para uso no paciente.</t>
  </si>
  <si>
    <t>Transferência interna insegura de paciente para Ala Psicossocial</t>
  </si>
  <si>
    <t>INC 1939 / 2026</t>
  </si>
  <si>
    <t>Paciente com diagnóstico F20.0 - Esquizofrenia Paranoide (CID-10), com solicitação de internação para a ala psicossocial, foi transferido para o setor sem liberação prévia do NIR e sem comunicação com o enfermeiro responsável pela unidade sobre a transferência. No momento da chegada do paciente à ala, foi identificado que o mesmo estava sem acesso venoso e que não havia sido administrada a medicação prescrita (Quetiapina) previamente à transferência. Ao adentrarem na unidade com o paciente, a enfermeira do Pronto-Socorro constatou que o enfermeiro do setor encontrava-se em intercorrência assistencial com outra paciente, o que impossibilitou a recepção adequada naquele momento.
A transferência ocorreu fora do fluxo institucional e sem alinhamento com a equipe assistencial da unidade, gerando quebra do protocolo de segurança do paciente, uma vez que a equipe do setor não estava apta naquele momento para receber um novo paciente. Ressalta-se que a unidade contava com dois profissionais em plantão, ambos envolvidos em atendimento no momento da chegada.</t>
  </si>
  <si>
    <t>ATRASO DE DISPENSAÇÃO e ADMINISTRAÇÃO DE MEDICAÇÃO</t>
  </si>
  <si>
    <t>INC 1940 / 2026</t>
  </si>
  <si>
    <t>Lanna Rayara de Castro Mesquita</t>
  </si>
  <si>
    <t>NA DATA DE HOJE 27/03/26, NÃO FOI REALIZADO MEDICAÇÕES DAS 08:00H, DA PACIENTE M.S.F DO LEITO 15 DA CLÍNICA PEDIÁTRICA, PRESCRIÇÃO N°4814563, DEVIDO ATRASO DE DISPENSAÇÃO DA FARMÁCIA CENTRAL, PACIENTE COM DIAGNÓSTICO DE SÍNDROME NEFRÓTICA, PRESCRITO ANTI-HIPERTENSIVO DE 12/12h ÁS 08:00 E 20:00, REALIZADO SOMENTE ÁS 09:00, COM 1HORA DE ATRASO ACARRETANDO RISCO A PACIENTE.
PRONTUÁRIO N° 345162.</t>
  </si>
  <si>
    <t>Pneumonia associada à ventilação mecânica invasiva (PAV)</t>
  </si>
  <si>
    <t>INC 1941 / 2026</t>
  </si>
  <si>
    <t>Paciente feminina, 26 anos, previamente sem comorbidades, admitida em 18/02/2026 após acidente automobilístico, com relato de perda do nível de consciência, crise convulsiva e vômito no local. Deu entrada hemodinamicamente estável, sendo encaminhada à Sala Vermelha e posteriormente à UTI no mesmo dia, com diagnóstico de traumatismo cranioencefálico (TCE) e Glasgow 14, sob cuidados da Neurocirurgia para monitorização neurológica e controle por tomografia. Inicialmente, mantinha-se estável, eupneica em ar ambiente e sem uso de drogas vasoativas. Em 20/02, evoluiu com sonolência, confusão, desorientação, pouca comunicação e baixa aceitação de dieta oral, com diurese de 800 ml/24h, balanço hídrico positivo (+170 ml) e ausência de evacuação. Exames mostraram leucocitose com desvio à esquerda, discreta hiponatremia e PCR elevada (147). Em 23/02, apresentou piora, sendo submetida à intubação orotraqueal e ventilação mecânica, sob sedoanalgesia com Midazolam e Fentanil, mantendo estabilidade hemodinâmica, porém com taquicardia e hipertensão. No mesmo dia, devido à piora do sangramento intracraniano com desvio de linha média, foi submetida à craniectomia descompressiva. Em 24/02, ocorreu extubação acidental durante banho no leito, sendo realizada reintubação imediata com TOT nº 8 fixado em 23 cm, mantendo boa adaptação à ventilação mecânica em modo PSV. Evoluiu com aumento de secreções respiratórias, roncos à ausculta e início de picos febris a partir de 24/02 (38,1°C), com progressão em 25/02 (39,1°C). Neste dia, foi suspensa a sedação para tentativa de extubação, porém apresentou agitação psicomotora, sendo iniciada Dexmedetomidina. Manteve febre (38,2°C), balanço hídrico positivo (+1102 ml), ausência de evacuação e aumento de leucocitose e PCR, sendo aberto protocolo de sepse (cultura coletada em 25/02). Em 26/02, apresentou febre de 38°C, sendo retirado cateter venoso central por suspeita de foco infeccioso. Em 27/02, manteve três picos febris (máx. 39°C), ainda sedada, estável hemodinamicamente, porém com taquicardia e hipertensão. Em 28/02, durante tentativa de desmame, apresentou hipersecreção respiratória importante e seis episódios febris (máx. 38,9°C). Em 01/03, cultura de aspirado traqueal evidenciou crescimento de Pseudomonas aeruginosa. Em 02/03, manteve pico febril de 38,7°C, permanecendo em investigação e acompanhamento do quadro infeccioso.
Paciente apresentou achados por exame de Raio-X após 48horas em uso da ventilação mecânica.</t>
  </si>
  <si>
    <t>Falha no Descarte de Enxoval com Risco de Contaminação Ambiental.</t>
  </si>
  <si>
    <t>INC 1942 / 2026</t>
  </si>
  <si>
    <t>Durante visita técnica do Serviço de Controle de Infecção Hospitalar (SCIH), foi observado que, durante a realização de banho no leito, o enxoval utilizado (lençóis) estava sendo acondicionado de forma inadequada por profissional da equipe assistencial, sendo disposto diretamente no piso do ambiente. Ressalta-se que tal prática configura não conformidade grave e recorrente, conforme registros prévios, evidenciando fragilidade na adesão às medidas de biossegurança e aos protocolos institucionais de prevenção e controle de infecções. O contato direto do enxoval contaminado com o piso favorece a dispersão de microrganismos no ambiente, contribuindo para a contaminação de superfícies, aumento da carga microbiana ambiental e elevação do risco de transmissão cruzada, especialmente em áreas com circulação de microrganismos multirresistentes. Destaca-se que o manejo de enxoval assistencial deve seguir rigorosamente as boas práticas, evitando agitação desnecessária e qualquer contato com superfícies não destinadas ao acondicionamento. Os materiais utilizados devem ser imediatamente descartados após o uso, diretamente em hamper ou recipiente apropriado, devidamente identificado, resistente e de fácil higienização, conforme preconizado pelas normas de biossegurança. Tal conduta é essencial para a interrupção da cadeia de transmissão de agentes infecciosos e para a segurança do paciente, dos profissionais e do ambiente assistencial.
Adicionalmente, o manejo inadequado de roupas sujas pode promover a aerossolização de partículas contaminadas, ampliando o risco ocupacional, além de comprometer a efetividade das rotinas de limpeza e desinfecção ambiental. Diante do exposto, o SCIH realizou orientação imediata à equipe assistencial, com reforço das práticas corretas de manejo de enxoval, adesão às precauções padrão e de contato, bem como a importância do cumprimento rigoroso dos protocolos institucionais de prevenção e controle das Infecções Relacionadas à Assistência à Saúde (IRAS).</t>
  </si>
  <si>
    <t>ERRO DE INCISÃO</t>
  </si>
  <si>
    <t>INC 1943 / 2026</t>
  </si>
  <si>
    <t>Paciente internada nesta unidade para realização de procedimento de laqueadura. Durante o ato cirúrgico, o médico realizou duas incisões, em razão de interpretação equivocada de que a laqueadura seria pós-parto normal, efetuando inicialmente uma incisão abdominal incompatível com o procedimento indicado.
Ressalta-se que a laqueadura tratava-se de procedimento eletivo (extra). Após a identificação do equívoco, o cirurgião realizou nova incisão na paciente para adequação da técnica cirúrgica correta.
Destaco, conforme já mencionado em reuniões anteriores, que há resistência por parte da equipe de ginecologia e obstetrícia quanto à realização da Parada de Cirurgia Segura (Time Out). Diante do ocorrido, a situação é notificada para tratativa junto à equipe de GO, visando alinhamento de condutas, reforço dos protocolos de segurança do paciente e prevenção de eventos semelhantes. Em anexo evolução médica
[fig:vfs:1619]</t>
  </si>
  <si>
    <t>Fragilidade na assistência a paciente em deteorização clínica</t>
  </si>
  <si>
    <t>INC 1944 / 2026</t>
  </si>
  <si>
    <t>30/03/2026</t>
  </si>
  <si>
    <t>Conforme relato do colaborador ao iniciar o plantão às 07h15, recebeu o paciente durante a passagem de plantão, sendo informado de que se tratava de um caso de extrema gravidade.
Ao assumir a assistência, observou pressão arterial instável, com variações entre 100x80 mmHg e 100x60 mmHg. Por volta das 08h00, realizou nova avaliação dos sinais vitais, identificando saturação de oxigênio de 80%, pressão arterial de 80x60 mmHg, glicemia capilar de 67 mg/dL e ausência de febre.
Às 08h45, o colaborador ausentou-se brevemente do setor para intervalo, sem realizar a devida transferência formal de cuidados do paciente a outro profissional da equipe, apesar da presença dos demais membros no salão. Ao retornar do café (segundo o colaborador foi em torno de 10 minutos de ausência), constatou queda acentuada da saturação de oxigênio, atingindo 32%, sem identificação imediata dos demais sinais vitais. A situação foi observada pelo técnico  e que ele acionou a técnica de enfermagem, sendo prontamente iniciadas manobras de reanimação cardiopulmonar, com duração superior a 15 minutos.
Na ocasião, foi solicitado que um colaborador  se dirigisse à copa para acionar a médica, comunicando a ocorrência de parada cardiorrespiratória.
Durante a assistência, a médica responsável questionou o colaborador quanto ao reconhecimento de possível parada cardiorrespiratória e quanto à sua conduta ao se ausentar para intervalo sem repasse formal do paciente, ponto este reconhecido pelo próprio colaborador como oportunidade de melhoria. Segundo relato, a abordagem ocorreu em tom considerado inadequado, ríspido e diante dos demais profissionais da equipe (onde o mesmo se sentiu humilhado).
O colaborador informou ter realizado verificação da glicemia e administrado quatro ampolas de glicose, sem resposta clínica do paciente. Relata ainda que foi novamente questionado quanto à administração da medicação, uma vez que a glicemia permanecia com leitura baixa ("LO"), reforçando que o procedimento havia sido realizado e presenciado por membros da equipe.
Após o atendimento, o colaborador refere ter sido novamente abordado pela médica em frente à equipe, relatando ter se sentido coagido e constrangido. Acrescenta que outros profissionais presentes teriam minimizado a situação, alegando tratar-se de comportamento habitual da referida médica.
O presente relato será encaminhado para apuração detalhada dos fatos, com o objetivo de analisar as condutas adotadas, a comunicação entre os profissionais e o cumprimento dos protocolos assistenciais e éticos.</t>
  </si>
  <si>
    <t>Paciente encaminhado para o centro cirurgico sem ser realizado curativo de mmss e mmii</t>
  </si>
  <si>
    <t>INC 1945 / 2026</t>
  </si>
  <si>
    <t>Notifico a clínica cirúrgica pelo encaminhamento de paciente para realização de procedimento com a equipe de bucomaxilofacial sem a devida realização de curativos em membros superiores e inferiores.
No momento da avaliação, os curativos apresentavam-se com presença de secreção e odor fétido, evidenciando necessidade de adequada assistência prévia antes do encaminhamento.
Solicita-se maior atenção quanto à continuidade dos cuidados assistenciais, visando a segurança e o bem-estar do paciente.</t>
  </si>
  <si>
    <t xml:space="preserve">Presença de LPP em paciente proveniente da Clínica Cirúrgica </t>
  </si>
  <si>
    <t>INC 1946 / 2026</t>
  </si>
  <si>
    <t>31/03/2026</t>
  </si>
  <si>
    <t>PACIENTE RECEBIDO DA CLINICA CIRÚRGICA COM LPP NA ORELHA EM ESTÁGIO 2 E NA CABEÇA EM ESTÁGIO 3, REALIZO NOTIFICAÇÃO PARA REGISTRO POIS NA EVOLUÇÃO DA ENFERMEIRA DO SETOR DE ORIGEM NÃO  CONSTA ESSA INFORMAÇÃO. </t>
  </si>
  <si>
    <t>Obito Centro Cirurgico - A.B.R 184455</t>
  </si>
  <si>
    <t>INC 1947 / 2026</t>
  </si>
  <si>
    <t>Paciente admitido nesta unidade para realização de procedimento eletivo de esplenectomia. Apresenta como comorbidades: fibromialgia, osteonecrose em ombros e membros inferiores, e anemia falciforme.
Durante o ato cirúrgico, a paciente evoluiu com quadro de choque hipovolêmico. Foi realizada solicitação de reserva cirúrgica de duas bolsas de concentrado de hemácias (CH) fenotipado, entretanto foi disponibilizada apenas uma bolsa. Diante da instabilidade hemodinâmica, foi administrada ainda uma bolsa adicional de CH não fenotipado, porém sem resposta clínica satisfatória, mantendo evolução com choque hipovolêmico.</t>
  </si>
  <si>
    <t>PACIENTE DEIXOU DE RECEBER MEDICAÇÃO PRESCRITA</t>
  </si>
  <si>
    <t>INC 1948 / 2026</t>
  </si>
  <si>
    <t>CONFORME REGISTRO EM PRESCRIÇÃO PACIENTE RECUSOU MEDICAÇÃO ANTIRRETROVIRAL NA NOITE DE 30/03/26. TODAVIA, QUANDO FUI ABORDAR A PACIENTE, ELA INFORMOU QUE NÃO RECUSOU AS MEDICAÇÕES ANTIRRETROVIRAIS (ARVS) NA NOITE ANTERIOR. AFIRMOU AINDA QUE, EMBORA ELA TIVESSE RECUSADO OS ARVS EM OUTRO MOMENTO, DEPOIS QUE O MÉDICO INFECTOLOGISTA ORIENTOU SOBRE A IMPORTANCIA DE TOMAR OS ARVS, ELA NÃO MAIS RECUSOU. 
DE QUALQUER FORMA, A PACIENTE NÃO RECEBEU MEDICAMENTO EXTREMAMENTE IMPORTANTE A SUA RECUPERAÇÃO. NOTIFICO EVENTO PARA APURAÇÃO E PARA DESENVOLVERMOS ESTRATÉGIAS PARA QUE PACIENTES NÃO FIQUEM SEM RECEBER MEDICAÇÃO PRESCRITA. PACIENTE INTERNADA NO SETOR OBSERVAÇÃO PS.</t>
  </si>
  <si>
    <t>OBS PS LEITO 12</t>
  </si>
  <si>
    <t xml:space="preserve">Não conformidades nas práticas de segurança do paciente - Meta 01 </t>
  </si>
  <si>
    <t>INC 1949 / 2026</t>
  </si>
  <si>
    <t>Durante ronda realizada pelo Núcleo de Segurança do Paciente, foi identificado pacientes na Clinica médica sem pulseira de identificação
MASS	164433
DRA	340819
CTG	345491
ABRS	346180
LRJM       346859
RTB       	327742
JABS	211464
PAR	        320343
R.B.S	294788
G.M.A	346826</t>
  </si>
  <si>
    <t>INC 1950 / 2026</t>
  </si>
  <si>
    <t>Durante ronda realizada pelo Núcleo de Segurança do Paciente, foi identificado pacientes sem pulseira de identificação
K.K.S.T	346283
G.A.T	343576
MSRS	241568
ASC  	343400</t>
  </si>
  <si>
    <t>INC 1951 / 2026</t>
  </si>
  <si>
    <t>Durante ronda realizada pelo Núcleo de Segurança do Paciente, foi identificado pacientes sem pulseira de identificação
E.A.N.S	186078
M.L.A.D	342522</t>
  </si>
  <si>
    <t>Não conformidades nas práticas de segurança do paciente. - Meta 02</t>
  </si>
  <si>
    <t>INC 1952 / 2026</t>
  </si>
  <si>
    <t>Durante ronda realizada pelo Núcleo de Segurança do Paciente, foi identificado que o quadro kamban, encontra-se com informações desatualizadas, ou não preenchidas corretamente.
DLSD 	257681
DLS 	158191
CTG 	345491
RMS  	193038
AFS	        246409
RSDP	292692
JAF   	342478
ISC  	313774
ACLS	311584
RTB 	327742
E.P.B	291219
F.S.D	346644
C.F.D.B	346878
J.N.P	230353
M.I.S	340755
RTB 	327742
V.G.C	284000</t>
  </si>
  <si>
    <t>clinica cirúrgica sem enfermeiro na hora do almoço</t>
  </si>
  <si>
    <t>INC 1953 / 2026</t>
  </si>
  <si>
    <t>Notifico a clínica cirúrgica devido à ausência de enfermeiro no setor durante o horário de almoço.
Foi realizado contato com as duas enfermeiras que se encontravam de plantão, solicitando o comparecimento de um técnico de enfermagem ao Centro Cirúrgico para buscar o paciente que já estava a bastante tempo na SRPA. A primeira informou que estava em horário de almoço. Em seguida, entrei em contato com a segunda enfermeira, que também informou estar em horário de almoço. Portanto, a enfermaria permaneceu sem enfermeiro no setor.
Dessa forma, a situação compromete o fluxo do setor. No momento, a SRPA encontra-se com lotação máxima!</t>
  </si>
  <si>
    <t>SRPA</t>
  </si>
  <si>
    <t>INC 1954 / 2026</t>
  </si>
  <si>
    <t>Durante ronda realizada pelo Núcleo de Segurança do Paciente, foi identificado que o quadro kamban, encontra-se com informações desatualizadas, ou não preenchidas corretamente.
GBS	172321
VLBC	307516
MLBS	185606
ABS 	225897     
SCSS	164800
JPM	        346509
GBS	172321
ACCB	346960
SGS	165790
OSN	289669
ABRS	346180	
RSC	220304
RVB	        346667
ASS	        318785
WNM	343329
CSG	346863
JRAF	330119
ABA 	310864	
RVS 	308396
FJM 	156612
EGS	345602</t>
  </si>
  <si>
    <t xml:space="preserve">IRAS MARÇO 2026 - ISC </t>
  </si>
  <si>
    <t>INC 1955 / 2026</t>
  </si>
  <si>
    <t>"06/02/26 - QUEDA DE MURO. FX COLO DO UMERO PROXIMAL ESQUERDO. RX - DESVIO NAO ACEITAVEL. EF - DOR E LIMITAÇAO EM OMBRO ESQUERDO. CD: INTERNÇÃO. OPERA 09/02/26. 09/02 POS OP IMEDIATO. PCT SUBMETIDA A OSTEOSSINTESE DA FRATURA EM UMERO PROXIMAL ESQUERDO COM PLACA E PARAFUSOS. PROCEDIMENTO SEM INTERCORRENCIAS. Dr. MIQUEIAS FEITOSA LEITE. CD: RX CONTROLE + ATB PROFILÁTICO + ALTA PROVAVEL AMANHA SE PCT ESTIVER BEM. ATB  CEFALOTINA. 11/02 2° PO DE OSTEOSSINTESE DO UMERO PROXIMAL ESQ. COM PLACA E PARAFUSOS. SEGUE COM DOR ESPERADA PARA A GRAVIDADE DA LESÃO. RX CONTROLE OK. CD: ALTA HOSPITALAR. ATB CEFALEXINA. 23/02 PACIENTE, COMPARECE NA UNIDADE RELATANDO DOR EM BRAÇO ESQUERDO NA REGIAO OPERADA, APRESENTANDO SAIDA DE SECREÇAO E HIPEREMIA. RELATA QUE CAIU DE UM MURO E FRATUROU O UMERO ESQUERDO HA 19 DIAS. SOLICITO AVALIAÇAO DA ORTOPEDIA. REAVALIO PACIENTE COM CASO DISCUTIDO COM DR LUI CASTILHO, QUE ORIENTA ENACAMINHA-LA PARA ACOMPANHAMENTO AMBULATORIAL. ALTA COM RECEITA. ATB  CIPROFLOXACINO. 24/02 ORTOTRAUMA-AMB-PS. OST UMERO PROXIMAL ESQ APRESENTA SAIDA DE SECREÇÃO SEROSA EM GRANDRE QUANTIDADE. CD: INTERNAÇÃO. LIMPEZA CIRURGICA PARA 25/02/26. 25/02 (D1/3) CEFALOTINA PÓS-OP. (D1/3) GENTAMICINA. (D1/3) METRONIDAZOL. PACIENTE NO PÓS-OP. IMEDIATO DE FX DO ÚMERO PROXIMAL ESQUERDO. EVOLUINDO COM INFECÇÃO SUPERFICIAL. REALIZADO LMC COM SF0,9% ABUNDANTE + DEBRIDAMENTO CIRÚRGICO. 27/02 ALTA HOSPITALAR. ATB BACTRIM TOMAR 02 COMPRIMIDO DE 8/8H POR 7 DIAS. 07/03 DOR E SAIDA DE SECREAÇÃO EM FO. QUEIXA DE DOR E SAIDA DE SECREEAÇÃO EM FERIDA OPERATORIA EM OMBRO ESQUERDO, REFERE ABORDAGEM CIRURGICA DE UMERO HÁ 30 DIAS E NOVA ABORDAGEM PARA DEBRIDAMETNEO HÁ 7 DIAS. INFECÇÃO DE FERIDA? CD: RECEITA. ALTA. ORIENTO PACIENTE A RETORNAR EM CASO DE NOVAS QUEIXAS OU INTERCORRÊNCIAS. ATB AMOXICILINA CLAVULANATO/ NEOMICINA. 10/03 ORTOTRAUMA-AMB-PS 09/02/26 - OST UMERO PROXIMAL ESQ. EVOLUIU COM INFECÇÃO E FOI REALIZADO LMC DIA 25/2/26 HOJE COM SAIDA DE SECREÇÃO EM POUCA QUANTIDADE. RX HOJE: FX EM CONSOLIDAÇÃO SEM SOLTURA DE OPME. CD: MANTER ATB + RTN 3 SEMANAS. ATB BACTRIM 01CP 12/12HS POR 3 SEMANAS. EM ACOMPANHAMENTO AMBULATORIAL." FECHOU SC INCISIONAL SUPERFICIAL (IS).</t>
  </si>
  <si>
    <t>INC 1956 / 2026</t>
  </si>
  <si>
    <t>Durante ronda realizada pelo Núcleo de Segurança do Paciente, foi identificado que o quadro kamban, encontra-se com informações desatualizadas, ou não preenchidas corretamente.
GSF 	345583
RRCS	 345838
JJO	        344889
FSS	        160856
LAJT	347119
CSP 	167386
MFSS      344025
CASL	341965
FTJ	        347382</t>
  </si>
  <si>
    <t>INC 1957 / 2026</t>
  </si>
  <si>
    <t>Durante ronda realizada pelo Núcleo de Segurança do Paciente, foi identificado que o quadro kamban, encontra-se com informações desatualizadas, ou não preenchidas corretamente.
GBS 172321
VLBC 307516
MLBS 185606
ABS 225897
SCSS 164800
JPM 346509
GBS 172321
ACCB 346960
SGS 165790
OSN 289669
ABRS 346180
RSC 220304
RVB 346667
ASS 318785
WNM 343329
CSG 346863
JRAF 330119
ABA 310864
RVS 308396
FJM 156612
EGS 345602</t>
  </si>
  <si>
    <t>IRAS MARÇO 2026 - ISC</t>
  </si>
  <si>
    <t>INC 1958 / 2026</t>
  </si>
  <si>
    <t>01/02/2026 PACIENTE COM ELEVADO IMC, ABDOME GLOBOSO E HERNIA INCISIONAL EM MESOGASTRIO, REFERE TER FEITO VÁRIAS CIRURGIAS E NÃO SABE BEM DO QUE SE TRATA. JEJUM A PARTIR DAS 0 HORAS PARA CIRURGIA AMANHÃ. 02/02 CIR GERAL. POI HERNIOPLASTIA VENTRAL. EM USO DE DRENO DE SUCÇÃO, ASPECTO SANGUINOLENTO. CIR SEM INTERCORRENCIAS. ATB (D1/3) CEFALEXINA 500MG. JUSTIFICATIVA: PROFILATICO. 05/02 PACIENTE EM REPOUSO AO LEITO. ESTAVEL CLINICAMENTE E INFORMA MELHORA DA ALGIA ABDOMINAL. FO LIMPA E SECA DRENO ABDOMINAL COM CONTEUDO SEROHEMATICO DE BAIXO DEBITO. CONDUTA: ALTA HOSPITALAR COM RECEITA, ORIENTAÇÕES E RETORNO PRECOCE EM 5 DIAS. 08/02 PACIENTE PROCURA ATENDIMENTO MÉDICO RELATANDO DOR ABDOMINAL DIFUSA COM PIORA ONTEM PELA NOITE ASSOCIADO A NAUSEAS E CEFALEIA. NEGA FEBRE, VOMITOS, DIARREIA E DEMAIS ALTERAÇÕES. APRESENTA SAIDA DE SECREÇÃO SEROSA DE FO ALÉM DE HIPEREMIA. HIPÓTESE DIAGNÓSTICA: SEROMA / INFECÇÃO DE FO?. EM TEMPO, REAVALIO PACIENTE COM PERSISTENCIA DO QUADRO ALGICO, AVALIO FO SEM SINIAIS INFECCIOSOS. LAB HM 4,3/ HB 11,9/ LEUCO 10560/ PLAQ 365000/ PCR 105. CONDUTA: RECEITA. ORIENTO SOBRE SINAIS DE ALARME. ORIENTO RETORNO EM CASO DE PIORA CLINICA. ALTA SEM ATB. 10/02 CIRURGIA GERAL PO HERNIOPLASTIA INCISIONAL FO EM BOM ASPECTO. DRENO COM DEBITO HEMATICO VEJO REGISTROS DE VOLUME RETIRADOS DO DRENO: ALTERNANCIA ENTRE ALTO E BAIXO DEBITO. CD: RETORNO EM 5 DIAS. ATB: CIPROFLOXACINO/ CLINDAMICINA. 13/02 PACIENTE COM HISTORICO DE POS CIRURGICO DE HERNIA ABDOMINAL HÁ 10 DIAS ESTA EM USO DE DRENO. QUEIXA DE DOR NO LOCAL DE INSERÇÃO DO DRENO. NEG ALAERGIA MEDICAÇÃO. CONDUTA: MEDICAÇÃO PS, ALTA. 20/02 CIRURGIA GERAL PO HERNIOPLASTIA INCISIONAL. PCT EVOLUI ESTAVEL, AFEBRIL, PERDEU DRENO, EVOLUI COM INFECÇÃO LOCAL DE FO, SEM HIPEREMIA, POUCA SECREAÇÃO SERO PURULENTA, COM DEISCENCIA DE ALGUNS PONTOS DA PELE. CD: RETORNO EM 7 DIAS. PO HERNIORRADIA INCISIONAL INFECÇÃO DE FO. ATB AMOXICILINA + CLAVULANATO 1 COMP VIA ORAL DE 8/8H POR 7 DIAS. 27/02 PCT EVOLUI ESTAVEL, AFEBRIL, PERDEU DRENO, EVOLUI COM INFECÇÃO LOCAL DE FO, SEM HIPEREMIA, POUCA SECREAÇÃO SERO PURULENTA, COM DEISCENCIA DE ALGUNS PONTOS DA PELE. MANTEM SECREÇÃO PURULENTA. CD: MANTENHO ANTIBIOTICO RETORNO EM 7 DIAS. CURATIVO. ATB AMOXICILINA + CLAVULANATO. PACIENTE SEGUE EM ACOMPANHEMENTO AMBULATORIAL. PACIENTE IDENTGIFICADA ATRAVÉS DA BUSCA FONADA. FECHOU ISC INCISIONAL SUPERFICIAL (IS).</t>
  </si>
  <si>
    <t>Não conformidades nas práticas de segurança do paciente. - META 06 Queda</t>
  </si>
  <si>
    <t>INC 1959 / 2026</t>
  </si>
  <si>
    <t>Durante ronda realizada pelo Núcleo de Segurança do Paciente, foi identificado paciente na observação do PS, sem pulseira de identificação de queda
AWSS       292645
ELS 	168078
ARM        294199</t>
  </si>
  <si>
    <t>INC 1960 / 2026</t>
  </si>
  <si>
    <t>Durante ronda realizada pelo Núcleo de Segurança do Paciente, foi identificado paciente sem pulseira de identificação de risco de queda
LAJT	347119
MRFDS	215295
FSS	       160856
RRCS	345838
JJO   	344889
GBS 	172321
VLBC 	307516</t>
  </si>
  <si>
    <t>INC 1961 / 2026</t>
  </si>
  <si>
    <t>Durante ronda realizada pelo Núcleo de Segurança do Paciente, foi identificado paciente sem pulseira de identificação de risco de queda
JLT	311938
SSS	161108
JRA	208639
VLF	242373
ASC	343400</t>
  </si>
  <si>
    <t>INC 1962 / 2026</t>
  </si>
  <si>
    <t>Durante ronda realizada pelo Núcleo de Segurança do Paciente, foi identificado paciente sem pulseira de identificação de risco de queda.</t>
  </si>
  <si>
    <t>INC 1963 / 2026</t>
  </si>
  <si>
    <t>Durante ronda realizada pelo Núcleo de Segurança do Paciente, foi identificado paciente sem pulseira de identificação de risco de LPP 
 RTB   327742
 PAR  320343  
JFS 229181  
JNP 230353 
JAF  342478</t>
  </si>
  <si>
    <t xml:space="preserve">Não conformidades nas práticas de segurança do paciente. - META 02 </t>
  </si>
  <si>
    <t>INC 1964 / 2026</t>
  </si>
  <si>
    <t>Durante ronda realizada pelo Núcleo de Segurança do Paciente, foi identificado que o termo de internação não estava assinado . 
EBS 345991
AGA 273889
MSP 163212
FBS 216346</t>
  </si>
  <si>
    <t>Não conformidades nas práticas de segurança do paciente. - META 01</t>
  </si>
  <si>
    <t>INC 1965 / 2026</t>
  </si>
  <si>
    <t>Durante ronda realizada pelo Núcleo de Segurança do Paciente, foi identificado pacientes sem pulseiras de homonimos na mesma enfermaria.
MRCV  188663
MPC 156051
JBS   339247
JVS    347134</t>
  </si>
  <si>
    <t>Não conformidades nas práticas de segurança do paciente Meta 01</t>
  </si>
  <si>
    <t>INC 1966 / 2026</t>
  </si>
  <si>
    <t>Durante ronda da segurança, foi identificado paciente no CPN sem pulseira de identificação.</t>
  </si>
  <si>
    <t>Não conformidades nas práticas de segurança do paciente Meta 04 Parto Seguro</t>
  </si>
  <si>
    <t>INC 1967 / 2026</t>
  </si>
  <si>
    <t>Durante ronda da segurança,da meta 04 Parto Seguro, foi identificado que a equipe não confirmam verbalmente o time out realizado.
EVFO	262525
ICBB	212881</t>
  </si>
  <si>
    <t>Não conformidades nas práticas de segurança do paciente Meta 04 Cirurgia Segura</t>
  </si>
  <si>
    <t>INC 1968 / 2026</t>
  </si>
  <si>
    <t>Durante ronda da segurança no centro cirurgico foi identificado que a equipe não realiza a conferência de dados juntos com a pulseira de identificação, e em alguns casos pacientes adentrando sala operatória sem pulseira de identificação
260409	IMCLM
335981	RBS
268159	MSLA
344653	SBM
179504	PFS
214829	JOMA
242761	MGPS
334296	ISS
345162	msf
241655	rjox
295135	mvfb
346855	jccc</t>
  </si>
  <si>
    <t>Não conformidades nas práticas de segurança do paciente - META 01</t>
  </si>
  <si>
    <t>INC 1969 / 2026</t>
  </si>
  <si>
    <t>Durante ronda da segurança foi identificado, que paciente adentrou dentro da sala operatoria sem identificação da pulseira de alergia, e o mesmo é alergico.
344653	SBM
341028	VNSJ</t>
  </si>
  <si>
    <t>Não conformidades nas práticas de segurança do paciente. Meta 04 Cirurgia Segura</t>
  </si>
  <si>
    <t>INC 1970 / 2026</t>
  </si>
  <si>
    <t>Durante ronda da segurança foi identificado que a equipe não confirmam verbalmente o time out realizado.
339836	DPS   
260409	IMCLM
345068	MECF
344653	JMGS
344653	SBM
341028	VNSJ
214829	JOMA
320500	JRS
345162	msf
295135	mvfb
346855	jccc
346180	abrs</t>
  </si>
  <si>
    <t>INC 1971 / 2026</t>
  </si>
  <si>
    <t>Durante ronda da segurança foi identificado medicação sem a presença nos rotulos dos soros dos marcadores de identificação pacientes
KKST  346283
MFOM  311587</t>
  </si>
  <si>
    <t>Erro de Dispensação com Divergência entre Prescrição e Item Entregue</t>
  </si>
  <si>
    <t>INC 1972 / 2026</t>
  </si>
  <si>
    <t>01/04/2026</t>
  </si>
  <si>
    <t>__Descrição do ocorrido:__
Durante a conferência da medicação pela técnica de enfermagem no dia 30/03/26 periodo noturno, (medicação prescrita para 31/03/26 06h) foi identificado que o medicamento dispensado pela farmácia não correspondia à prescrição médica.
Em prescrição constava Omeprazol, porém foi entregue Succinato de Metilprednisolona.
A divergência foi identificada antes da administração, no momento da checagem de segurança, sendo a medicação não administrada ao paciente.
__Conduta imediata:__
Suspensa administração da medicação incorreta
Realizada conferência da prescrição médica
Farmácia comunicada imediatamente
Solicitação de envio do medicamento correto
Garantida segurança do paciente (sem dano)</t>
  </si>
  <si>
    <t>LCCIR 06</t>
  </si>
  <si>
    <t>Perda de amostra de paciente.</t>
  </si>
  <si>
    <t>INC 1973 / 2026</t>
  </si>
  <si>
    <t>Realizado coleta de amostras de sawb retal e nasal do paciente J.F.B pela enfermeira da uti, foi acionado equipe do laboratório e as amostras foram recolhidas no horário de 3;30h da madrugada.
No entanto ao questionar sobre os resultados foi descoberto que não foi encontrada essas amostras e os exames do paciente não foram realizados.</t>
  </si>
  <si>
    <t>SEM IDENTIFICAÇÃO EM AVP</t>
  </si>
  <si>
    <t>INC 1974 / 2026</t>
  </si>
  <si>
    <t>NOTIFICO O CENTRO CIRÚRGICO PELO ENCAMINHAMENTO DA PACIENTE COM ACESSO VENOSO PERIFÉRICO EM REGIÃO DE JUGULAR DIREITA SEM IDENTIFICAÇÃO ADEQUADA. RESSALTO QUE A AUSÊNCIA DE IDENTIFICAÇÃO COMPROMETE A SEGURANÇA DO PACIENTE E DIFICULTA A RASTREABILIDADE DO DISPOSITIVO, SENDO NECESSÁRIO O CUMPRIMENTO DOS PROTOCOLOS INSTITUCIONAIS DE IDENTIFICAÇÃO. SOLICITO MAIOR ATENÇÃO QUANTO ÀS NORMAS DE SEGURANÇA ASSISTENCIAL.</t>
  </si>
  <si>
    <t>LEITO 26 DA CLINICA CIRURGICA</t>
  </si>
  <si>
    <t>TEGADERME EM DESACORDO, COM EXPOSIÇÃO DE ÓSTIO.</t>
  </si>
  <si>
    <t>INC 1975 / 2026</t>
  </si>
  <si>
    <t>NOTIFICO O PRONTO SOCORRO PELO ENCAMINHAMENTO DE PACIENTE AO CENTRO CIRURGICO COM CURATIVO DE AVP (TEGADERME) EM DESACORDO COM AS NORMAS ASSISTENCIAIS, A MESMA VEIO PROVENIENTE DO CENTRO MANTENDO O MESMO ( TEGADERME ) . APRESENTANDO EXPOSIÇÃO DO ÓSTIO DO JELCO. RESSALTO QUE TAL NÃO CONFORMIDADE COMPROMETE A SEGURANÇA DO PACIENTE, AUMENTANDO O RISCO DE INFECÇÃO E OUTRAS COMPLICAÇÕES GRAVES. SOLICITO MAIOR ATENÇÃO AO CORRETO MANEJO E FIXAÇÃO DO DISPOSITIVO, CONFORME PROTOCOLOS INSTITUCIONAIS.</t>
  </si>
  <si>
    <t>LEITO 04</t>
  </si>
  <si>
    <t>Não Conformidade na Manutenção de Curativo Compressivo com Tempo Expirado.</t>
  </si>
  <si>
    <t>INC 1976 / 2026</t>
  </si>
  <si>
    <t>02/04/2026</t>
  </si>
  <si>
    <t>Paciente encontrado com curativo compressivo expirado. Ressalta-se que os acessos com compressão devem permanecer por um período máximo de 24 horas, sendo imprescindível a reavaliação dentro desse intervalo, visando a prevenção de complicações como lesões por pressão, comprometimento da perfusão local, dor, desconforto e risco de infecção relacionada à assistência à saúde (IRAS). O curativo foi realizado em 01/04/2026 às 03h00, com previsão de troca/reavaliação em 02/04/2026 às 03h00. No entanto, durante visita realizada por volta das 10h00, observou-se que a troca não foi realizada pela equipe do plantão noturno, mantendo-se o curativo por aproximadamente 7 horas além do tempo preconizado, configurando não conformidade assistencial.
No momento da avaliação, reforça-se a necessidade de inspeção criteriosa do sítio quanto à presença de sinais flogísticos (hiperemia, calor, edema, dor), sangramento ativo ou sinais de comprometimento circulatório local. Destaca-se ainda a importância de manter o curativo devidamente ajustado, sem compressão excessiva, e com integridade preservada até sua retirada ou substituição adequada.</t>
  </si>
  <si>
    <t>Lesão Cutânea em Região de Ombro com Características de Queimadura Superficial.</t>
  </si>
  <si>
    <t>INC 1977 / 2026</t>
  </si>
  <si>
    <t>Durante visita assistencial no setor da UTI, observou-se que o paciente apresentava lesão cutânea localizada em região de ombro, caracterizada pela presença de bolhas (flictenas), associadas a comprometimento da integridade da pele, com área de desepitelização superficial, restrita à epiderme, compatível com lesão por pressão ou atrito, apresentando aspecto semelhante a queimadura superficial. A lesão apresenta perda parcial da espessura da pele, podendo manifestar-se com bolha íntegra ou rota,  sem presença de tecido necrótico, esfacelo ou exposição de estruturas profundas. O aspecto clínico, semelhante a queimadura, reforça o comprometimento superficial da pele e a necessidade de monitoramento rigoroso quanto à evolução, devido ao risco de aumento da extensão, aprofundamento da lesão e infecção secundária.
Recomenda-se avaliação contínua quanto à presença de exsudato, características do leito da lesão, integridade das bordas e sinais flogísticos, como hiperemia, calor e edema. De acordo com as recomendações da comissão de prevenção e tratamento de lesões, reforça-se a importância da estratificação de risco por meio da Escala de Braden, além da medida como alívio de pressão com mudanças de decúbito regulares, uso de superfícies de redistribuição de pressão, proteção da área com coberturas adequadas (silicone ou hidrocoloide), manutenção da pele limpa, seca e hidratada, e redução de fatores de fricção e cisalhamento.</t>
  </si>
  <si>
    <t>INC 1978 / 2026</t>
  </si>
  <si>
    <t>03/04/2026</t>
  </si>
  <si>
    <t>Dia 03/04/2026 paciente M.L.C.D.S é admitida no centro cirúrgico sem pulseira de identificação. Constatado que pulseira encontrava-se anexada ao prontuário com termo de internação, sem ter sido colocada na paciente na unidade de origem. Identidade confirmada por nome completo e data de nascimento, em concordância com prontuário. Pulseira colocada em msd antes do início do procedimento. Reforço que vindo sem pulseira de identificação gera risco ao paciente. 
prontuario:349034</t>
  </si>
  <si>
    <t>Falha na comunicação entre setores assistenciais</t>
  </si>
  <si>
    <t>INC 1979 / 2026</t>
  </si>
  <si>
    <t>Brenda Moura Marinho de Souza</t>
  </si>
  <si>
    <t>05/04/2026</t>
  </si>
  <si>
    <t>NO DIA 05/04/2025, APÓS RECEBER PLANTÃO,ÀS 7:20H  EQUIPE CPN (MÉDICA E ENFERMAGEM) CHEGA NA PORTA DA UCI COM RN  DE A.K.F.L, PRONTUÁRIO 349303, O MESMO SEM SER PASSADO CASO  DE ENFERMEIRA CPN PARA ENFERMEIRA DA UCI E SEM AVISO PRÉVIO QUE ESTARIA SENDO  ENCAMINHANDO  PARA UCI, RNPT ,TODAVIA  ESTÁVEL HEMODINAMICAMENTE,MANTENDO SINAIS VITAIS ESTAVEIS,  SEM INTERNAÇÃO EM SISTEMA,  NOTIFICO PARA MELHORIA DO PROCESSO.</t>
  </si>
  <si>
    <t xml:space="preserve">PACIENTE REINTERNA EM MENOS DE 30 DIAS PÓS CIRURGICOS </t>
  </si>
  <si>
    <t>INC 1980 / 2026</t>
  </si>
  <si>
    <t>Lorena Elayne da Silva Castro</t>
  </si>
  <si>
    <t>RECEBO PACIENTE A.L.F.R. PROVENIENTE DO CENTRO CIRÚRGICO COM QUADRO DE PERITONITE PÓS APENDICECTOMIA, APRESENTANDO SECREÇÃO PURULENTA EM CAVIDADE ABDOMINAL. APENDICECTOMIA REALIZADA DIA 23/03. RECEBEU ALTA DIA 25/03, RETORNANDO À INTERNAÇÃO DIA 30/03. ABERTO FORMULARIO DE MONITORAMENTO DEVIDO REINTERNAÇÃO EM MENOS DE TRINTA DIAS.</t>
  </si>
  <si>
    <t>UICC</t>
  </si>
  <si>
    <t xml:space="preserve">Falha na identificação de paciente </t>
  </si>
  <si>
    <t>INC 1981 / 2026</t>
  </si>
  <si>
    <t>Janaina Oliveira Coelho</t>
  </si>
  <si>
    <t>Durante visita ao leito realizada na data de hoje, foi identificada inconsistência na identificação do paciente, sendo observado que o nome descrito na placa do leito estava incorreto: paciente WALTEMI SOUSA DA SILVA, nome na placa: WALTER. 
Segundo relato da acompanhante, a divergência na identificação persiste desde a admissão do paciente na unidade.
Adicionalmente, foi relatado pela acompanhante que o paciente apresenta limitação para deambulação, necessitando de pulseira de identificação para risco de queda, a qual não havia sido providenciada até o momento, apesar de orientação prévia de profissional de enfermagem em plantões anteriores.
Conduta Adotada:
A situação foi imediatamente comunicada à enfermeira plantonista, que se prontificou prontamente a realizar as correções necessárias, incluindo:
Atualização da identificação correta do paciente no leito;
Avaliação do risco de queda;
Implementação das medidas de segurança, com identificação adequada do paciente conforme protocolo institucional.</t>
  </si>
  <si>
    <t>INC 1982 / 2026</t>
  </si>
  <si>
    <t>07/04/2026</t>
  </si>
  <si>
    <t>PACIENTE A.S.A.D.S DEU ENTRADA NO CENTRO CIRURGICO DIA 05/04/2026 PARA REALIZAR PROCEDIMENTO DE CESARIANA, A MESMA ENCONTRAVA-SE SEM PULSEIRA DE IDENTIFICAÇÃO. REFORÇO QUE A FALTA DA PULSEIRA DE IDENTIFICAÇÃO GERA RISCO A SEGURANÇA DA PACIENTE.</t>
  </si>
  <si>
    <t>FLEBITE QUÍMICA</t>
  </si>
  <si>
    <t>INC 1983 / 2026</t>
  </si>
  <si>
    <t>NA DATA DO DIA 30/03/26 APÓS PASSAGEM DE PLANTÃO EVIDENCIADO PERCA DE ACESSO VENOSO PERIFÉRICO DA PACIENTE A.G.R.S ENFERMARIA 01 LT 03, N° PRONTUÁRIO 208634, CRIANÇA CHOROSA, AGITADA, PRESENÇA DE EDEMA, ERITEMA E COM SOROTERAPIA EM CURSO, PAUSADO O MESMO DE IMEDIATO E RETIRADO ACESSO, GENITORA VERBALIZA TER ACIONADO EQUIPE DO PLANTÃO ANTERIOR (NOTURNO) APÓS PERCEBER EDEMA MAS LHE FORA INFORMADA QUE O ACESSSO ESTAVA PÉRVIO E FUNCIONANTE.</t>
  </si>
  <si>
    <t xml:space="preserve">Erro de prescrição </t>
  </si>
  <si>
    <t>INC 1984 / 2026</t>
  </si>
  <si>
    <t>Comunico que foi identificada prescrição de heparina para paciente com hipótese diagnóstica de hemorragia subaracnóidea.</t>
  </si>
  <si>
    <t>REINTERNAÇÃO DE PACIENTE PO</t>
  </si>
  <si>
    <t>INC 1985 / 2026</t>
  </si>
  <si>
    <t>REALIZO NOTIFICAÇÃO DE REINTERNAÇÃO DO PACIENTE, O  MESMO ENCONTRA SE EM POT DE OSTEOSSINTESE COM PLACA E PARAFUSOS EM ULNA DIREITA. A QUAL APRESENTA FERIDA OPERATÓRIA COM EXPOSIÇÃO DE MATERIAL DE SÍNTESE, ASSOCIADA À PRESENÇA DE SINAIS FLOGÍSTICOS.</t>
  </si>
  <si>
    <t>LEITO 18 CG</t>
  </si>
  <si>
    <t>Registro de Ocorrência: Flebite Associada a Acesso Venoso Periférico em UTI</t>
  </si>
  <si>
    <t>INC 1986 / 2026</t>
  </si>
  <si>
    <t>Durante visita à UTI, identificou-se paciente em uso de acesso venoso periférico apresentando sinais sugestivos de flebite, evidenciados por hiperemia e rubor no óstio de inserção do cateter, compatíveis com processo inflamatório local. Ressalta-se que, embora a paciente esteja em cuidados paliativos, a presença de sinais flogísticos configura contraindicação para a manutenção do dispositivo no mesmo sítio de inserção. Salienta-se que, em 06/04/2026, já havia sido realizada sinalização prévia quanto às condições inadequadas do acesso venoso periférico. No entanto, até o momento da presente avaliação, não foi evidenciada a substituição do dispositivo, permanecendo o acesso em condições desfavoráveis, com possível agravamento do quadro local. Conforme recomendações da Agência Nacional de Vigilância Sanitária (ANVISA), descritas no Manual de Medidas de Prevenção de Infecção da Corrente Sanguínea Associada a Cateter, bem como as boas práticas assistenciais baseadas em evidências, não é indicado manter dispositivos intravasculares na presença de sinais inflamatórios locais. Tal conduta é fundamental para a prevenção de complicações como infecção primária da corrente sanguínea, bacteremia, sepse e eventos trombóticos.
Destaca-se que, mesmo no contexto de cuidados paliativos, a assistência deve ser pautada na promoção da segurança, conforto e controle de sintomas. A manutenção de um acesso venoso com sinais de flebite pode intensificar a dor, agravar o processo inflamatório e impactar negativamente na qualidade de vida da paciente. Portanto, a conduta adequada não deve ser negligenciada, independentemente do prognóstico, assegurando uma assistência ética, segura e humanizada.
Informo que a situação foi prontamente comunicada ao profissional técnico responsável, o qual se comprometeu a realizar a retirada do dispositivo. Ressalto que o presente registro tem como finalidade subsidiar ações de melhoria contínua da assistência, bem como evidenciar a ocorrência de casos de flebite para fins de monitoramento e qualidade assistencial.</t>
  </si>
  <si>
    <t>INC 1987 / 2026</t>
  </si>
  <si>
    <t>Durante visita à UTI, identificou-se paciente em uso de acesso venoso periférico apresentando sinais sugestivos de flebite, evidenciados por rubor no óstio de inserção do cateter, compatíveis com processo inflamatório local. Ressalta-se que, embora o paciente esteja em cuidados paliativos, a presença de sinais flogísticos configura contraindicação para a manutenção do dispositivo no mesmo sítio de inserção.  Conforme recomendações da Agência Nacional de Vigilância Sanitária (ANVISA), descritas no Manual de Medidas de Prevenção de Infecção da Corrente Sanguínea Associada a Cateter, bem como as boas práticas assistenciais baseadas em evidências, não é indicado manter dispositivos intravasculares na presença de sinais inflamatórios locais. Tal conduta é fundamental para a prevenção de complicações como infecção primária da corrente sanguínea, bacteremia, sepse e possíveis eventos trombóticos.
Destaca-se que, mesmo no contexto de cuidados paliativos, a assistência deve ser pautada na promoção da segurança, conforto e controle de sintomas.</t>
  </si>
  <si>
    <t>Retirada Acidental de SVD - Evento Adverso</t>
  </si>
  <si>
    <t>INC 1988 / 2026</t>
  </si>
  <si>
    <t>Durante visita à UTI, identificou-se que a paciente realizou retirada acidental da sonda vesical de demora (SVD). Tal ocorrência configura evento adverso assistencial relevante, uma vez que expõe o paciente a riscos significativos, como trauma uretral, lesões de mucosa, sangramento, retenção urinária, infecção do trato urinário e necessidade de nova sondagem, podendo ainda evoluir para complicações mais graves, especialmente em pacientes críticos. Ressalta-se que o evento foi prontamente sinalizado por técnica de enfermagem, a qual relatou que a paciente realizou tração do dispositivo, culminando em sua retirada.  De acordo com as diretrizes do Programa Nacional de Segurança do Paciente, instituído pela Portaria nº 529/2013 do Ministério da Saúde, e com a RDC nº 36/2013 da Agência Nacional de Vigilância Sanitária (ANVISA), eventos adversos devem ser devidamente notificados, analisados e utilizados como ferramenta para melhoria dos processos assistenciais e promoção da segurança do paciente.
Dessa forma, o registro desta ocorrência tem como finalidade não apenas documentar o evento adverso, mas também subsidiar a implementação de ações corretivas e preventivas, contribuindo para a qualificação da assistência, segurança do paciente e conformidade com as normativas vigentes.</t>
  </si>
  <si>
    <t xml:space="preserve">Óbito possivelmente evitável por falta de fixação pélvica. </t>
  </si>
  <si>
    <t>INC 1989 / 2026</t>
  </si>
  <si>
    <t>Paciente deu entrada no pronto socorro pelo SAMU com trauma por acidente automobilístico. Apresentava ferimento corto - contuso extenso em região frontal esquerda, deformidade em mandíbula e maxilar, blefar hematoma a esquerda, ferimentos abrasivos em membros superiores. Dor á mobilização pélvica. Abdome doloroso difusamente a palpação, Blumberg negativo. Agitado. Desorientado. Apresentado sinais de Alcoolemia. Realizou tomografia de crânio que mostrou HSA traumático em região frontal. Discutido caso com neurocirurgião que orientou internação hospitalar para acompanhamento pela especialidade. Tomografia de pelve, mostrou fratura em ??livro aberto??. Discutido o caso com o ortopedista, que orientou internação hospitalar com acompanhamento pela especialidade. Paciente foi a óbito possivelmente evitado, pois, nesse tipo de fratura de pelve é necessário realizar uma fixação imediata na qual ninguém realizou. E em seguida ser levado imediatamente ao centro cirúrgico. Que no caso, também houve uma demora. Levando o paciente a óbito por hemorragia subdural pélvica a traumatismo. Foi encaminhado ao IML.</t>
  </si>
  <si>
    <t xml:space="preserve">Ausência de acompanhamento médico durante a realização de TC em paciente classificado como URGENTE </t>
  </si>
  <si>
    <t>INC 1990 / 2026</t>
  </si>
  <si>
    <t>09/04/2026</t>
  </si>
  <si>
    <t>Setor: Sala Vermelha
Origem: Serviço de Apoio Diagnóstico e Terapêutico - SADT / Imagem
Responsável: Nadja Espínola - SATR/CRTR-08552T
Data: 08/04/2026
1. ASSUNTO
Notificação referente à ausência de acompanhamento médico durante a realização de exame de tomografia em paciente classificado como URGENTE (Sala Vermelha).
2. DESCRIÇÃO DA OCORRÊNCIA
Conforme análise das guias médicas e laudo em anexo, o paciente deu entrada no Pronto Socorro após trauma por acidente, sendo classificado como URGENTE, com solicitação dos seguintes exames:
Tomografia Computadorizada de Crânio
Tomografia Computadorizada de Face
Tomografia Computadorizada de Coluna (lombossacra e dorsal)
Durante a realização dos exames no setor de imagem, foi constatado que:
? O paciente não estava acompanhado por médico da Sala Vermelha, conforme preconizado para casos de urgência/emergência, especialmente em pacientes vítimas de trauma.
3. ACHADOS RELEVANTES DO LAUDO
De acordo com o laudo radiológico:
Hemorragia subaracnoide
Coleção extra-axial com espessura significativa
Contusões hemorrágicas
Fratura craniana
Desvio de linha média
?? Trata-se de quadro neurológico grave, com potencial risco de deterioração clínica imediata.
4. ANÁLISE TÉCNICA
A ausência de acompanhamento médico em paciente classificado como urgente, submetido a exame de imagem fora do setor de origem, configura:
? Risco assistencial grave
? Não conformidade com protocolos de urgência e emergência
? Fragilidade na segurança do paciente
? Exposição institucional a eventos adversos
? Pacientes da Sala Vermelha devem obrigatoriamente:
?? Ser acompanhados por profissional médico
?? Estar monitorizados
?? Ter suporte imediato em caso de intercorrência
5. FUNDAMENTAÇÃO
Tal situação contraria princípios básicos de:
Segurança do paciente
Assistência em urgência e emergência
Boas práticas assistenciais hospitalares
Protocolos institucionais de atendimento a pacientes críticos
6. CONSIDERAÇÕES FINAIS
Ressalta-se que a situação apresentada configura risco assistencial significativo, especialmente considerando a gravidade dos achados radiológicos.</t>
  </si>
  <si>
    <t xml:space="preserve">Falha no fluxo de estorno de medicação de alta vigilância </t>
  </si>
  <si>
    <t>INC 1991 / 2026</t>
  </si>
  <si>
    <t>No dia 18/03/2026, a paciente C.S.M., portuária nº 272331, foi internada no PAM para ser submetida a parto cesáreo, devido ao diagnóstico de Z24, sendo necessário o uso de zidovudina previamente ao procedimento.
Conforme fluxo institucional, a medicação deve ser iniciada no setor de origem e a paciente encaminhada ao centro cirúrgico em uso da medicação, acompanhada da ampola, para eventual necessidade de administração de dose adicional. Após o nascimento, o centro cirúrgico deve encaminhar o restante da ampola à farmácia. Entretanto, o fluxo não foi seguido pela equipe, não havendo o encaminhamento adequado da medicação a farmácia. De forma indevida, a zidovudina foi entregue à paciente, que acabou levando o medicamento para sua residência e posteriormente levou a unidade do CTA.</t>
  </si>
  <si>
    <t>Centro cirúrgico</t>
  </si>
  <si>
    <t xml:space="preserve">Episiotomia sem anestesia </t>
  </si>
  <si>
    <t>INC 1992 / 2026</t>
  </si>
  <si>
    <t xml:space="preserve">Gerência de Cuidados Materno/Infantil / CPN - Centro Obstétrico </t>
  </si>
  <si>
    <t>No dia 05/04/2026, referente à paciente A.P.P., prontuário nº 269286, foi registrado relato de que, durante atendimento de parto no Centro de Parto Normal (CPN), o médico plantonista realizou procedimento de episiotomia sem a utilização de anestesia.</t>
  </si>
  <si>
    <t>PPP 1</t>
  </si>
  <si>
    <t>Encaminhamento de paciente ao setor de imagem apresentando sangramento ativo e feridas abertas</t>
  </si>
  <si>
    <t>INC 1993 / 2026</t>
  </si>
  <si>
    <t>Notificação de evento adverso  relacionado ao encaminhamento de paciente ao setor de imagem sem assistência médica adequada, apresentando sangramento ativo e feridas abertas.
2. DESCRIÇÃO DA OCORRÊNCIA
Paciente classificado como URGENTE, vítima de trauma, encaminhado ao SADT para realização de exames radiográficos, conforme guia médica.
Durante o atendimento no setor de imagem, foi constatado que o paciente apresentava:
Sangramento ativo
Feridas abertas sem manejo adequado
A condição clínica apresentada caracteriza:
Exposição do paciente a risco evitável;
Paciente com necessidade de:
Controle de sangramento
Estabilização prévia ao exame
RISCOS ENVOLVIDOS
Agravamento clínico durante exame
Choque hemorrágico
Infecção de feridas
7. POSICIONAMENTO TÉCNICO DO SADT
O setor de imagem:
Não é ambiente de estabilização clínica
Não possui equipe médica dedicada para manejo de urgência contínua
Portanto, não deve receber pacientes instáveis sem suporte assistencial adequado.</t>
  </si>
  <si>
    <t>RAIO X DO HGP</t>
  </si>
  <si>
    <t>Falha no cuidado com Ventilação Mecânica e Risco de PAV na UTI.</t>
  </si>
  <si>
    <t>INC 1994 / 2026</t>
  </si>
  <si>
    <t>Durante visita assistencial na Unidade de Terapia Intensiva, identificou-se não conformidade nos cuidados relacionados a pacientes em ventilação mecânica invasiva, especialmente quanto à manutenção da fixação do tubo orotraqueal (TOT) e ao manejo das vias aéreas. Observou-se presença de sujidade na fixação do TOT, apesar de relato de troca prévia no plantão diurno. Evidencia-se fragilidade na continuidade da assistência no período noturno, com recebimento de pacientes em condições inadequadas de manutenção do dispositivo. Constatou-se, ainda, acúmulo de secreção em cavidade oral, com escoamento externo, e à presença de secreções no circuito ventilatório, indicando deficiência na higiene oral e no controle das vias aéreas artificiais.
A presença de matéria orgânica na fixação do TOT, associada ao acúmulo de secreções orais e no circuito ventilatório, constitui fator de risco relevante para Pneumonia Associada à Ventilação Mecânica, em decorrência da colonização e migração de microrganismos para o trato respiratório inferior.  Diante disso, ressaltamos a ocorrência recorrente de Pneumonia Associada à Ventilação Mecânica na unidade, indicando fragilidades na adesão às medidas preconizadas para prevenção de infecções relacionadas à assistência à saúde (IRAS) e necessidade de fortalecimento da cultura de segurança do paciente. Diante do exposto, recomenda-se a adoção imediata de medidas corretivas, com ênfase na intensificação da supervisão e auditoria interna, a fim de garantir a continuidade, rastreabilidade e qualidade do cuidado prestado em todos os turnos.</t>
  </si>
  <si>
    <t>Fragilidade no Fluxo Assistencial em Procedimento de Emergência Cirúrgico</t>
  </si>
  <si>
    <t>INC 1995 / 2026</t>
  </si>
  <si>
    <t>No dia 08/04, foi indicada a realização de um procedimento cirúrgico para P.A.R (320343) de caráter emergencial pelo cirurgião geral, com solicitação encaminhada por volta das 16h40-16h50.
Ao realizar contato com a equipe de anestesia para encaminhamento do paciente diretamente ao centro cirúrgico, foi orientado aguardar a finalização de procedimento em andamento.
Diante disso, o encaminhamento do paciente ocorreu posteriormente, com entrada no bloco cirúrgico por volta das 18h. A indução anestésica foi realizada às 18h15, com início do procedimento às 18h21.
Ressalta-se que, por se tratar de uma demanda emergencial, o tempo de espera até o início do atendimento pode impactar diretamente na assistência e segurança do paciente, não sendo recomendada a condução sequencial dos procedimentos nessas situações.
Diante do ocorrido, reforça-se a necessidade de adequação do fluxo assistencial, de modo a garantir atendimento simultâneo às demandas, especialmente em casos de urgência e emergência.</t>
  </si>
  <si>
    <t>Centro cirúrgico/Equipe anestésica</t>
  </si>
  <si>
    <t>INC 1996 / 2026</t>
  </si>
  <si>
    <t>PACIENTE M.M.P É ENCAMINHADA  AO BLOCO CIRURGICO PARA PROCEDIMENTO DE LAQUEADURA SEM PULSEIRA DE IDENTIFICAÇÃO. REFORÇO QUE A FALTA DE IDENTIFICAÇÃO GERA RISCO A SEGURANÇA DA PACIENTE.</t>
  </si>
  <si>
    <t>QUEDA DA PROPRIA ALTURA</t>
  </si>
  <si>
    <t>INC 1997 / 2026</t>
  </si>
  <si>
    <t>Eliane Ribeiro da Silva</t>
  </si>
  <si>
    <t>10/04/2026</t>
  </si>
  <si>
    <t>DIA  07/04/2026 PACIENTE ADMITIDO EM CLINICA MEDICA, RESITENTE,SEM OBEDECER OS COMANDOS, APRESENTAVA PERIODOS DE DESORIENTAÇÃO,FOI ORIENTADO AO FAMILIAR,SOBRE O QUE PODERIA  ACONTECER,DEVIDO AO SEU ESTADO,MAS  ACONTECE O IMPRESTIVO PACIENTE CAIU DA PROPRIA ALTURA,FAMILIAR RELATOU QUEO MESMO FAZIA USO DE MEDICAÇÕES DE SO CONTINUO CONTROLADO, MAIS TINHA DEIXADO DE USAR ,POR CONTA PROPRIA,FOI ORIETADA NOVAMENTE QUANTOS AOS CUIDADOS COM O MESMO.PACIENTE SEM DANOS GRAVES .SEGUE AOS CUIDADOS DA EQUPE DE ENFERMAGEM.</t>
  </si>
  <si>
    <t>FALTA DE EVOLUÇÃO NO PRONTUÁRIO</t>
  </si>
  <si>
    <t>INC 1998 / 2026</t>
  </si>
  <si>
    <t>Emanuelle da Silva Menezes</t>
  </si>
  <si>
    <t>PREZADOS, 
O PRONTUÁRIO DE N°184844 DA PACIENTE M.E.C.B.S., NÃO POSSUI EVOLUÇÕES DE ENFERMAGEM EM SEU PRONTUÁRIO NO MOMENTO QUE FOI RECEBIDO PELOS AUX, ADM. RESPONSÁVEL PELA ORGANIZAÇÃO. AO VERIFICAR NO SISTEMA, FOI VISTO QUE TAMBÉM NÃO CONSTA REGISTROS DE EVOLUÇÃO DE ENFERMAGEM. 
DEVIDO A ISSO, O PRONTUÁRIO SERÁ ENCAMINHADO AO FATURAMENTO SEM SUAS EVOLUÇÕES DA PARTE DA ENFERMAGEM.</t>
  </si>
  <si>
    <t>CGO</t>
  </si>
  <si>
    <t xml:space="preserve">Paciente em más condiçoes de higiene </t>
  </si>
  <si>
    <t>INC 1999 / 2026</t>
  </si>
  <si>
    <t>Paciente E.V.D.S.C admitida no centro cirúrgico apresentando-se com eliminação fecal em região corporal e vestimentas, em desacordo com as condições ideais de higiene para o procedimento. Realizo a notificação para melhoria do setor e melhoria da assistencia prestada ao paciente.</t>
  </si>
  <si>
    <t xml:space="preserve">Transporte inseguro de paciente em cadeira de rodas </t>
  </si>
  <si>
    <t>INC 2000 / 2026</t>
  </si>
  <si>
    <t>Coordenação de Hotelaria  / Coordenação de Hotelaria</t>
  </si>
  <si>
    <t>Nicollas dos Prazeres Valdek</t>
  </si>
  <si>
    <t>Trata de um serviço de transporte de paciente em cadeira de rodas realizado em ambiente com deslocamento por um percurso em declive. O profissional executa a condução de forma manual, utilizando apenas uma mão para empurrar a cadeira, o que pode comprometer a estabilidade e o controle, especialmente em áreas inclinadas. Além disso, observa-se a ausência de luvas, o que pode representar risco, dependendo do contexto clínico do paciente.
Pontos de atenção:
* Condução com uma mão pode reduzir o controle da cadeira, aumentando o risco de acidentes.
* Percurso em ladeira exige maior cuidado e, idealmente, o uso de ambas as mãos e técnicas adequadas de frenagem.
* Ausência de luvas pode não atender a protocolos de higiene e segurança, principalmente em ambientes de saúde.</t>
  </si>
  <si>
    <t>EVASÃO DE PACIENTE</t>
  </si>
  <si>
    <t>INC 2001 / 2026</t>
  </si>
  <si>
    <t>14/04/2026</t>
  </si>
  <si>
    <t>Foi identificada evasão do paciente na observação da CM, constatada durante o plantão diurno. No entanto, conforme apuração, o paciente não foi visualizado em leito desde aproximadamente às 06h da manhã, durante o plantão anterior.
Ressalta-se que não houve registro de acionamento do Serviço Social no grupo institucional, tampouco comunicação formal à gestão no momento da identificação inicial da ausência do paciente.</t>
  </si>
  <si>
    <t>7 OBSERVÇÃO DA CLINICA MÉDICA</t>
  </si>
  <si>
    <t>Conduta colaborador</t>
  </si>
  <si>
    <t>INC 2002 / 2026</t>
  </si>
  <si>
    <t>Diretoria Geral / Assessoria de Planejamento e Gestão da Qualidade</t>
  </si>
  <si>
    <t>anonimos</t>
  </si>
  <si>
    <t>15/04/2026</t>
  </si>
  <si>
    <t>Venho por meio desta relatar uma situação recorrente ocorrida no centro cirúrgico, envolvendo a conduta de um colaborador que estava em auditoria pelo núcleo de segurança do paciente ( ENFERMEIRO MAGNO)durante procedimentos cirúrgicos.
No dia 14/04, durante a realização de uma hemorroidectomia, o colaborador dirigiu-se ao cirurgião responsável (AGEU) e fez a seguinte pergunta: " O QUE OCASIONA A HEMORROIDA?" Dr. respondeu: Constipação.
No dia 15/04, durante o mesmo procedimento, o mesmo colaborador repetiu de uma forma mais desrespeitosa ao mesmo cirurgião. "DR. ISSO É CAUSADO QUANDO A PESSOA FAZ MUITO AMOR COM A BUNDA"
Ressalto que, por se tratar da segunda ocorrência com o mesmo teor, entende-se que não se trata apenas de uma dúvida pontual, uma vez que poderia ter sido esclarecida na primeira oportunidade. A repetição da fala sugere uma conduta inadequada ao ambiente profissional, podendo ser interpretada como desrespeitosa.
Cabe ainda destacar a gravidade potencial da situação, considerando o constrangimento, desconforto de toda equipe em que estava em sala cirúrgica.Téc. Kaique e Téc.Thiago.
Diante do exposto, solicito a devida avaliação da conduta do colaborador, a fim de prevenir novas ocorrências e garantir a manutenção de um ambiente respeitoso e ético no centro cirúrgico.
O Código de Ética dos Profissionais de Enfermagem, regulamentado pela Resolução Cofen nº 564/2017, define princípios, direitos, deveres e proibições, focando na assistência segura, digna e de qualidade. Ele abrange enfermeiros, técnicos, auxiliares, obstetrizes e parteiras, visando proteger tanto os pacientes quanto a integridade dos profissionais de enfermagem. 
Cofen
Cofen
 +3
Principais Aspectos (Resolução Cofen nº 564/2017):
Princípios Fundamentais: Baseia-se na enfermagem como ciência, arte e prática social, promovendo saúde, prevenindo agravos e aliviando o sofrimento, com base na dignidade, autonomia, sigilo, responsabilidade e justiça.
Deveres: Fundamentam-se em prestar assistência sem discriminação; proteger o paciente contra danos; fundamentar as ações em evidências; e manter sigilo profissional.
Proibições: Incluem assinar ações que não executou; provocar aborto (salvo casos legais); praticar ou ser conivente com crime/tortura; negligência, imprudência ou imperícia.</t>
  </si>
  <si>
    <t>Centro cirurgico</t>
  </si>
  <si>
    <t>Risco de identificação inadequada de paciente - Homônimos</t>
  </si>
  <si>
    <t>INC 2003 / 2026</t>
  </si>
  <si>
    <t>No dia 14/04/2026, foram admitidas no centro cirúrgico duas pacientes provenientes do Pronto Atendimento Materno (PAM) para realização de cesariana associada à laqueadura, ambas com nomes idênticos, sem sinalização de identificação por pulseira de homônimos.
As pacientes foram identificadas da seguinte forma:
Paciente V.S.V., data de nascimento 26/04/1996, prontuário nº 284134
Paciente V.S.N., data de nascimento 09/06/1999, prontuário nº 336897
Foi identificada a ausência de sinalização de homonímia. Realizada conferência dos dados de identificação com as pacientes (nome completo, data de nascimento e nome materno), com posterior instalação de pulseiras de identificação de homônimos.</t>
  </si>
  <si>
    <t>SAÍDA ACIDENTAL DE ACESSO VENOSO CENTRAL</t>
  </si>
  <si>
    <t>INC 2004 / 2026</t>
  </si>
  <si>
    <t>No dia 14/08, durante a realização do banho no leito, foi identificado que o acesso venoso central em jugular E. do paciente havia sido inadvertidamente exteriorizado (sacado). No momento do ocorrido, a equipe técnica de enfermagem agiu prontamente, realizando compressão local imediata. Não foi evidenciado sangramento ativo no local após a compressão. O paciente manteve-se estável durante toda a assistência inicial. Foi realização compressão no local do acesso, avaliado imediatamente o sítio de inserção, não teve sangramento ativo, foi acionamento imediato do enfermeiro responsável,  comunicado ao médico assistente. Paciente realiza terapia dialítica portador de cateter de longa permanência (CDL), em jugular D.
A presente notificação tem como objetivo o registro do evento adverso, contribuindo para a segurança do paciente, rastreabilidade da assistência prestada e implementação de medidas preventivas, conforme protocolo institucional.Observações:
Ressalta-se que todas as condutas foram realizadas de forma imediata e conforme as boas práticas assistenciais e protocolos da unidade.</t>
  </si>
  <si>
    <t>LPP TROCANTERICA - CM</t>
  </si>
  <si>
    <t>INC 2005 / 2026</t>
  </si>
  <si>
    <t>16/04/2026</t>
  </si>
  <si>
    <t>Lesão por pressão em estágio 2 em região trocantérica esquerda, com perda parcial da pele, aspecto de bolha, sem esfacelo, paciente com mobilidade reduzida.
Realizado curativo com cobertura adequada (espuma/silicone), limpeza com SF 0,9%, orientado alívio de pressão e mudança de decúbito 2/2h.
Lesão protegida, sem sinais de infecção, paciente refere conforto, mantido acompanhamento.
Notifico para registro do caso.</t>
  </si>
  <si>
    <t>06/05/2026</t>
  </si>
  <si>
    <t>COM - Comissões</t>
  </si>
  <si>
    <t>INC 2006 / 2026</t>
  </si>
  <si>
    <t>Lesão por pressão em estágio 2 em região sacral, com perda parcial da pele, sem esfacelo, paciente com mobilidade reduzida.
Realizado curativo com cobertura adequada (ex: espuma/silicone), limpeza com SF 0,9%, orientado alívio de pressão e mudança de decúbito 2/2h.
Lesão protegida, sem sinais de infecção, paciente refere conforto, mantido acompanhamento.
Notifico para regisro do caso.</t>
  </si>
  <si>
    <t>22</t>
  </si>
  <si>
    <t>LESÃO POR FRICÇÃO - CLC</t>
  </si>
  <si>
    <t>INC 2007 / 2026</t>
  </si>
  <si>
    <t>Paciente apresenta lesão por fricção (skin tear) em região lombar, classificada como Tipo 1a e 3a conforme International Skin Tear Advisory Panel.
Lesão sem retalho cutâneo, sem sinais de infecção.
Evento possivelmente relacionado ao uso de esparadrapo. Notificado conforme protocolo institucional.
Mantidas medidas de prevenção de novas lesões. 
Notifico para tratativa do caso.</t>
  </si>
  <si>
    <t>LPP SACRAL - UTI</t>
  </si>
  <si>
    <t>INC 2008 / 2026</t>
  </si>
  <si>
    <t>Presença de área com eritema não branqueável em região sacral, pele íntegra, quente ao toque, paciente acamado.
Realizado alívio de pressão imediata, mudança de decúbito, proteção local com placa de espuma/silicone, hidratação da pele, orientação à equipe quanto à vigilância da área.
Área mantida íntegra, com progressão da lesão, pele monitorada continuamente.
Notifico para tratativa do caso.</t>
  </si>
  <si>
    <t>INC 2009 / 2026</t>
  </si>
  <si>
    <t>LPP Não Classificável
Lesão por pressão não classificável em região sacral, devido à presença de tecido desvitalizado que impede visualização da profundidade real.
Lesão protegida, sem complicações imediatas, mantidos cuidados para manutenção devido quadro geral do paciente.
Notifico para tratativa do caso.</t>
  </si>
  <si>
    <t>INC 2010 / 2026</t>
  </si>
  <si>
    <t>Paciente proveniente da Sala Vermelha, ao exame físico presença de área com eritema não branqueável em região sacral, pele íntegra, quente ao toque, paciente acamado.
Realizado alívio de pressão imediata, mudança de decúbito, proteção local com placa de espuma/silicone, hidratação da pele, orientação à equipe quanto à vigilância da área.
Área com progressão da lesão para estágio 2, paciente monitorada continuamente.
Notifico para tratativa do caso.</t>
  </si>
  <si>
    <t>Lesão por fricção - UTI</t>
  </si>
  <si>
    <t>INC 2011 / 2026</t>
  </si>
  <si>
    <t>Lesão em região inframamária, linear, com perda parcial da epiderme, leito hiperemiado e úmido, e pele adjacente macerada, compatível com lesão por umidade associada à fricção. Identificada durante assistência do técnico de enfermagem, em ambas mamas.
Realizada higiene, secagem local, aplicação de barreira protetora e proteção da dobra. Iniciado monitoramento.
Fatores contribuintes: Umidade + fricção em dobra cutânea.
Notifico para tratativa do evento evitável.</t>
  </si>
  <si>
    <t>MULTIPLAS LPP's - UTI</t>
  </si>
  <si>
    <t>INC 2012 / 2026</t>
  </si>
  <si>
    <t>Lesão por pressão em estágio 3 em região auricular esquerda, com perda total da pele, presença de tecido de granulação e possível esfacelo, exsudato seroso.
Lesão protegida, controle de exsudato, sem piora clínica local, mantido plano terapêutico.
Presença de área arroxeada/escurecida em região de ambos calcâneos, com pele íntegra, sugestiva de lesão tissular profunda, paciente acamado e hemodinamicamente instável.
Realizado alívio total de pressão, proteção com espuma/silicone, monitorização rigorosa da área, orientada equipe assistencial.
Área mantida protegida, sem progressão imediata, mantido acompanhamento contínuo.
Paciente também apresenta LPP sacral não estadiável (já notificada).
Notifico para tratativa dos casos.</t>
  </si>
  <si>
    <t>INC 2013 / 2026</t>
  </si>
  <si>
    <t>Lesão por pressão em estágio 2 em região sacral e glútea, com perda parcial da pele em várias áreas, aspecto de abrasão, sem esfacelo, paciente com mobilidade reduzida.
Lesão protegida, sem sinais de infecção, paciente refere conforto, mantido acompanhamento.
Paciente evoluiu com óbito.
Notifico para registro do caso.</t>
  </si>
  <si>
    <t>Paciente liberado da ala sem autorização</t>
  </si>
  <si>
    <t>INC 2014 / 2026</t>
  </si>
  <si>
    <t>Ellen Ribeiro Duarte</t>
  </si>
  <si>
    <t>Enquanto a equipe realizava comunicação com os familiares acerca da alta do paciente, o mesmo dirigiu-se ao portão principal da unidade.
Nesse momento, o paciente bateu no portão, sendo atendido pelo agente de portaria, que realizou a abertura e permitiu sua saída, sem a devida autorização e sem acompanhamento, em desacordo com os protocolos institucionais.
A equipe assistencial prontamente percebeu a ocorrência e deslocou-se para acompanhar o paciente, conduzindo-o até seus acompanhantes.</t>
  </si>
  <si>
    <t>Entrada da ala</t>
  </si>
  <si>
    <t xml:space="preserve">Paciente entra em ala sem acompanhamento </t>
  </si>
  <si>
    <t>INC 2015 / 2026</t>
  </si>
  <si>
    <t>Durante uma discussão de equipe na ala psicossocial, foi observada a entrada de um paciente na unidade sem pulseira de identificação e sem acompanhamento da equipe assistencial.
Constatou-se que o acesso foi permitido pelo agente de portaria, que realizou a liberação da entrada sem a devida conferência de identificação e sem validação junto à equipe responsável, em desacordo com os protocolos institucionais de segurança.
Ressalta-se que a ocorrência representa falha no controle de acesso e potencial risco à segurança dos pacientes e da equipe.</t>
  </si>
  <si>
    <t>Entrada da Ala</t>
  </si>
  <si>
    <t>INC 2016 / 2026</t>
  </si>
  <si>
    <t>17/04/2026</t>
  </si>
  <si>
    <t>Paciente encaminhado ao Centro Cirúrgico portando adornos e com acesso venoso periférico sem a devida tampa de proteção.
Ressalta-se que tais não conformidades aumentam o risco de infecção, comprometendo a segurança do paciente e contrariando as boas práticas assistenciais e protocolos institucionais de prevenção de infecção.
Solicita-se reforço junto à equipe assistencial quanto à retirada de adornos e à adequada oclusão de acessos venosos antes do encaminhamento ao Centro Cirúrgico, visando garantir a segurança e a qualidade do cuidado prestado.
PACIENTE NO SISTEMA COMO: SUPOSTO WELIGTON</t>
  </si>
  <si>
    <t>Identificação tardia de HPP</t>
  </si>
  <si>
    <t>INC 2017 / 2026</t>
  </si>
  <si>
    <t>No dia 16/04/2026 logo após recebimento de plantão(19:20h), acompanhante da paciente R.R (341029), solicitou troca de fralda, referindo que estava enxarcada de sangue, inclusive o leito. Imediatamente enfermeira plantonista foi avaliar a paciente, identificando HPP. Sendo iniciado protocolo e acionada médica de plantão imediatamente. Após estabilização da paciente, em discussão de caso clínico, médica responsável relatou na frente da equipe, paciente e familiares, que dada a hora do parto (11:16h), isso era um absurdo, que a paciente tinha coágulos secos e não havia sido prestado a assistência adequada a mesma. Acompanhante relatou que já havia sinalizado a técnica de enfermagem e a mesma disse que retornaria, porém não retornou.</t>
  </si>
  <si>
    <t>Leito 24</t>
  </si>
  <si>
    <t>Prontuários de Janeiro/2026 com risco de perda por falta de autorização DIRCA - Laqueadura.</t>
  </si>
  <si>
    <t>INC 2018 / 2026</t>
  </si>
  <si>
    <t>Prezados, preciso compartilhar uma situação que está acontecendo com os prontuários do mês de janeiro/2026 e que pode gerar um prejuízo considerável para o hospital.
Temos alguns prontuários que estão vencendo por falta de autorização do DIRCA. O motivo é que essas pacientes realizaram o procedimento de laqueadura na mesma internação de parto normal/cesariana, sendo precisa a autorização do DIRCA para o procedimento de laqueadura. Os papeis necessários para a autorização foram encaminhados, mas não tivemos retorno das autorizações pela parte do DIRCA. Ou seja, mesmo com todo atendimento prestado, a equipe assistencial envolvida e os custos gerados, não conseguiremos faturar esses prontuários integralmente. Se nada for feito, será perda total para a instituição.
O que podemos fazer para reduzir o impacto: Em todos esses casos, além da laqueadura, houve também o parto normal. A parte do parto normal não depende dessa autorização específica da laqueadura e pode sim ser faturada separadamente. Por isso, estou encaminhando esses prontuários ao Faturamento com a solicitação de que seja faturada ao menos a parte referente ao parto normal. Assim conseguimos recuperar metade do valor e evitamos que o prejuízo seja integral.
Segue os prontuários:
F. P. DA S. - PRONT.: 289815
E. DA S. A. - PRONT.: 338592
D. DE M. V. S. - PRONT.: 203729</t>
  </si>
  <si>
    <t>CLINICA CIRURGICA</t>
  </si>
  <si>
    <t>INC 2019 / 2026</t>
  </si>
  <si>
    <t>Tassia Luciane Sousa Lopes</t>
  </si>
  <si>
    <t>RECEBI PACIENTE DO PRONTO SOCORRO SEM PULSEIRA DE IDENTIFICAÇAO 
G. M. F</t>
  </si>
  <si>
    <t>Paciente encaminhado ao CC sem preparo</t>
  </si>
  <si>
    <t>INC 2020 / 2026</t>
  </si>
  <si>
    <t>19/04/2026</t>
  </si>
  <si>
    <t>Paciente é recebida em centro cirurgico para procedimento cirurgico de laqueadura em uso de roupa intima e prótese dentária.</t>
  </si>
  <si>
    <t>Falha no registro em prontuário - Fisioterapia</t>
  </si>
  <si>
    <t>INC 2021 / 2026</t>
  </si>
  <si>
    <t>20/04/2026</t>
  </si>
  <si>
    <t>Identificada falha  no registro e fechamento das prescrições pela fisioterapia, o que tem impactado diretamente no fluxo assistencial, impossibilitando a alta do paciente em tempo oportuno.</t>
  </si>
  <si>
    <t>20</t>
  </si>
  <si>
    <t xml:space="preserve">FALHA NAS ORIENTAÇÕES DE PREPARO PRÉ-OPERATÓRIO </t>
  </si>
  <si>
    <t>INC 2022 / 2026</t>
  </si>
  <si>
    <t>NO DIA 16/04/2026 PACIENTE F.A.A.G DEU ENTRADA NO CC, PROVENIENTE DA CLINICA CIRÚRGICA PARA REALIZAR PROCEDIMENTO ELETIVO DE HEMORROIDECTOMIA. NA ADMISSÃO, FOI OBSERVADO QUE PACIENTE ESTAVA FAZENDO USO DE EXTENSÃO DE CILIOS. 
DEVIDO AO RISCO DE QUEIMADURAS ASSOCIADAS AO USO DE ELETROCAUTÉRIO, O PROCEDIMENTO NÃO FOI REALIZADO. PACIENTE FOI ORIENTADA PELO CIRURGIÃO E PELA ENFERMEIRA DE PLANTÃO QUANTO A NECESSIDADE DE RETIRADA DA EXTENSÃO DE CICLIOS PREVIAMENTE À REALIZAÇÃO DO PROCEDIMENTO, BEM COMO QUANTO AO REAGENDAMENTO EM DATA POSTERIOR. PACIENTE REFERE QUE NÃO RECEBEU ORIENTAÇÃO PRÉVIA SOBRE A RETIRADA.</t>
  </si>
  <si>
    <t xml:space="preserve">Omissão de dose do medicamento ácido Ursodesoxicolico </t>
  </si>
  <si>
    <t>INC 2023 / 2026</t>
  </si>
  <si>
    <t>Paciente G.S., clínica cirúrgica, leito LCCIR 11, iniciou tratamento com ácido ursodesoxicólico 150 mg no dia 18/04/2026, com prescrição de 3 comprimidos ao dia (D1/30), devidamente dispensados.
Entretanto, a dose correspondente ao D2/30, prevista para o dia 19/04/2026, não foi administrada, sendo realizada apenas no dia 20/04/2026. Dessa forma, configura-se omissão de dose.
Adicionalmente, foi identificada divergência na posologia registrada na observação, descrita como: "01 comprimido a cada 8 horas".
Diante das ocorrências, foi realizado contato com a supervisão  e o médico prescrito da clínica para ciência e providências cabíveis.
  Segue os anexos abaixo.</t>
  </si>
  <si>
    <t>LCCIR 11</t>
  </si>
  <si>
    <t>Documentação de outro paciente no prontuário</t>
  </si>
  <si>
    <t>INC 2024 / 2026</t>
  </si>
  <si>
    <t>21/04/2026</t>
  </si>
  <si>
    <t>Venho, por meio desta, notificar a Clinica Cirúrgica, devido  a ocorrência de encaminhamento as 05:52  ao Centro Cirúrgico. Durante a conferência de prontuário paciente encontrava-se acompanhado de documentação de prontuário pertencente a outro paciente. Tal situação configura falha grave no manejo e na conferência de informações sensíveis, podendo comprometer a segurança, a privacidade e a continuidade adequada do atendimento.</t>
  </si>
  <si>
    <t>SALA DE INDUÇÃO!</t>
  </si>
  <si>
    <t>Autoextubação não planejada em paciente sob ventilação mecânica</t>
  </si>
  <si>
    <t>INC 2025 / 2026</t>
  </si>
  <si>
    <t>23/04/2026</t>
  </si>
  <si>
    <t>Em 22/04/2026, paciente em uso de tubo orotraqueal (TOT), sob sedação contínua, evoluiu com autoextubação não planejada. No momento do evento, não foram observados sinais imediatos de dano clínico. O paciente foi prontamente avaliado pela equipe assistencial, mantendo-se estável hemodinamicamente e com parâmetros respiratórios adequados. Optou-se pela manutenção em oxigenoterapia por cateter nasal tipo óculos, com boa resposta clínica e sem intercorrências subsequentes até o momento.
A notificação do evento foi realizada conforme protocolo institucional vigente.</t>
  </si>
  <si>
    <t>Superdose de Medicação por Falha na Checagem da Informação do Paciente</t>
  </si>
  <si>
    <t>INC 2026 / 2026</t>
  </si>
  <si>
    <t>Paciente em leito, consciente e orientado, relatou ter recebido previamente a medicação prescrita e informou à técnica de enfermagem no momento de uma nova tentativa de administração. Conforme relato do paciente, a informação não foi considerada, sendo realizada administração duplicada da medicação no mesmo horário.Realizada avaliação clínica após o ocorrido, paciente encontra-se sem queixas no momento, com sinais vitais estáveis.</t>
  </si>
  <si>
    <t>Falha estrutural de leito no transporte intra-hospitalar</t>
  </si>
  <si>
    <t>INC 2027 / 2026</t>
  </si>
  <si>
    <t>Notifico que, durante o transporte do paciente do Centro Cirúrgico para a Enfermaria, foi identificado que o pé de leito da maca/cama apresentou quebra estrutural no trajeto.
O evento ocorreu durante a condução do paciente, sendo prontamente percebido pela equipe responsável pelo transporte. O paciente encontrava-se acomodado no leito no momento da ocorrência.
__Condições do Paciente:__
Paciente avaliado imediatamente após o ocorrido, encontrando-se: Consciente e orientado, Sem queixas álgicas ou intercorrências imediatas. Sinais vitais estáveis.
__Conduta Imediata:__
Interrupção do transporte e estabilização do leito
Transferência segura do paciente para outro leito em condições adequadas
Comunicação à equipe de enfermagem da unidade de destino
Acionamento da manutenção para avaliação do equipamento
__Análise Preliminar:__
Possível falha estrutural do equipamento (pé de leito), podendo estar associada a desgaste, ausência de manutenção preventiva ou falha mecânica não identificada previamente.</t>
  </si>
  <si>
    <t>LCORT 09</t>
  </si>
  <si>
    <t>Falha Mecânica em Maca Durante Transporte de Paciente</t>
  </si>
  <si>
    <t>INC 2028 / 2026</t>
  </si>
  <si>
    <t>Durante o transporte de paciente em pós-operatório, foi identificado que a maca apresentava falha no travamento das rodas, bem como ausência de elevação adequada do leito. A condição foi percebida no momento da condução, evidenciando risco potencial de deslocamento involuntário da maca e consequente queda ou instabilidade do paciente.
__Condição do Paciente:__
Paciente em pós-operatório, sem intercorrências no momento, hemodinamicamente estável.
__Causas Prováveis:__
Falha mecânica no sistema de travamento das rodas;
Defeito no mecanismo de elevação da maca;
Possível ausência de checagem prévia do equipamento.</t>
  </si>
  <si>
    <t>Entrada da Enfermaria</t>
  </si>
  <si>
    <t>Falha na comunicação na transição de cuidados de paciente</t>
  </si>
  <si>
    <t>INC 2029 / 2026</t>
  </si>
  <si>
    <t>PACIENTE VEIO ENCAMINHADO DO PRONTO SOCORRO, AVISADO PREVIAMENTE PELO FLUXISTA, ONDE O MESMO TAMBÉM TROUXE O PACIENTE, SEM EQUIPE TÉCNICA DE ENFERMAGEM. PACIENTE FOI AVALIADO PELO ORTOPEDISTA, ONDE FOI SOLICITADO INTERNAÇÃO, COMO SEMPRE FOI ROTINA, PACIENTES QUE VEM DO PS E INTERNAM, O ENFERMEIRO DO AMBULATÓRIO ENCAMINHA DE VOLTA PARA SER REALIZADO O PROCESSO DE INTERNAÇÃO PELO PS, PORÉM AO INFORMAR O ENFERMEIRO DO PS SOBRE O RETORNO DO PACIENTE, A ENFERMEIRA INFORMOU NÃO SABER DO QUE SE TRATAVA E AGINDO COM RISPIDEZ INFORMOU QUE ELA DEVERIA SER INFORMADA DO CASO DO PACIENTE, PORÉM NÃO HOUVE COMUNICAÇÃO DO FLUXISTA DO PS COM A ENFERMEIRA DO PS SOBRE O PACIENTE QUE VIRIA SER AVALIADO, RECAINDO A CULPA DE NÃO COMUNICAÇÃO DE RETORNO DESTE PACIENTE, PARA A ENFERMEIRA DO AMBULATÓRIO, TENDO ASSIM UM DESCONFORTO NA COMUNICAÇÃO ENTRE EQUIPES.</t>
  </si>
  <si>
    <t xml:space="preserve">Paciente sem pulseira de Identificação </t>
  </si>
  <si>
    <t>INC 2030 / 2026</t>
  </si>
  <si>
    <t>27/04/2026</t>
  </si>
  <si>
    <t>PACIENTE F.J.S.G PROVENIENTE DA UTI SEM PULSEIRA DE IDENTIFICAÇÃO E SEM PULSEIRA DE RISCO DE QUEDA.</t>
  </si>
  <si>
    <t xml:space="preserve">Paciente proveniente da UTI com LPP </t>
  </si>
  <si>
    <t>INC 2031 / 2026</t>
  </si>
  <si>
    <t>Paciente proveniente da UTI com LPP.</t>
  </si>
  <si>
    <t>Inconsistencia no registro em prontuário</t>
  </si>
  <si>
    <t>INC 2032 / 2026</t>
  </si>
  <si>
    <t>No dia 27/04 fui contactada pela equipe do pré-natal de alto risco para verificar inconformidade de informações (alta médica x relato da paciente). Paciente N. B. L. P (837572), relatou que não havia realizado a laqueadura devido a intercorrência e urgência do parto, contudo na evolução médica constava que a mesma havia realizado cesárea + laqueadura.</t>
  </si>
  <si>
    <t>Troca de pulseira de identificação do RN</t>
  </si>
  <si>
    <t>INC 2033 / 2026</t>
  </si>
  <si>
    <t>No dia 25/04/26 a equipe do CGO recebeu dois RN provenientes do Centro Cirúrgico. o RN de R. L. S (353094 ), leito 15, veio com a pulseira de identificação do RN do leito 19 no membro inferior. Causando preocupação e aflição para família, além de diversos questionamentos para a equipe. Sendo imediatamente esclarecidos, associado a DNV e informações corretas do devido RN. Após esclarecimentos, realizada identificação correta do RN.</t>
  </si>
  <si>
    <t>NÃO REALIZADO HIGIENE DA PACIENTE</t>
  </si>
  <si>
    <t>INC 2034 / 2026</t>
  </si>
  <si>
    <t>Paciente recebida às 13:20h do dia 27/04/26, proveniente do Centro Cirúrgico. Encontra-se sem realização de higiene pela equipe de origem, apresentando sujidade por diurese no momento da admissão.</t>
  </si>
  <si>
    <t>LEITO 02 ORT</t>
  </si>
  <si>
    <t xml:space="preserve">Falha nos cuidados na transferência de paciente </t>
  </si>
  <si>
    <t>INC 2035 / 2026</t>
  </si>
  <si>
    <t>Paciente do sexo feminino, internada em Unidade de Terapia Intensiva (UTI) por aproximadamente 30 dias, com hipótese diagnóstica de sepse de foco pulmonar. Encontra-se traqueostomizada, apresentando quadro de hipersecreção, sendo submetida à aspiração de vias aéreas sempre que necessário. Possui comorbidades como diabetes mellitus e hipertensão arterial sistêmica. Apresenta lesão por pressão em região sacral, com curativos em andamento, além de medidas preventivas instituídas, incluindo mudança de decúbito conforme protocolo assistencial.
Na data de 26/04, por volta das 12h, foi definida alta da UTI para a Clínica Cirúrgica. Contudo, a transferência foi postergada devido à ausência do familiar no momento da alta, o qual compareceu à unidade apenas às 18h40. Em virtude do horário e da proximidade com a passagem de plantão (19h), optou-se por realizar a transferência da paciente após a devida organização do plantão, garantindo a continuidade assistencial e a segurança no processo de transição de cuidados.
A paciente foi então encaminhada à Clínica Cirúrgica, acompanhada pelo familiar, após a passagem de plantão, as 20:50h. Entretanto, por volta das 21:45h, a equipe do pronto-socorro foi acionada com relato de que a paciente apresentava sudorese intensa, cianose periférica e central, além de importante desconforto respiratório. O médico plantonista realizou avaliação inicial e solicitou suporte do médico intensivista da UTI, sendo indicada a imediata transferência da paciente de volta à unidade de terapia intensiva. Ao reavaliar o quadro na UTI, foi identificado que a paciente apresentava obstrução de cânula de traqueostomia por rolha de secreção e estava em PCR. Diante do ocorrido, observa-se que a paciente  retornou à UTI em intervalo inferior a uma hora após a transferência, evidenciando possível fragilidade no manejo assistencial e na vigilância clínica no setor de destino.
A presente notificação tem como objetivo promover a análise do evento, identificar oportunidades de melhoria no processo de transição do cuidado, especialmente em pacientes críticos traqueostomizados e com alto risco de complicações respiratórias, e reforçar a importância da vigilância contínua e manejo adequado de vias aéreas.</t>
  </si>
  <si>
    <t xml:space="preserve">Troca de Prescrição Médica quase evento </t>
  </si>
  <si>
    <t>INC 2036 / 2026</t>
  </si>
  <si>
    <t>Valeria Carvalho da Silva</t>
  </si>
  <si>
    <t>28/04/2026</t>
  </si>
  <si>
    <t>Em__ 22/04/2026__, durante assistência prestada na unidade, foi identificado incidente relacionado à troca de prescrição medicamentosa entre pacientes.
A paciente__ T.L.S__., prontuário __337153__, possui registro de alergia à __Dipirona__. Entretanto, houve vinculação indevida/troca de prescrição médica com a paciente __E.A.M__., prontuário __352438__, cuja prescrição continha Dipirona.
No momento da administração, a técnica de enfermagem realizou questionamento à paciente sobre histórico de alergias, sendo confirmado pela mesma alergia à Dipirona. Diante da informação, __a medicação não foi administrada__ SIC, evitando dano ao paciente.
Após análise preliminar, observou-se falha no processo assistencial, com ausência de aplicação integral da Meta Internacional de Segurança do Paciente nº 3 (segurança na prescrição, uso e administração de medicamentos), bem como descumprimento das etapas de conferência relacionadas aos 11 certos da administração de medicamentos.</t>
  </si>
  <si>
    <t>FILA- PRONTO SOCORRO</t>
  </si>
  <si>
    <t>Avaliação de Sítio de Inserção com Indicativo de Flebite em UTI.</t>
  </si>
  <si>
    <t>INC 2037 / 2026</t>
  </si>
  <si>
    <t>Durante visita técnica realizada no setor da UTI, foi identificado que o acesso venoso periférico apresentava alterações no sítio de inserção (óstio) e regiões adjacentes, evidenciadas por presença de hematoma, hiperemia e rubor local, sinais sugestivos de processo inflamatório compatível com flebite. Diante da avaliação, o quadro é sugestivo de flebite grau II, caracterizada por eritema associado à dor local e possível edema, sem presença de cordão venoso palpável evidente.  Considerando o risco de progressão do processo inflamatório e possíveis complicações infecciosas. Recomendada a punção de novo acesso em outro sítio, respeitando técnica asséptica e critérios de segurança do paciente</t>
  </si>
  <si>
    <t>Coleta de material de paciente errado</t>
  </si>
  <si>
    <t>INC 2038 / 2026</t>
  </si>
  <si>
    <t>Gysllene Cardoso Silva</t>
  </si>
  <si>
    <t>FOI SOLICITADO LABORATORIO PARA COLETA DE SANGUE PARA EXAME. PACIENTE AGUARDAVA NA RECEPÇÃO. TECNICA COLETA MATERIAL EM PACIENTE INTERNADA, ALEGANDO QUE A MESMA CONFIRMOU PELO NOME DESCRITO NA GUIA, POREN DADOS NAO CONFIRMADO NA PULSEIRA DA PACIENTE. NOTIFICO PARA MELHORIA DE PROCESSOS.</t>
  </si>
  <si>
    <t>PAM</t>
  </si>
  <si>
    <t>Óbito possivelmente evitável - T.F.F 215170</t>
  </si>
  <si>
    <t>INC 2039 / 2026</t>
  </si>
  <si>
    <t>29/04/2026</t>
  </si>
  <si>
    <t>Paciente deu entrada no pronto socorro com queixa de náusea, vômitos, mal-estar e debilidade há 3 dias. Portador de HTA, DM, CARDIOPATA, OBESIDADE. Evoluiu para cefaleia intensa. Realizou tomografia e o resultado foi compatível com lesão isquêmica recente envolvendo o hemisfério cerebelar a direita. Óbito a ser analisado por falta de urgência para ir ao bloco cirúrgico com AVC ISQUEMICO MALIGNO. Foi solicitado leito para o setor de internação comum (clínica médica) ao invés de ir para UTI ou continuar na sala vermelha. Ressaltando a importância dos fluxos em paciente com deterioração clínica.</t>
  </si>
  <si>
    <t>Risco relacionado à incisão de traqueostomia.</t>
  </si>
  <si>
    <t>INC 2040 / 2026</t>
  </si>
  <si>
    <t>Paciente em uso de traqueostomia apresentando incisão não suturada na ferida operatória em região periestoma, com exposição de tecido interno e fixação inadequada do dispositivo (ausência/ineficácia de pontos laterais). Identificado risco de complicação local e deslocamento do dispositivo. Realizada comunicação imediata com a equipe médica (cirurgião) que não viu relevância na situação e não interviu (ontem), verbalizando que era necessário "somente fazer curativo" e que era "normal" ficar assim. Hoje após nova contatação com a chefia da cirurgia geral, o médico se prontificou a avaliar e ajustar a fixação da TQT. Notificado como evento adverso relacionado a procedimento/dispositivo invasivo.</t>
  </si>
  <si>
    <t>Óbito em UTI possivelmente evitável - F.M.S 348035</t>
  </si>
  <si>
    <t>INC 2041 / 2026</t>
  </si>
  <si>
    <t>Paciente admitido na unidade trazido pelo samu. Filha refere que o mesmo estava com sintomas há cinco dias de tontura e diarreia, evoluindo com tosse, dispneia progressiva e piora do estado geral. Óbito considerado evitável por falta de conduta imediata na assistência ao paciente. Prontuário com evoluções insuficientes para uma análise de condutas. Paciente apresentou uma hipotensão as 00:00 e só foi tomado medidas as 14:00 horas. Necessita de análise para fins de esclarecimentos sobre o caso.</t>
  </si>
  <si>
    <t>Óbito possivelmente evitável - A.B.R 184455</t>
  </si>
  <si>
    <t>INC 2042 / 2026</t>
  </si>
  <si>
    <t>Paciente com diagnostico de base de ESPLENOSE POR ANEMIA FALCIFORME. Internou no dia 13/03/2026 para a realização de ESPLENECTOMIA, porém, no dia 15/03 foi informado pela agencia transfusional que não há condição logística para reserva de plaquetas. Diante disso, a solicitação suspensa. Paciente no momento sem plaquetopenia, mantida programação cirúrgica a ser discutida com anestesiologista no momento do procedimento. Dia 16/03 recebe alta hospitalar e orientação de retorno para reinternação quando disponibilidade de hemocomponentes. Paciente retorna para procedimento cirúrgico dia 26/03/2026 e evolui pós procedimento para um quadro de anemia grave com HB: 6,4. Realizada transfusão de hemácias. Após 03 bolsas, mantém HB: 7,2, sem evidências de sangramento pelo dreno. Mantida em sala operatória devido ausência de leito de UTI. Permaneceu em RPA sob cuidados do anestesista e informado a família sobre a gravidade do quadro. Sem melhora clinica e necessitando de drogas vasoativas. Procedimento indicado pelo hematologista, com todas as medidas terapêuticas e hemoterápicas previamente estabelecidas. Necessária avaliação do caso por ter sido apresentado em reunião de comissão de óbito e ressaltado algumas observações sobre a assistência prestada.</t>
  </si>
  <si>
    <t>18/05/2026</t>
  </si>
  <si>
    <t>Óbito possivelmente evitável - M.D.S 348425</t>
  </si>
  <si>
    <t>INC 2043 / 2026</t>
  </si>
  <si>
    <t>Paciente admitida na unidade com queixas de perca de força difusa, deslalia e desvio de rima para esquerda. Após tomografia de crânio foi diagnosticada com um AVC hemorrágico. Paciente encaminhada para UTI em IOT. Após avaliação com a neurocirurgia e uma nova tomografia de crânio, a paciente evoluiu com ausência de possibilidade terapêutica já com hemorragia intraparenquimatosa e inundação de terceiro e quarto ventrículo. Além de edema generalizado. Necessita de análise, pois, condutas podem ter sido insuficientes. Poderia ter a necessidade de uma drenagem do abcesso a qual não foi realizada.</t>
  </si>
  <si>
    <t>Óbito em UTI possivelmente evitável - M.C.R.L 345046</t>
  </si>
  <si>
    <t>INC 2044 / 2026</t>
  </si>
  <si>
    <t>Paciente admitida devido quadro de dispneia aos mínimos esforços, tosse produtiva e febre. A mesma relata uso de amoxicilina para tratamento de abcesso hepático. Iniciado antibioticoterapia. Paciente evoluiu para óbito e possivelmente evitável por possíveis falhas assistenciais. Paciente fazia uso de medicações em casa, na qual não constava nas prescrições durante tratamento em hospital. Houve também uma demora na conduta de encaminhamento da paciente para um leito de terapia intensiva. Na qual, a mesma necessitava de cuidados intensivos.</t>
  </si>
  <si>
    <t>Não conformidade nas práticas de segurança do paciente - Meta 01</t>
  </si>
  <si>
    <t>INC 2045 / 2026</t>
  </si>
  <si>
    <t>Não conformidades evidenciadas durante a ronda da segurança foi observado pacientes sem o uso da pulseira de identificação. Em desacordo com a Meta 01
Prontuário: 334168
Iniciais: M.W.F.R
Prontuário: 225402
Iniciais: L.A.L.C
Prontuário: 251834
Iniciais: A.B.S.L
Prontuário: 325824
Iniciais: N.S.B
Prontuário: 227214
Iniciais: E.G.S
Prontuário: 349849
Iniciais: N.S
Prontuário: 351908
Iniciais: C.L.M.S
Prontuário: 162576
Iniciais: S.F.F.M</t>
  </si>
  <si>
    <t>INC 2046 / 2026</t>
  </si>
  <si>
    <t>Não conformidades evidenciadas durante a ronda de segurança, foi observado pacientes com pulseiras de identificações ilegíveis. Em desacordo com a Meta 01
Prontuário: 168328
Iniciais: L.F.P
Prontuário: 200810
Iniciais: M.D.S
Prontuário: 340351
Iniciais: A.J.A
Prontuário: 296116
Iniciais: A.B.S
Prontuário: 352216
Iniciais: S.M.S
Prontuário:345068
Iniciais: M.E.C.F
Prontuário: 280565
Iniciais: M.L.O.S
Prontuário: 170294
Iniciais: I.S.B
Prontuário: 323700
Iniciais: D.M.L
Prontuário: 267523
Iniciais: G.L.S.J
Prontuário: 282708
Iniciais: A.P.S.S
Prontuário: 342003
Iniciais: A.Z.C.M
Prontuário: 296116
Iniciais: A.B.S
Prontuário: 342478
Iniciais: J.A.F</t>
  </si>
  <si>
    <t>OBS CLINICA MÉDICA</t>
  </si>
  <si>
    <t>Não conformidade nas práticas de segurança do paciente - Parto Seguro</t>
  </si>
  <si>
    <t>INC 2047 / 2026</t>
  </si>
  <si>
    <t>Não conformidades evidenciadas durante a ronda da segurança, foi observado que não foi realizado a conferência dos dados da paciente junto a pulseira de identificação. Em desacordo com a meta de Parto Seguro
Prontuário: 322001
Iniciais: G.S.B</t>
  </si>
  <si>
    <t>Não conformidades nas práticas de segurança do paciente - Cirurgia Segura</t>
  </si>
  <si>
    <t>INC 2048 / 2026</t>
  </si>
  <si>
    <t>Não conformidade evidenciadas durante a ronda de segurança. Foi observado: Não foi realizado conferência dos dados do paciente com a pulseira de identificação, termo de anestesia não assinado, equipe não confirmam verbalmente o time out, não realizado preenchimento completo do quadro de time out, não realizado registro completo do procedimento pelo anestesista, não realizada alta do paciente pelo anestesista, sem marcação de sítio cirurgico.  
Prontuário: 208411
Iniciais: M.J.R.S
Prontuário: 198937
Iniciais: K.L.E.S
Prontuário: 299229
Iniciais: N.S.A.C
Prontuário: 336897
Iniciais: V.S.N
Prontuário: 350967
Iniciais: A.S.S
Prontuário: 284134
Iniciais: V.S.V
Prontuário: 353115
Iniciais: M.S.A.S
Prontuário: 278742
Iniciais: J.L.A.S
Prontuário: 337058
Iniciais: I.V.S.C
Prontuário: 297133
Iniciais: S.M.S.A
Prontuário: 351535
Iniciais: G.S.O
Prontuário: 337223
Iniciais: C.F.S.G
Prontuário: 244588
Iniciais: R.C.S
Prontuário: 342241
Iniciais: F.M.C
Prontuário: 165855
Iniciais: L.L.C.L
Prontuário: 163218
Iniciais: L.S
Prontuário: 353002
Iniciais: M.A.S.S
Prontuário:  231722
Iniciais: W.B.A.S
Prontuário: 189863
Iniciais: R.S.A.S
Prontuário: 346643
Iniciais: G.G.F.S
Prontuário: 350458
Iniciais: A.G.C.J
Prontuário: 330613
Iniciais: R.C.G
Prontuário: 278557
Iniciais: I.F.O
Prontuário: 350872
Iniciais: A.C.S.L
Prontuário: 252624
Iniciais: E.S.S
Prontuário: 343205
Iniciais: M.L.B.S
Prontuário: 335027
Iniciais: J.D.S
Prontuário: 350604
Iniciais: D.N.J
Prontuário: 350440
Iniciais: N.A.J
Prontuários: 350962
Iniciais: M.C.S
Prontuários: 343738
Iniciais: L.F.R.R</t>
  </si>
  <si>
    <t>Não conformidades nas práticas de segurança do paciente - Meta 02</t>
  </si>
  <si>
    <t>INC 2049 / 2026</t>
  </si>
  <si>
    <t>Não conformidades evidenciadas durante ronda da segurança. Foi observado: Termos de consentimentos não aplicados, quadro de kanban sem informações atualizadas ou incompletas. Em desacordo com a meta 02.
Prontuário: 178946
Iniciais: E.A.S
Prontuário: 186889
Iniciais: C.P.O
Prontuário: 197036
Iniciais: C.O.S
Prontuário: 227514
Iniciais: A.P.S.C
Prontuário: 200810
Iniciais: M.D.S
Prontuário: 300820
Iniciais: A.F.S
Prontuário: 344994
Iniciais: P.A.C
Prontuário:335885
Iniciais: O.M.S
Prontuário: 337105
Iniciais: W.S.S
Prontuário: 269839
Iniciais: P.C.C
Prontuário: 346702
Iniciais: J.C.G
Prontuário: 204589
Iniciais: M.P.L
Prontuário: 180625
Iniciais: V.G.S
Prontuário: 179987
Iniciais: R.N.C.S</t>
  </si>
  <si>
    <t>OBS CLINICA MEDICA</t>
  </si>
  <si>
    <t>INC 2050 / 2026</t>
  </si>
  <si>
    <t>Não conformidades evidenciadas durante a ronda de segurança. Foi observado: Termos de consentimentos não aplicados, quadro beira leito com informações incompletas, quadro de kanban com informações desatualizadas e incompletos, não preenchimento do SBAR. Em desacordo com a meta 02
Prontuário: 227214
Iniciais: E.G.S
Prontuário: 349849
Iniciais: N.S.
Prontuário: 298965
Iniciais: A.S.M
Prontuário: 342612
Iniciais: M.A.S.S
Prontuário: 346643
Iniciais: G.G.F.S.
Prontuário: 160947
Iniciais: M.H.L.G
Prontuário: 334168
Iniciais: M.W.F.R
Prontuário: 225402
Iniciais: L.A.L.C
Prontuário: 251834
Iniciais: A.B.S.L
Prontuário: 325824
Iniciais: N.S.B.
Prontuário: 351848
Iniciais: T.L.T.S
Prontuário: 298512
Iniciais: L.H.S.P
Prontuário: 234890
Iniciais: A.C.A.S
Prontuário: 352220
Iniciais: Y.R.S.R
Prontuário: 336384
Iniciais: B.N.C
Prontuário: 326178
Iniciais: E.C.P.B
Prontuário: 257597
Iniciais: A.B.C.V
Prontuário: 348291
Iniciais: S.S.P
Prontuário: 346643
Iniciais: G.G.F.S.
Prontuário: 307710
Iniciais: W.S.C
Prontuário: 332671
Iniciais: A.G.P
Prontuário: 353184
Iniciais: G.H.S.R
Prontuário: 353320
Iniciais: E.D.S.M
Prontuário: 353526
Iniciais: A.M.L.S
Prontuário: 306339
Iniciais: A.L.S.P
Prontuário: 351908
Iniciais: C.L.M.S
Prontuário: 351954
Iniciais: C.C.J
Prontuário: 270484
Iniciais: K.A.R.L
Prontuário: 162576
Iniciais: S.F.F.M
Prontuário: 325824
Iniciais: N.S.B
Prontuário: 225402
Iniciais: L.A.L.C
Prontuário: 350674
Inciais: H.R.S.S
Prontuário: 210721
Inciais: I.C.F.S
Prontuário: 214956
Inciais: G.L.N.C
Prontuário: 218504
Iniciais: D.L.A.S</t>
  </si>
  <si>
    <t>Não conformidades nas práticas de segurança do paciente - Meta 03</t>
  </si>
  <si>
    <t>INC 2051 / 2026</t>
  </si>
  <si>
    <t>Não conformidades evidenciadas durante ronda da segurança. Foi observado: As precrições médicas não estão sendo avaliadas pelos farmacêuticos antes da dispensação, Falta de identificação correta no rótulo das medicações em curso, Falta da dupla checagem entre enfermagem e farmácia.
Prontuário: 186889
Iniciais: C.P.O.
Prontuário: 346783
Iniciais: M.F.S.S
Prontuário: 346189
Iniciais: J.A.M.S
Prontuário: 351623
Iniciais: V.S.F</t>
  </si>
  <si>
    <t>INC 2052 / 2026</t>
  </si>
  <si>
    <t>Não conformidades evidenciadas durante ronda da segurança. Foi observado: As prescrições médicas não estão sendo avaliadas pelos farmacêuticos antes da dispensação, sem realização da dupla checagem antes da dispensação dos medicamentos farmácia/enfermagem. Em desacordo com a meta 03.
Prontuário: 227214
Iniciais: E.G.S
Prontuário: 342612
Iniciais: M.A.S.S
Prontuário: 160947
Iniciais: M.H.L.G.
Prontuário: 257597
Iniciais: A.B.C.V
Prontuário: 307710
Iniciais: W.S.C
Prontuário: 225402
Iniciais: L.A.L.C
Prontuário: 214956
Iniciais: G.L.N.C
Prontuário: 218504
Iniciais: D.L.A.S</t>
  </si>
  <si>
    <t xml:space="preserve">Não conformidades nas práticas de segurança do paciente - Meta 06  Prevenção de queda. </t>
  </si>
  <si>
    <t>INC 2053 / 2026</t>
  </si>
  <si>
    <t>Não conformidades evidenciadas durante ronda da segurança. Foi observado: Pacientes sem pulseira de identificação de risco de queda, prescrição de enfermagem não está de acordo com o protocolo de prevenção de queda, sem checagem de cuidados de enfermagem, grades abaixadas.
Prontuário: 168328
Iniciais: L.F.P
Prontuário: 200810
Iniciais: M.D.S
Prontuário: 344994
Iniciais: P.A.C.
Prontuário: 337105
Iniciais: W.S.S.
Prontuário: 344638
Iniciais: J.J.P.S
Prontuário: 342003
Iniciais: A.Z.C.M
Prontuário: 170294
Iniciais: I.S.B
Prontuário: 323700
Iniciais: D.M.L
Prontuário: 267523
Iniciais: G.L.S.J
Prontuário: 339247
Iniciais: J.B.S
Prontuário: 352216
Iniciais: S.M.S
Prontuário: 345068
Iniciais: M.E.C.F</t>
  </si>
  <si>
    <t>CLINICA MEDICA</t>
  </si>
  <si>
    <t>Não conformidades nas práticas de segurança do paciente - Meta 06 - Risco de queda</t>
  </si>
  <si>
    <t>INC 2054 / 2026</t>
  </si>
  <si>
    <t>Não conformidades evidenciadas durante ronda da segurança. Foi observado: Pacientes sem escala de risco de queda no momento da admissão, paciente não sendo avaliado diariamente, pacientes sem pulseira de identificação de risco de queda, sem prescrição de enfermagem em relação ao protocolo de prevenção de quedas, sem cumprimento da checagem de cuidados de enfermagem, grades abaixadas, sem evidencias que paciente ou acompanhantes estão cientes quanto ao risco de queda. Em desacordo com a meta 06.1 - prevenção do risco de queda
Prontuário: 160947
Iniciais: M.H.L.G
Prontuário: 334168
Iniciais: M.W.F.R
Prontuário: 225402
Iniciais: L.AL.C
Prontuário: 251834
Iniciais: A.B.S.L
Prontuário: 325824
Iniciais: N.S.B
Prontuário: 227214
Iniciais: E.G.S
Prontuário: 349849
Iniciais: N.S
Prontuário: 298965
Iniciais: A.S.M
Prontuário: 342612
Iniciais: M.A.S.S.
Prontuário: 346643
Iniciais: G.G.F.S.
Prontuário: 225402
Iniciais: L.AL.C
Prontuário: 350674
Iniciais: H.R.S.S
Prontuário: 210721
Iniciais: I.C.F.S.
Prontuário: 214956
Iniciais: G.L.N.C
Prontuário: 218504
Iniciais: D.L.A.S
Protuário: 326178
Inciais: E.C.P.B
Prontuário: 257597
Inciais: A.B.C.V
Prontuário: 348291
Iniciais: S.S.P
Prontuário: 346643
Iniciais: G.G.F.S
Prontuário: 307710
Iniciais: W.S.C.
Prontuário: 351848
Inciais: T.L.T.S
Prontuário: 298512
Inciais: L.H.S.P
Prontuário: 234890
Iniciais: A.C.A.S
Prontuário: 352220
Iniciais: Y.R.S.R
Prontuário: 336384
Iniciais: B.N.C
Prontuário: 332671
Iniciais: A.G.P
Prontuário: 353184
Inciais: G.H.S.R
Prontuário: 353320
Iniciais: E.D.S.M
Prontuário: 353526
Iniciais: A.M.L.S
Prontuário: 306339
Iniciais: A.L.S.P
Prontuário: 351908
Inciais: C.L.M.S
Prontuário: 351954
Iniciais: C.C.J
Prontuário: 270484
Iniciais: K.A.R.L
Prontuário: 162576
Iniciais: S.F.F.M
Prontuário: 325824
Iniciais: N.S.B</t>
  </si>
  <si>
    <t>Dispensação de medicação incorreta</t>
  </si>
  <si>
    <t>INC 2055 / 2026</t>
  </si>
  <si>
    <t>Alessandra Maranguape da Silva</t>
  </si>
  <si>
    <t>Venho por meio deste relatar um ocorrido envolvendo a dispensação incorreta da medicação no dia 30/04/2026, ás 08:00h da manhã, no setor da farmácia. Foi dispensada a medicação BENZILPENICILINA BENZATINA 1.200.000UI, quando o correto é BENZILPENICILNA POTÁSSICA 5.000.000UI, o erro foi identificado no momento da preparação, evitando possiveis danos ao paciente. Ressalto que a situação representou risco significativo. Solicito análise do ocorrido, e se possível, a adoção de medidas para prevenção  de eventos semelhantes.</t>
  </si>
  <si>
    <t>23</t>
  </si>
  <si>
    <t>Não conformidades nas práticas de segurança do paciente - Meta 06 - Lesão por pressão</t>
  </si>
  <si>
    <t>INC 2056 / 2026</t>
  </si>
  <si>
    <t>Não conformidades evidenciadas durante ronda da segurança. Foi observado: Paciente não possuindo mecanismos para minimizar a redistribuição da pressão, prescrição de enfermagem em desacordo com o protocolo de prevenção de lesão, pacientes sem possuir mecanismos para controle de umidade, pacientes sem definição de condutas técnicas para cada tipo de lesão de pele, sem o relógio beira leito para mudança de decúbito. Em desacordo com a meta 06.2 de prevenção de lesões por pressão. 
Prontuário: 186889
Iniciais: C.P.O
Prontuário:170382
Iniciais: V.V.F
Prontuário: 335885
Iniciais: O.M.S
Prontuário: 269839
Iniciais: P.C.C
Prontuário: 227514
Iniciais: A.P.S.C
Prontuário:168328
Iniciais: L.F.P
Prontuário: 335027
Inciais: J.D.S
Prontuário: 261214
Iniciais: L.S.A
Prontuário: 339247
Iniciais: J.B.S
Prontuário: 345068
Iniciais: M.E.C.F
Prontuário: 267523
Inciais: G.L.S.J
Prontuário: 320343
Iniciais: P.A.R
Prontuário: 204589
Inciais: M.P.L
Prontuário: 346783
Iniciais: M.F.S.S
Prontuário: 340351
Iniciais: A.J.A
Prontuário: 345432
Iniciais: F.J.S.G
Prontuário: 342478
Iniciais: J.A.F
Prontuário: 340351
Iniciais: A.J.A
Prontuário: 176039
Iniciais: L.M.S</t>
  </si>
  <si>
    <t>Não conformidades nas práticas de segurança do paciente - Meta 06 - Prevenção de LPP</t>
  </si>
  <si>
    <t>INC 2057 / 2026</t>
  </si>
  <si>
    <t>Não conformidades evidenciadas durante ronda da segurança. Foi observado: Prescrição de enfermagem em desacordo com o protocolo de prevenção de lesão, paciente não foi avaliado na admissão quanto ao risco de LPP de acordo com a escala de Braden, não avaliados fatores chaves para o desenvolvimento de LPP, paciente não avaliado diariamente com evidências no prontuário de sua reclassificação, prescrição de enfermagem em desacordo com o protocolo de prevenção de lesão por pressão, pacientes sem mecanismos para minimizar a redistribuição da pressão. Em desacordo com a meta 06.2 de lesão por pressão.
Prontuário: 227214
Iniciais: E.G.S.
Prontuário: 349849
Iniciais: N.S
Prontuário: 342612
Iniciais: M.A.S.S
Prontuário: 346643
Iniciais: G.G.F.S</t>
  </si>
  <si>
    <t>IRAS ABRIL 2026</t>
  </si>
  <si>
    <t>INC 2058 / 2026</t>
  </si>
  <si>
    <t>05/03 PACIENTE DE 39 ANOS APRESENTA DOR EM REGIÃO UMBILICAL, REFERE QUE REALIZOU CIRURGIA EM 2023 EM REGIÃO UMBILICAL DOR EM REGIÃO UMBILICAL HÁ 2 SEMANAS PROCUROU ATEDIMENTO SOMENTE HOJE. HÉRNIA UMBILICAL ESTRANGULADA. 06/03 PACEINTE SUBMETIDO A HERNIORRAFIA UMBILICAL COM ABCESSO EM SACO HERNIARIO SEM INTERCORRENCIAS. ATB D1/10 CEFTRIAXONA 1G PO. DR. ANTONIO. 07/03 SUBMETIDO A CIRURGIA INTEM PARA HERNIA UMBILICAL E ABCESSO DE SACO HERNIARIO SEM QUEIXAS. FERIDA OPERATORIA DE BOM ASPECTO. CONDUTA: 1. RETIRAR DRENO SENTINELA. 2. ALTA HOSPITALAR. 25/03 DOR ABDOMINAL, PACIENTE, SUBMETIDO A CIRURGIA HÁ 20 DIAS NO LOCAL AFETADO. REFERE SAÍDA DE SECREÇÃO PURULENTA DO SÍTIO CIRÚRGICO. NEGA FEBRE, CALAFRIOS OU OUTROS SINTOMAS SISTÊMICOS. EXAME FÍSICO (EF): SÍTIO CIRÚRGICO COM SECREÇÃO PURULENTA, HIPEREMIA LOCAL DISCRETA, SEM SINAIS DE NECROSE OU ABERTURA DA SUTUR. SEM LINFADENOPATIA REGIONAL. PELE AO REDOR ÍNTEGRA. SEM SINAIS DE CELULITE EXTENSA. HIPÓTESE DIAGNÓSTICA: INFECÇAO SITIO CIRURGICO? PACINETE AVALIDADO PELA CIRURGIA GERAL QUE FORNECEU ORIENTAÇOES GERAIS. ALTA APOS CONSULTA. SEM ATB.  FECHADO - ISC INCISIONAL SUPERFICIAL (IS).</t>
  </si>
  <si>
    <t>INC 2059 / 2026</t>
  </si>
  <si>
    <t>11/03 PACIENTE 56 ANOS DA ENTRADA TRAZIDA PELO SAMU APOS QUEDA DE PROPRIA ALTURA QUEIXANDO DE DOR, EDEMA, DEFORMIDADE E REDUÇÃO DE MOBILIDADE EM JOELHO ESQUERDO. SEM OUTRAS QUEIXAS. TRANSFIRO PACIENTE COM HD FRATURA DA ROTULA DA PATELA A REALIZAR TTO CIRURGICO.  PACIENTE DE DIETA ZERO. 12/03 POI TRATAMENTO CIRURGICO DE FRATURA DE PATELA ESQUERDA. PROCEDIMENTOS REALIZADOS SEM INTERCORRÊNCIAS. 02 FIOS K 2.0MM. 01 FIO DE CERCLAGEM. DRº MARCOS VINICUS, ATB CEFALEXINA. 13/03 1 DPO DE OSTEOSSINTESE, PCT EVOLUI SEM INTERCORRENCIAS ORTOPÉDICAS. ALTA HOSPITALAR. SEM ATB. 19/03 PACIENETE VEM A UNIDADE COM QUEIXA DE SANGRAMENTO INTENSO EM REGIÃO DE JOELHO, FEZ TRATAMENTO CIRURGICO NA UNIDADE HÁ 06 DIAS, POREM APRESENTA SANGRAMENTO INTENO DESDE O DIA DA ALTA. EM USO DE CEFALEXINA E AINES. FO: SEM SIANIS DE INFECÇÃO APRESENTANDO SANGRAMENTO MODERADO EM BABAÇÃO PACIENTE COM LEUCOCITOSE, SEM OUTRAS ALTERAÇÕES; DISCUTIDO CASO COM DR. MARCOS VINICIUS, QUE ORIENTA CONSULTA NO AMBULATÓRIO DE ORTOPEDIA WM 20/03 PELA MANHÃ. ATB AMOXICILINA + CLAVULANATO. 25/03 CETOACIDOSE -  DA ENTRADA NO PS TRAZIDA PELOS FAMILIARES DEVIDO QUADRO DE NAUSEAS, DOR ABDOMINAL, LETARGIA E REBAIXAMENTO DO NIVEL DE CONSCIENCIA, HGT HI E HALITO CETONICO. APÓS A INTERNAÇÃO DA PACIENTE POR CETOACIDOSE DIBÉTICA TODAS AS EVOLUÇÕES (EQUIPE MULTI) RELATAVAM QUE PCT HAVIA REALIZADO CIRURGIA EM JOELHO E NEM UM RELATO SOBRE A CARACTERISTICA DA FO, APENAS RELATO DE DOR. 31/03 EM EVOLUÇÃO PELA ENFERMEIRA - APRESENTA FERIDA OPERATORIA EM JOELHO ESQUERDO DEVIDO CIRURGIA ANTERIOR APRESENTANDO EXSUDATO PURULENTA, PACIENTE REFERE POUCA ALGIA EM MIE. ATB  CEfTRIAXONA. 07/04 SOLICITADO AVALIAÇÃO DA ORTOPEDIA. AGENDADO PROCEDIMENTO DE DESBRIDAMENTO DE PATELA ESQUERDA 10/04. PACIENTE SUBMETIDA A DRENAGEM DE ARTRITE SÉPTICA EM JOELHO ESQ E DESBRIDAMENTO TECIDOS DESVITALIZADOS PÓS OSTEOSSINTESE DE PATELA. DRENADA GRANDE QUANTIDADE DE SECREÇÃO PURULENTA AMARELA AMARRONZADA. DR.  JANEILSON. COLETA DE MATERIAL.  PARA CULTURA COM CRESCIMENTO DE KLEBSIELLA AEROGENES (SECREÇÃO PURULENTA) SENSÍVEL AOS CARBAPENEMICOS. 13/04  PEL AORTOP. PACIENTE EM PO DE LIMPEZA EM CIRURGIA DA PATELA ESQ. FO LIMPA E SECA SEM SINAI SDE INFECÇÃO. PCT SEM INTERCORRENCIAS ORTOPEDICAS. CD: MANTER ATB E CUIDADOS PELA CLINICA MÉDICA + PROGRAMAR ALTA PELA ORTOP APOS 7 DIAS DE ATB ENDOVENOSO. 23/04 CENTRO CIRURGICO - ORTOPEDIA POI DE DEBRIDAMENTO COM RETIRADA DE MATERIAL DE SINTESE E NOVA CULTURA. PACIENTE EM SALA COM ISC, FERIMENTO COM SECREÇÃO EXUBERANTE E SOLTURA COMPLETA DO MATERIAL DE SINTESE, COM FRECÇÃO DO TENDÃO PATELAR. FEITO LIMPEZA PROFUNDA, RETIRADO MATERIAL, COLETADO CULTURA. CD SEGUE AOS CUIDADOS DA CLINICA MEDICA. RETIRAR DRENO COM 24 A 36 HORAS. CULTURA NEGATIVA. ATB  MEROPENEM. 25/04 PACIENTE EM 2 DIA DE PO PARA DEBRIDAMENTO DE FERIDA OPERATORIA, EM USO DE DRENO PORTOVAC, SEM SUCCÇÃO, FERIDA SECA COM MELHORAS DO ASPECTO. CONDUTA ORTOPEDIA. RETIRAR DRENO. MANTER CURATIVO. TALA TUBO / BRACE. PACIENTE PERMANECE INTERNADA. COM COMORBIDADES. FECHOU - ISC INCISIONAL PROFUNDA (IP). PACIENTE COM COMORBIDADES (DIABETES MELLITUS).</t>
  </si>
  <si>
    <t>26</t>
  </si>
  <si>
    <t>IRAS MARÇO 2026</t>
  </si>
  <si>
    <t>INC 2060 / 2026</t>
  </si>
  <si>
    <t>26/03 GESTANTE 23 ANOS  IG: 38+4. GESTA: 03, A:01, PC:01 HÁ 02 ANOS. PACIENTE DEU ENTRADA NESSA UNIDADE DE PRONTO ATENDIMENTO COM QUEIXA DE CONTRAÇOES,FOI AVALIADA PELO G. O DE PLANTÃO. AVALIAÇÃO MÉDICA BCF 132 COM DESACELERAÇÕES. COLO 8 CM ALTO EDEMACIADO. DCP+ FFA. CESARIANA. DRº EMIVAL. PACIENTE SUBMETIDA A CESAREA,  PROCEDIMENTO SEM INTERCORRÊNCIAS. 28/03 FERIDA OPERATÓRIA: INCISÃO LINEAR, LIMPA, BORDAS BEM UNIDAS, SEM SINAIS FLOGÍSTICOS OU SAÍDA DE SECREÇÃO. ALTA HOSPITALAR. ATB CEFADROXILA / 7 DIAS. 03/04  PUERPERA EM 8 PO CESARIANA REFERE ALGIA NA REGIÃO DA INCISÃO CIRURGICA COM VERMELHIDÃO (SIC) E SAÍDA DE SECREÇÃO DE GRANDE VOLUME PELA FO COM CALOR E ODOR FÉTIDO. FO COM CALOR RUBOR - ERITEMA E SAÍDE DE SECREÇÃO SOROSANGUINOLENTA DE GRANDE VOLUME E ODOR FÉTIDO. REALIZO DRENAGEM DE CONTEUDO PURULENTO CPM PEQUENOS COAGULOS DE GRANDE VOLUME UTILIZANDO 6 COMPRESSAS. CULTURA DE SECREÇÃO - MATERIAL INVÁLIDO PARA O CONTROLE DE INFECÇÃO PELA ANVISA. INTERNO PARA TRATAMENTO CLINICO. CLINDAMICINA + GENTAMICINA. 04/04  DIMINUIÇÃO DO ERITEMA E COM DRENAGEM DE POUCO CONTEÚDO PURULENTO DA FO. REFERE MELHORA SA SENSAÇÃO DE PESO DEVIDO A INFECÇÃO PUERPERAL DA FO. NEGA FEBRE. 05/04 PACIENTE AVALIADA A BEIRA LEITO. DIMINUIÇÃO DO ERITEMA COM AUMENTO DO PONTO DE FLUTUAÇÃO DA DEINCENCIA DA FO DE APROXIMADAMENTE 2 CM E COM DRENAGEM DE MINIMO CONTEÚDO PURULENTO. CHECO USG DE PARTES MOLES EVIDENCIANDO EDEMA DE APROXIMADAMENTE 5 CM, SEM CONJUNTO DE COLEÇÃO DE LIQUIDO. 07/04 PELA ENFERMAGEM - EM 12° POI PC INTERNADA POR F.O INFECTADA, CURATIVO REALIZADO, FO LIMPA, SEM SECREÇÃO, SEM ODOR, COM PRESENÇA DE TECIDO DE GRANULAÇÃO, APRESENTAÇÃO BOA EVOLUÇÃO DE CICATRIZAÇÃO. 08/04 13º DI DE PARTO CESARIANA, SEM QUEIXAS. ALTA C/ AMOXA + CLAVULONATO, CICATRIZAÇÃO P/ 2º INTENÇÃO. FECHOU - ISC INCISIONAL SUPERFICIAL (IS).</t>
  </si>
  <si>
    <t>INC 2061 / 2026</t>
  </si>
  <si>
    <t>01/03 PACIENTE 42 ANOS VITIMA DE TRAUMA MOTO X CALÇADA TRAZIDO PELO SAMU EM PRANCHA RIGIDA E COLAR CERVICAL. PACIENTE RESPONDE AOS ESTIMULOS E VERBALIZA COM DIFICULDADE. NO ENTANTO ACOMPANHANTE REFERE CONSUMO DE BEBIDA ALCOOLICA. DEMAIS MEMEBROS PRESERVADOS SEM SIANIS DE FRATURA.  REALIZADA TOMOGRAFIAS CRANIO, TORAX, ABD, CERVICAL E COLUNA, APRESENTANDO FRATURAS EM  T6; T8; T11, MANTENDO EM PRANCHA E COLAR CERVICAL. AGUARDO LEITO DE UTI, SOLICITO AV DE NEUROCIRURGIAO. 02/03 RECEBO PACIENTE EM LEITO DE UTI. 05/03 AGUARDO ANGIO TC DE CRANIO - AGUARDO LAUDO PARA AVALIAR ALTA PARA ENFERMARIA. 06/03 PACIENTE ENCAMINHADA PARA CLÍNICA CIRÚRGICA PARA AGUARDAR CIRURGIA. 16/03 QUEIXANDO DE ALGIA INTENSA EM REGIÃO CERVICAL E DOR À MOBILIZAÇÃO. ARTRODESE DE COLUNA TORACICA COM PROCEDIMENTO OCORENDO SEM INTERCORRENCIAS. 19/03 NEUROCIRURGIA PACIENTE COM HISTÓRIA DE FRATURA DE CORPO VERTEBRAL DE T6, T8 E T11. ARTRODESE DE COLUNA TORACICA (16/3/26) COM PROCEDIMENTO OCORENDO SEM INTERCORRENCIAS. ALTA HOSPITALAR COM ORIENTAÇÕES. RETORNO AMBUATORIAL COM 30 DIAS COM A NEUROCIRRUGIA. ATB CEFUROXIMA. 05/04 PACIENTE PROCURA ATENDIMENTO MÉDICO RELATANDO QUE TEVE UMA CIRURGIA EM COLUNA EM 16/03/2026 APÓS ACIDENTE AUTOMOBILÍSTICO. EVOLUIU HÁ 5 DIAS COM DEISCENCIA DE FO EM TERÇO SUPERIOR E DISTAL DE FERIDA OPERATÓRIA COM ODOR FÉTIDO, SAÍDA DE SECREÇÃO PURULENTA E RUBOR. QUEIXA-SE DE FEBRE. SEM DEMAIS ALTERAÇÕES. EM USO DE ACETILFUOXIMA HÁ MAIS DE 10 DIAS (SEGUNDO INFORMAÇÕES FOI O MÉDICO OPERATÓRIO QUE PASSOU). ATB  VANCOMICINA + CEFTAZIDIMA. 06/04 PACIENTE RETORNA AO HOSPITAL DEVIDO DEISCÊNCIA DE FO EM DOIS PONTOS. PROGRAMAREI FECHAMENTO E LIMPEZA CIRURGICA APÓS RESOLUÇÃO DE TVP. 08/04 PACIENTE AVALIADA EM 07/04/2026. NO DOPPLER JA POSSUI TVP DE VFCE COM EXTENSÃO PARA ILIACA. JÁ SE TRATA DE UMA TROMBOSE CENTRAL COM NECESSIDADE DE ANTICOAGULAÇÃO. ENTRETANTO, COMO DISCUTIDO VIA FONE, CASO HAJA NECESSIDADE DE ABORDAGEM DA FERIDA OPERATÓRIA, AGUARDAR 7-10 DIAS DE ANTICOAGULAÇÃO. SUSPENDER ENOXAPARINA 12 HORAS ANTES DO PROCEDIMENTO E INICIAR 12 HORAS APÓS. CASO FAÇA TRANSIÇÃO DA ANTICOAGULAÇÃO PARA HEPARINA, SUSPENDER 6 HORAS ANTES. CIRURGIÃO VASCULAR RUAN GABRIEL PINHO BOTELHO DOS SANTOS. 10/04 FO: AUMENTO DA DEISCÊNCIA E MANTÉM SAÍDA DE SECREÇÃO SEROSA. 14/04 AVALIAÇÃO PELO INFECTOLOGISTA FO COM DEISCENCIA E EXPOSIÇÃO DE MATERIAL IMPLANTADO. REALIZAR DESBRIDAMENTO E LIMPEZA O MAIS PRECOCEMENTE POSSIVEL E COLETAR CULTURAS DE FRAGMENTOS DE TECIDOS E DE COLEÇÕES (SE PRESENTES) PARA AJUSTE POSTERIOR DA TERAPIA ANTIMICROBIANA. 14/04 CURATIVO HOJE 14/04, TEC ESTERIL, LIMPEZA REALIZADA COM CLOREXIDINA E SF 0,9%, UTILIZADO PLACA DE BIATAIN, LESÃO SECRETIVA, TECIDO DE GRANULAÇÃO EM PARTE VISIVEL, OCLUIDO E IDENTIFICADO, PACIENTE TOLERANDO BEM PROCEDIMENTO. AG. PROCEDIMENTO CIRURGICO PARA AMANHÃ 15/04 (DESBRIDAMENTO). 15/04 POI DE ABORDAGEM DE FERIDA OPERATORIA INFECTADA - PROCEDIMENTO OCORREU SEM INTERCORRENCIAS. ATB  CEFTAZIDIMA + VANCOMICINA. 18/04 FO: BEM BOM ASPECTO. CONDUTA: ALTA PELA NEUROCIRURGIA COM ORIENTAÇÕES. RETORNO AMBULATORIAL EM 30 DIA NEUROCIRURGIA E VASCULAR. ATB CLAVULIN 1CP VO 8/8H. POR 7 DIAS. FECHOU - ISC INCISIONAL PROFUNDA (IP).</t>
  </si>
  <si>
    <t>INC 2062 / 2026</t>
  </si>
  <si>
    <t>Não conformidades evidenciadas durante ronda da segurança foi observado: Pacientes sem a identificação correta de homônimos, Equipe não realiza checagem da pulseira de identificação antes dos procedimentos. Em desacordo com a Meta 01.
Prontuário: 190502
Iniciais: M.F.A.S
Prontuário: 266053
Iniciais: M.S.T.B
Prontuário: 167155
Iniciais: L.R.S
Prontuário: 203589
Iniciais: V.F.T
Prontuário: 179360
Iniciais: A.S.R</t>
  </si>
  <si>
    <t>INC 2063 / 2026</t>
  </si>
  <si>
    <t>Não conformidades evidenciadas durante ronda da segurança foi observado: Que o colaborador não checa as informações com a pulseira do paciente antes de procedimentos de intervenção, Paciente sem o uso da pulseira de identificação, em desacordo com a Meta 01 .
Prontuário: 274148
Iniciais: A.M.S
Prontuário: 220054
Iniciais: E.K.T.S
Prontuário: 293302
Iniciais: E.P.S
Prontuário: 274507
Iniciais: C.L.V
Prontuário: 321642
Iniciais: M.M.F.O
Prontuário: 207917
Iniciais: A.P.S.C</t>
  </si>
  <si>
    <t>INC 2064 / 2026</t>
  </si>
  <si>
    <t>Não conformidades evidenciadas durante ronda da segurança foi observado paciente sem o uso da pulseira de identificação, sem uso da pulseira de homônimos, em desacordo com a Meta 01.
Prontuário: 242745
Iniciais: P.S.A
Prontuário: 273889
Iniciais: A.G.A
Prontuário: 353027
Iniciais: C.N.S
Prontuário: 162612
Iniciais: M.J.S.C.
Prontuário: 242667
Iniciais: M.C.G
Prontuário: 223858
Iniciais: L.A.S.</t>
  </si>
  <si>
    <t>Não conformidades nas práticas de segurança do paciente - meta 01</t>
  </si>
  <si>
    <t>INC 2065 / 2026</t>
  </si>
  <si>
    <t>Não conformidades evidenciadas durante ronda da segurança foi observado paciente sem o uso da pulseira de identificação, sem o uso da pulseira de homônimos em desacordo com a Meta 01.
Prontuário: 184562
Iniciais: M.D.C.S
Prontuário: 352055
Iniciais: M.A.S.S.
Prontuário: 341384
Iniciais: M.A.B
Prontuário: 351552
Iniciais: J.M.N.</t>
  </si>
  <si>
    <t>INC 2066 / 2026</t>
  </si>
  <si>
    <t>Não conformidades evidenciadas durante ronda da segurança foi observado paciente sem o uso da pulseira de identificação, em desacordo com a Meta 01.
Prontuário: 350616
Iniciais: J.S.A</t>
  </si>
  <si>
    <t>INC 2067 / 2026</t>
  </si>
  <si>
    <t>Não conformidades evidenciadas durante ronda da segurança foi observado paciente no centro sem o
uso da pulseira de identificação, em desacordo com a Meta 01</t>
  </si>
  <si>
    <t>INC 2068 / 2026</t>
  </si>
  <si>
    <t>30/03 PCTE 21 ANOS COM QUEIXA DE CONTRAÇÕES, COM AUMENTO PROGRESSIVO DE INTENSIDADE. NEGA PERDA DE LÍQUIDO. REFERE BOA MF.  INTERNAÇÃO PARA ASSISTÊNCIA AO TP. BCF 139 COLO 8 CM GROSSO, TENSO -1 DE DE-LEE. AMNIOTOMIA LCCG. REAVALIAR C/ 1 HORA. PARTO CESARIANA P/ PARADA DE PROGRESSÃO. INSEÇÃO DE DIU DE COBRE. 01/04 ABD GLOBOSO COM ESTRIAS RÓSEAS LARGAS EM ABDOME INFERIOR, RUÍDOS NORMOATIVOS, TIMPÂNICO DIFUSAMENTE, DOLOROSO À PALPAÇÃO SUPERFICIAL E PROFUNDA. ÚTERO NORMOCONTRAÍDO ABAIXO DA CICATRIZ UMBILICAL FO COM LEVE EQUIMOSE EM ALGUNS PONTOS AO REDOR DA INCISÃO, MAS SEM SINAIS FLOGÍSTICOS ASSOCIADOS. ALTA COM PRESCRIÇÃO E ORIENTAÇÕES. ATB CEFALEXINA. 09/04 10º PO DE CESARIANA P/ PARADA DE PROGRESSAO. RELATA QUE ASSIM QUE CHEGOU EM CASA COMEÇOU A SIR SECREÇÃO NA FO ABERTURAS DOS PONTOS HA 3 DIAS C/ ELIMINAÇÃ DE SECREÇÃO C/ ODOR RUIM. ABD COM DEICESNCIA DE FO. NO MOMENTO POUCA SECREÇÃO, ESCASSO ATÉ PRA COLETA DE CULTURA. INTERNAÇÃO.  US DE PAREDE E DE ABDOMEM SEM ANORMALIDADES. ABD FLACIDO, DOLOROSO A PALPAÇÃO PROFUNDA, FO COM DEISCENCIA DE 4/5 CM, COM SAÍDA DE SECREÇÃO PURULENTA EM POUCA QUANTIDADE. ATB CEFTRIAXONA + CLINDAMICINA. 10/04 POI DE DESBRIDAMENTO DE CICATRIZ CIRURGICA + LAVAGEM + SUTURA, SEM INTERCORRÊNCIA. 11/04 AVALIO PACIENTE EM BEIRA LEITO, CONSCIENTE, ORIENTADA, COLABORATIVA. EVOLUIU NO DIA 10/04 COM LIMPEZA CIRURGICA E DEBRIDAMENTO. NESTE MOMENTO COM ALGIA EM REGIÃO CIRURGICA DE BAIXA INTENSIDADE FO LIMPA E SECA. 12/04 FO: LIMPA, SECA E COM ERITEMA EM POUCA INTENSIDADE, SEM SAIDA DE SECREÇÃO LOQUIOS FISIOLÓGICOS. ALTA + SEGUIR ATB EV E VO.  ALTA HOSPITALAR POR CONDUTA MEDICA COM PRESCRIÇÃO E ORIENTAÇÕES DE ENFERMAGEM PARA DA CONTINUIDADE EM MEDICAÇÃO VENOSA EM UBS E RETORNAR AO HOSPITAL EM QUALQUER ANORMALIDADE. FECHOU - ISC INCISIONAL PROFUNDA (IP).</t>
  </si>
  <si>
    <t>INC 2069 / 2026</t>
  </si>
  <si>
    <t>13/02 ACID. MOTO, RX FX RADIO DISTAL DIR METADIAFISARIA. EF - EDEMA +/4+. CD: PROGRAMO CX 17/02/26, RETORNO 16/02/26. TALA AXP + RX. ORIENTAÇÕES GERAIS. 16/02 PACIENTE ADMITIDA EM AMBULATÓRIO, PROVENIENTE DE CASA. CONSCIENTE, ORIENTADA, DEAMBULANDO. COMPARECE PARA INTERNAÇÃO, PARA REALIZAÇÃO DE PROCEDIMENTO CIRURGICO DE FRATURA DA EXTREMIDADE DISTAL DO RÁDIO EM MSD. NEGA ALERGIAS E COMORBIDADES. REALIZADO AVP EM MSE. DT. CIRURGICA: 17/02. 17/02 FX RADIO DISTAL DIR. POi OSTEOSSÍNTESE COM FIOS DE KIRSCHNER. CIRURGIA REALIZADA SEM INTERCORRÊNCIAS. CD: CUIDADOS PÓS OPERATÓRIOS. DR. DANIEL. 17/02 às 21:18 EVOLUÇAO INTERNISTA. SOU ACIONADO PARA PRESCRIÇÃO DE INSULINA DE RESGATE PARA PACIENTE COM HGT 400 SEM QUEIXAS. CD: PRESCREVO ESQUEMA DE SINTOMATICOS SE NECESSARIO. DR. JOAO GUILHERME. 18/02 HOJE: PCT BEM, SEM QUEIXAS ÁLGICAS ESPECÍFICAS FO EM BOAS CONDIÇÕES, SEM SINAIS DE INFECÇÃO SEM DÉFICIT NV PERIFÉRICO. RX - FRATURA BEM ALINHADA, MATERIAL DE SÍNTESE BEM IMPLANTADO E SEM SINAIS DE SOLTURA. CD: ALTA HOSPITALAR. RETORNO EM 6 SEMANAS PARA RX CONTROLE ORIENTAÇÕES GERAIS, ESCLAREÇO DUVIDAS, RETORNO IMEDIATO SE NECESSÁRIO/PIORA AGUDA. ATB CEFALEXINA. 19/03 PACIENETE VEM A UNIDADE COM QUEIXA DE DOR EM REGIÃO DE MSE REFERE TRAUMA ANTERIOR COM FRATURA EM REGIÃO DE PUNHO COM COLOCAÇÃO DE PLACA ( SIC) O MOMENTO MEMBRO COM TALA E TIPOIA SIMPES. NEGA OUTRAS QUEIXAS. NEGA ALERGIAS MEDICAMENTOSAS. CONDUTA: DOR, MEDICAÇÕES, CURATIVO, ORIENTAÇÕES, ALTA MEDICA. ATB CEFALEXINA TOMAR 01 COMPRIMIDO DE 6/6H POR 7 DIAS. 01/04 ORTOTRAUMA-AMB, 13/02/26 - ACID MOTO RX-UPA - FX RADIO DISTAL DIR METADIAFISARIA EF - EDEMA +/4+. 17/03/26 - TRATAMENTO CIRÚRGICO COM FIOS DE KIRSCHNER. CD: RETORNO EM 3 SEMANAS PARA RX. DR. DANIEL MACHADO. NÃO PRESCREVEU MEDICAÇÃO. 17/04 PACIENTE VEM HOJE COM QUEIXA DE QUE HÁ 2 MESES REALIZOU CIRURGIA DEVIDO A FRATURA DE PUNHO DIREITO, PORÉM HÁ 4 DIAS INICIOU SINAIS FLOGISTICOS, DOR E EDEMA EM REGIÃO, E HÁ 2 DIAS HOUVE EXPULSÃO ESPONTÂNEA DE PINO QUE ESTAVA NO PUNHO - SIC. AFIRMA QUE NÃO CONSEGUIU VIR ANTES POIS MORA NA ZONA RURAL E NÃO TINHA CONDIÇÕES. NEGA QUALQUER OUTRA QUEIXA ASSOCIADA. NEGA COMORBIDADES PRÉVIAS. NEGA ALERGIAS MEDICAMENTOSAS. HIPÓTESE DIAGNÓSTICA: INFECÇÃO PÓS CIRURGICA // CELULITE DE ANTEBRAÇO. CONDUTA: DISCUTIDO CASO COM DR MIQUEIAS, ORTOPEDISTA DE PLANTÃO, QUE ORIENTOU ENCAMINHAMENTO AO AMBULATÓRIO DE ORTOPEDIA. 17/04 ORTOTRAUMA-AMB. VEIO NO AMBULATORIO COM QUEIXAS DE DOR LOCAL E SAIDA DE SECREÇÃO EM REGIAO DE FIO DE K AO EXAME: PRESENÇA DE ABSCESSO EM REGIAO VOLAR DO PUNHO DIREITO. CD: DRENAGEM DE ABSCESSO EM PUNHO DIREITO ( SAIDA DE GRANDE QUANTIDADE DE SECREÇÃO PURULENTA) RETIRADA DE FIO DE K EM PUNHO DIREITO INTERNAÇÃO PARA ATB. ORIENTAÇÕES. DR. WELVIS SOARES. ATB  CIPROFLOXACINO + CLINDAMICINA. 18/04 HOJE SEM INTERCORRENCIAS ORTOPÉDICAS. CD: MANTER ATB PARA CONTROLE DE INFECÇÃO + CUIDADOS DA FERIDA. 19/04 EXAMES 18/4 - GLICEMIA ACIMA DE 300. 19/04 #PARECER CLINICA MÉDICA SOLICITADA AVALIAÇÃO DA CLINICA MEDICA PARA PACIENTE APRESENTANDO INFECÇÃO DE FERIDA OPERATORIA, JA EM USO DE ANTIBIOTICOTERAPIA E DESCOMPENSAÇÃO GLICEMICA AVALIO PACIENTE A BEIRA LEITO, A MESMA DESCONHECE COMORBIDADES PREVIAS ATE O MOMENTO. REFERE QUE ALTERAÇÃO GLICEMICA INICIOU APÓS INTERNAÇÃO ATUAL NEGA USO DE MEDICAÇÕES DE USO CONTINUO. CD&gt; PRESCREVO. FICO A DISPOSIÇÃO. 21/04 HOJE SEM INTERCORRENCIAS ORTOPÉDICAS. FO LIMPA E SECA. 25/04 PELO INFECTOLOGISTA:  HOJE COM OSTIOS DE INSERÇAO DOS FIOS DE KIRSHNER SECOS, SEM HIPEREMIA LOCAL OU EDEMA. SEM TECIDOS DESVITALIZADOS. HOUVE MELHORA DA LEUCOCITOSE NEUTROFILICA DE 18/04 E QUEDA DO PCR (165 EM 18/04 PARA 71 EM 23/04/26). PACIENTE SEGUE AFEBRIL. 26/04 MANTER ATB PARA CONTROLE DE INFECÇÃO + CUIDADOS DA FERIDA. ALTA COM RETORNO AMBULATORIAL. FECHOU - ISC INCISIONAL SUPERFICIAL (IS).</t>
  </si>
  <si>
    <t>Encaminhado paciente errado para internação</t>
  </si>
  <si>
    <t>INC 2070 / 2026</t>
  </si>
  <si>
    <t>PACIENTE REGULADA PARA A CLÍNICA MÉDICA ANA LUIZA PEREIRA SANTOS , PACIENTE TRAZIDA PELA EQUIPE LUIZA MARIA DA CONCEIÇÃO</t>
  </si>
  <si>
    <t>Lesão Cutânea Associada a Dispositivo Venoso Periférico com Posicionamento Inadequado do Conector.</t>
  </si>
  <si>
    <t>INC 2071 / 2026</t>
  </si>
  <si>
    <t>Durante visita técnica no setor da UTI, avaliado paciente em uso de acesso venoso periférico em membro superior direito, apresentando lesão em epiderme na região do sítio de inserção. Observa-se presença de comprometimento da integridade cutânea, com dispositivo (cateter e torneira/conector) posicionado diretamente sobre a área lesionada. Achado caracteriza fator de risco para agravamento da lesão, aumento de dor/desconforto e possível desenvolvimento de complicações infecciosas, além de configurar risco para lesão por pressão relacionada a dispositivo (LPRDM), conforme avaliação da Comissão de Feridas e Curativos. Realizadas orientações à equipe assistencial quanto à necessidade de retirada imediata do acesso em área com lesão e realização de nova punção em sítio com pele íntegra. Reforçada a contraindicação de fixação de dispositivos sobre áreas com comprometimento cutâneo. Orientado uso de dispositivo extensor/multivias, a fim de minimizar pressão local, atrito e manipulação direta sobre a pele.
Recomendado implementar medidas de proteção cutânea, com utilização adequada de cobertura estéril, bem como realizar monitoramento sistemático da integridade da pele ao redor do dispositivo, com registro em prontuário. Caso haja progressão da lesão, manter acompanhamento pela Comissão de Feridas e Curativos.</t>
  </si>
  <si>
    <t>Risco de Lesão por Pressão Relacionada ao Posicionamento Inadequado de Sonda Vesical de Demora.</t>
  </si>
  <si>
    <t>INC 2072 / 2026</t>
  </si>
  <si>
    <t>Durante visita técnica no setor da UTI, avaliado paciente em uso de sonda vesical de demora (SVD), sendo identificado posicionamento inadequado do dispositivo, com a paciente em decúbito dorsal sobre a própria mangueira e parte do sistema.  O achado configura risco elevado para desenvolvimento de lesão por pressão relacionada a dispositivo médico (LPRDM), em decorrência de compressão contínua, associada à umidade e possível fricção/cisalhamento, fatores que comprometem a perfusão tecidual e a integridade cutânea, especialmente em pacientes com mobilidade reduzida. Sob a ótica da Comissão de Feridas e Curativos, a situação caracteriza não conformidade quanto às práticas seguras de prevenção de lesões cutâneas associadas a dispositivos invasivos. Foram realizadas orientações imediatas à equipe assistencial, com solicitação de correção do posicionamento, retirando o dispositivo debaixo do membro inferior e reposicionando adequadamente a SVD. Reforçada a necessidade de manter o sistema livre de dobras, sem pontos de compressão, com fixação segura e sistema coletor mantido abaixo do nível da bexiga.
Orientado, ainda, realizar inspeção frequente da pele, especialmente nas áreas de contato com dispositivos, com atenção para sinais precoces de lesão, além de registro sistemático em prontuário.
Paciente segue sob monitoramento quanto à integridade cutânea.</t>
  </si>
  <si>
    <t>Falha na transição de cuidados não comunicado sobre dispositivo em uso</t>
  </si>
  <si>
    <t>INC 2073 / 2026</t>
  </si>
  <si>
    <t>Notifico o Centro Cirúrgico em razão de não conformidade no processo de transferência do paciente, devido à ausência de comunicação sobre a presença de dispositivo (dreno de Portovac). O dreno em região abdominal foi identificado apenas no momento da admissão na enfermaria, durante a acomodação no leito, o que pode comprometer a continuidade e a segurança da assistência  e manejo do mesmo.</t>
  </si>
  <si>
    <t xml:space="preserve"> Divergência entre horario de regulação com transferência.</t>
  </si>
  <si>
    <t>INC 2074 / 2026</t>
  </si>
  <si>
    <t>Realizo esta notificação em razão da divergência entre o horário de regulação e a admissão da paciente na enfermaria. A paciente foi regulada às 16:58, porém sua chegada ocorreu somente às 18:40, impactando o fluxo de finalização do plantão e a organização da passagem de turno para a equipe noturna.</t>
  </si>
  <si>
    <t>Atraso de prescrição médica Clínica Psicossocial</t>
  </si>
  <si>
    <t>INC 2075 / 2026</t>
  </si>
  <si>
    <t>As prescrições médicas destinadas aos pacientes internados na unidade de internação psicossocial foram emitidas às 18h30 e entregues à farmácia às 18h40, interferindo no fluxo de produção das fitas de medicamentos.
Ressaltamos que o fluxo de entrega das prescrições médicas deve ocorrer até às 13h. Quando houver imprevistos, estes devem ser justificados e informados para que sejam adotadas as medidas cabíveis.
É importante frisar que o cumprimento do horário estabelecido evita atrasos na dispensação dos medicamentos e garante a segurança no tratamento dos pacientes.
segue em anexos o censo e o protocolo de recebimento das prescrições na farmácia</t>
  </si>
  <si>
    <t xml:space="preserve">Falha no processo de reposição de maleta Hemorragia pós parto (HPP) </t>
  </si>
  <si>
    <t>INC 2076 / 2026</t>
  </si>
  <si>
    <t>No dia 16/04/2026, no período noturno, a maleta HPP foi utilizada pela primeira vez após a padronização no Centro Cirúrgico. Conforme estabelecido, a orientação é que, ao serem abertas para utilização, as maletas devem ser devolvidas à farmácia para reposição, juntamente com a prescrição médica e a solicitação de materiais, a fim de possibilitar o atendimento de futuras demandas de emergência.
No entanto, a prescrição médica foi entregue somente na manhã seguinte, e a solicitação dos materiais utilizados (2 seringas de 3 mL, 1 equipo macro e 1 fio cirúrgico de algodão 2-0) não foi emitida para a devida reposição da maleta.
Ressaltamos que a reposição deve ser realizada assim que o paciente estiver estável e que o cumprimento dessa orientação é fundamental para garantir a segurança do paciente.</t>
  </si>
  <si>
    <t>Demora na realização de procedimento cirúrgico de emergência</t>
  </si>
  <si>
    <t>INC 2077 / 2026</t>
  </si>
  <si>
    <t>04/05/2026</t>
  </si>
  <si>
    <t>Paciente vítima de trauma fechado, com indicação de avaliação e/ou abordagem cirúrgica pela equipe de Cirurgia Geral, apresentou atraso na condução do procedimento proposto.
Apesar da sinalização prévia e da necessidade assistencial identificada, houve demora no atendimento por parte da especialidade, o que resultou em prolongamento do tempo de permanência em área crítica e potencial impacto na condução clínica do caso.</t>
  </si>
  <si>
    <t xml:space="preserve">NÃO REALIZAÇÃO DE USG PELO MÉDICO </t>
  </si>
  <si>
    <t>INC 2078 / 2026</t>
  </si>
  <si>
    <t>Paciente encaminhada ao SADT para realização de ultrassonografia transvaginal, conforme solicitação médica. Antes do encaminhamento, foi realizado asseio corporal, e a paciente foi devidamente acompanhada por técnico de enfermagem.
Ao dar entrada na sala de exame, o médico responsável recusou-se a realizar o procedimento após relatar desconforto devido a odor apresentado pela paciente. O técnico de enfermagem presente informou que o quadro clínico da paciente estava relacionado à condição em investigação e que o asseio havia sido realizado previamente.
Apesar das orientações fornecidas, o exame não foi realizado. Ressalta-se que o procedimento é parte fundamental da investigação diagnóstica solicitada pela equipe médica assistente.
A notificação é realizada considerando o impacto na continuidade da assistência e na elucidação do quadro clínico da paciente.</t>
  </si>
  <si>
    <t>31</t>
  </si>
  <si>
    <t xml:space="preserve">Não conformidade assistencial: troca de curativo em desacordo </t>
  </si>
  <si>
    <t>INC 2079 / 2026</t>
  </si>
  <si>
    <t>Paciente submetido a desbridamento de LPP sacral no período vespertino, com realização de curativo contendo colagenase, proteção de bordas com nistatina associada a óxido de zinco, e identificação quanto à próxima troca programada para 06/05/2026, conforme registro em prontuário com intervalo de 24 horas.
Durante o plantão noturno, foi realizada troca do curativo em período inferior ao preconizado, sem registro de intercorrência clínica que justificasse a antecipação da conduta, ou evolução dos cuidados no período noturno. Situação caracteriza não conformidade assistencial, com potencial impacto na efetividade do tratamento e risco de infecção (devido as secreções e tecidos presentes na lesão que necessotavam do tempo correto de ação - 24 a 48hrs - para tratar o local com potencial infeccção), sendo necessário reforço quanto à adesão ao plano terapêutico e à comunicação efetiva entre equipes.</t>
  </si>
  <si>
    <t>REINTERNAÇÃO EM ATÉ 30 DIAS</t>
  </si>
  <si>
    <t>INC 2080 / 2026</t>
  </si>
  <si>
    <t>Paciente submetido a procedimento urológico (ureterolitotripsia à direita com inserção de duplo J), retornando após 19 dias com quadro de pielonefrite.
Realizada retirada do duplo J e tratamento clínico, com evolução favorável e alta hospitalar.</t>
  </si>
  <si>
    <t>INC 2081 / 2026</t>
  </si>
  <si>
    <t>Paciente admitido inicialmente por fratura de fêmur, evoluindo após alta com osteomielite, sendo readmitido em 12 dias.
Atualmente, encontra-se internado em tratamento.
Paciente com reinternação precoce relacionada a infecção óssea (osteomielite) após procedimento ortopédico. Trata-se de complicação grave, frequentemente associada a fatores como contaminação intraoperatória, condições clínicas do paciente ou falhas no cuidado pós-operatório.</t>
  </si>
  <si>
    <t>11ORT</t>
  </si>
  <si>
    <t>INC 2082 / 2026</t>
  </si>
  <si>
    <t>Paciente em pós-operatório de fratura de fêmur, readmitido com diabetes mellitus descompensada, erisipela, edema em membro inferior direito e suspeita de trombose superficial.
Evoluiu com agravamento clínico, culminando em óbito.
Paciente com reinternação complexa, envolvendo descompensação metabólica (diabetes) associada a infecção de partes moles (erisipela) e possível evento trombótico. Evolução grave com desfecho desfavorável.</t>
  </si>
  <si>
    <t>LCORT9</t>
  </si>
  <si>
    <t>AVP COM OSTIO OCLUIDO</t>
  </si>
  <si>
    <t>INC 2083 / 2026</t>
  </si>
  <si>
    <t>Sonia de Castro da Silva Vilarindo</t>
  </si>
  <si>
    <t>AO RECEBIMENTO DO PACIENTE PARA INTERNACAO OBSERVOU-SE QUE O AVP SE ENCONTRAVA-SE COM OSTIO TAMPADO. NÃO CONDIGENDO COM A PRATICAS RECOMENDADA. 
[fig:vfs:1862]</t>
  </si>
  <si>
    <t>12 ORT</t>
  </si>
  <si>
    <t>REITERNAÇÃO EM ATÉ 30 DIAS</t>
  </si>
  <si>
    <t>INC 2084 / 2026</t>
  </si>
  <si>
    <t>07/05/2026</t>
  </si>
  <si>
    <t>REALIZO NOTIFICAÇÃO DE REINTERNAÇÃO, HAJA VISTA INTERVALO ENTRE A ALTA E NOVA ADMISSÃO DE APENAS 18 DIAS. PACIENTE REINTERNADA DEVIDO À DEISCÊNCIA DE FERIDA OPERATÓRIA. SEGUNDO RELATO DA PACIENTE, OS PONTOS FORAM RETIRADOS PRECOCEMENTE, OCASIONANDO EXPOSIÇÃO DA FERIDA OPERATÓRIA, EVOLUINDO COM NECESSIDADE DE NOVA REABORDAGEM CIRÚRGICA.</t>
  </si>
  <si>
    <t>TRANSFERÊNCIA INSEGURA</t>
  </si>
  <si>
    <t>INC 2085 / 2026</t>
  </si>
  <si>
    <t>Debora Elle Chaves Rodrigues</t>
  </si>
  <si>
    <t>Venho, por meio desta, registrar ocorrência referente à transferência de paciente oriunda da Observação da Clínica Médica para a UTI, realizada em 07/05/2026, em desacordo com critérios mínimos de segurança assistencial e continuidade do cuidado. Conforme informações previamente repassadas à equipe receptora, a paciente encontrava-se instável, apresentando dessaturação, perda de acesso venoso periférico e impossibilidade de realização de nova punção venosa no setor de origem. Diante desse quadro, a transferência foi aceita pela UTI para continuidade da assistência intensiva. Entretanto, no momento da admissão e avaliação pela equipe receptora, constatou-se que a paciente encontrava-se hemodinamicamente estável, porém sem acesso venoso periférico funcionante. Além disso, foi identificado que não houve tentativa prévia documentada de nova punção venosa antes da transferência, fato que compromete a continuidade da assistência e dificulta a adoção imediata de medidas terapêuticas necessárias em ambiente crítico. Ressalta-se que o transporte e encaminhamento de pacientes para unidade de terapia intensiva devem ocorrer observando condições mínimas de segurança assistencial, especialmente no que se refere à garantia de acesso venoso pérvio, monitorização adequada e comunicação fidedigna das condições clínicas do paciente. Saliento ainda que, frequentemente, há rigor técnico e assistencial quanto à aceitação de pacientes oriundos da UTI para as enfermarias e Clínica Médica, com exigência de critérios específicos para transferência segura. Contudo, observa-se que, no fluxo inverso, pacientes vêm sendo encaminhados à UTI sem condições assistenciais mínimas previamente estabelecidas, o que gera sobrecarga à equipe receptora, atraso na assistência e risco potencial à segurança do paciente. Dessa forma, solicito alinhamento entre os setores envolvidos, reforço dos protocolos institucionais de transferência intra-hospitalar e padronização das informações repassadas entre as equipes, visando garantir maior segurança assistencial, qualidade do cuidado e continuidade adequada do atendimento ao paciente.
Sem mais para o momento.</t>
  </si>
  <si>
    <t>UNIDADE DE TERAPIA INTENSIVA ADULTO</t>
  </si>
  <si>
    <t>Erro de identificação cadastral em resultado laboratorial</t>
  </si>
  <si>
    <t>INC 2086 / 2026</t>
  </si>
  <si>
    <t>Na presente data, foi identificada não conformidade relacionada a erro cadastral por parte do laboratório. O exame laboratorial do paciente de iniciais __B.S.R__., __Atendimento nº 1638479__, foi liberado com identificação divergente, constando o nome "Benedito Batista de Sousa", embora vinculado ao mesmo prontuário. Trata-se de incidente de segurança do paciente, com potencial risco de troca de identificação e comprometimento de condutas clínicas. A ocorrência configura falha em uma das Metas Internacionais de Segurança do Paciente, especificamente a Meta 1  Identificar corretamente o paciente, além de impactar a Meta 2  Comunicação efetiva e a Meta 3 Segurança na realização de exames laboratoriais. O evento será encaminhado para análise do setor responsável, visando investigação, correção do processo e implementação de medidas preventivas para evitar recorrência.</t>
  </si>
  <si>
    <t>NÃO CONFORMIDADE</t>
  </si>
  <si>
    <t>INC 2087 / 2026</t>
  </si>
  <si>
    <t>Celmo Izanio da Paixão</t>
  </si>
  <si>
    <t>OCORREU PARTO CESARIANA NA MADRUGADA, PACIENTE APRESENTOU SANGRAMENTO, ANESTESIOLOGISTA PRECISOU DA MEDICAÇÃO URGENTEMENTE PRA CONTER SANGRAMENTO E EQUIPE  DE FARMACIA NÃO SOUBE QUE MEDICAÇÃO ERA, E NÃO DISPENSOU MEDICAMENTO POR IMPERICIA.</t>
  </si>
  <si>
    <t>RECÉM-NASCIDO SEM IDENTIFICAÇÃO</t>
  </si>
  <si>
    <t>INC 2088 / 2026</t>
  </si>
  <si>
    <t>Lisiane Paixao Barbosa</t>
  </si>
  <si>
    <t>NOTIFICAÇÃO DE NÃO CONFORMIDADE - IDENTIFICAÇÃO DE RECÉM-NASCIDO
EM ATENÇÃO À SEGURANÇA DO PACIENTE E AOS PROTOCOLOS INSTITUCIONAIS VIGENTES, VENHO POR MEIO DESTA NOTIFICAR NÃO CONFORMIDADE IDENTIFICADA NO RECEBIMENTO DE RECÉM-NASCIDO PROVENIENTE DO CENTRO DE PARTO NORMAL (CPN).
NO DIA 13/04/2026, FOI ADMITIDO NESTA UNIDADE (CGO) O RN DE INICIAIS R.A.O., SEXO MASCULINO, ATENDIMENTO/PRONTUÁRIO Nº 1637932, O QUAL FOI RECEBIDO SEM QUALQUER PULSEIRA DE IDENTIFICAÇÃO.
RESSALTA-SE QUE, CONFORME PROTOCOLO INSTITUCIONAL DE SEGURANÇA DO PACIENTE, O RECÉM-NASCIDO DEVE OBRIGATORIAMENTE SER ENCAMINHADO DEVIDAMENTE IDENTIFICADO, COM DUAS PULSEIRAS DE IDENTIFICAÇÃO, SENDO UMA EM MEMBRO SUPERIOR E OUTRA EM MEMBRO INFERIOR, GARANTINDO A CORRETA VINCULAÇÃO BINÔMIO MÃE-FILHO E PREVENINDO EVENTOS ADVERSOS.
A AUSÊNCIA DE IDENTIFICAÇÃO NO MOMENTO DA ADMISSÃO CONFIGURA FALHA GRAVE NO PROCESSO ASSISTENCIAL, EXPONDO O RECÉM-NASCIDO A RISCOS RELACIONADOS À SEGURANÇA, RASTREABILIDADE E CONTINUIDADE DO CUIDADO.
DIANTE DO OCORRIDO, SOLICITA-SE REFORÇO JUNTO À EQUIPE DO CENTRO DE PARTO NORMAL QUANTO AO CUMPRIMENTO RIGOROSO DOS PROTOCOLOS DE IDENTIFICAÇÃO DO RECÉM-NASCIDO ANTES DE SUA TRANSFERÊNCIA ENTRE SETORES.
REFORÇA-SE A IMPORTÂNCIA DA ADESÃO ÀS PRÁTICAS DE SEGURANÇA DO PACIENTE, VISANDO PREVENIR A RECORRÊNCIA DE SITUAÇÕES SEMELHANTES.
SEM MAIS, COLOCO-ME À DISPOSIÇÃO PARA ESCLARECIMENTOS.</t>
  </si>
  <si>
    <t>Encaminhamento indevido de paciente para internação</t>
  </si>
  <si>
    <t>INC 2089 / 2026</t>
  </si>
  <si>
    <t>No dia 16/04/2026, após solicitação de leito para a paciente D. L. B (288390). Gestante de 27 semanas e 01 dia, G4PN2A1, SHEG, alérgica a diclofenaco, em uso de metildopa. Paciente em controle pressórico de 2/2h e com solicitação de coleta de 6/6h. Após 01 hora da solicitação e liberação do leito, paciente encaminhada para o UI Gineco-Obstétrica, assim que recebida e acomodada em leito, Obstetra responsável pela mesma, subiu e informou que a paciente não deveria ter sido encaminhada para a unidade e que ela teria que ser encaminhada imediatamente para o CC devido a Síndrome de HELP. Gerando ansiedade e crise de choro na paciente, além de desespero nos familiares. Equipe do CC contactada imediatamente para recebimento da paciente, acionado maqueiro e encaminhada paciente para o centro, conforme solicitação médica. Gestante deixou a unidade com PA (160x90mmhg).</t>
  </si>
  <si>
    <t>.</t>
  </si>
  <si>
    <t>Maqueiro levou paciente sem autorização e acompanhamento da equipe</t>
  </si>
  <si>
    <t>INC 2090 / 2026</t>
  </si>
  <si>
    <t>No dia 06/04/2026 foi solicitado via rádio maqueiro e cadeira de rodas, para encaminhamento de RN e genitora para UCI neonatal. RN A. S. A. S (349349). Ao chegar no setor genitora e RN foram acomodados em cadeira de rodas, e imediatamente o mesmo saiu com a paciente, sem comunicar e/ou aguardar equipe. Encaminhando genitora e paciente por conta própria para UCI, sem prontuário e desacompanhado da técnica de enfermagem.</t>
  </si>
  <si>
    <t>Paciente encaminhada ao setor com HPP</t>
  </si>
  <si>
    <t>INC 2091 / 2026</t>
  </si>
  <si>
    <t>24/04/2026</t>
  </si>
  <si>
    <t>No dia 22/04/2026, recebemos a puérpera L. R. M (157201), proveniente do CC, ao adentrar a unidade a mesma apresentou vômito em grande quantidade e quando avaliada, foi identificado pela equipe HPP. Iniciado imediatamente o protocolo e ofertado todo suporte necessário a paciente, após coleta de sangue identificado HB de 4.5, sendo encaminhada imediatamente a sala vermelha para acompanhamento com maior suporte.</t>
  </si>
  <si>
    <t>ERRO DE RESULTADO LABORATORIAL</t>
  </si>
  <si>
    <t>INC 2092 / 2026</t>
  </si>
  <si>
    <t>No dia 14/04/26 a equipe do laboratório cometeu um erro de digitação no resultado da urocultura da paciente A. J. M (327304), o resultado era NEGATIVO e não havia antibiograma no laudo, após serem questionados, sinalizaram erro de digitação e ratificação de laudo. Paciente  estava em uso de antibiótico devido a resultado.</t>
  </si>
  <si>
    <t>Evasão da ala pela porta principal</t>
  </si>
  <si>
    <t>INC 2093 / 2026</t>
  </si>
  <si>
    <t>Às 09h00, o paciente A. M. C. M. evadiu-se da ala psicossocial após golpear a porta de ferro e informar ao porteiro que era "acompanhante". O porteiro responsável pela entrada da ala abriu o portão após ouvir tal informação, sem confirmação prévia.
No momento da evasão, os genitores do paciente encontravam-se em atendimento com a médica psiquiátrica.
Ao avistar o enfermeiro responsável pelo setor psicossocial, o paciente iniciou fuga pelos corredores do pronto-socorro, sendo seguido pelo profissional.
Ressalta-se que episódios semelhantes de evasão pelo portão principal já ocorreram anteriormente.</t>
  </si>
  <si>
    <t>REINTERNAÇÃO /  REOPERAÇÃO EM ATÉ 30 DIAS</t>
  </si>
  <si>
    <t>INC 2094 / 2026</t>
  </si>
  <si>
    <t>Nova</t>
  </si>
  <si>
    <t>PACIENTE FOI SUBMETIDA À TRATAMENTO CIRURGICO DE OSTEOSSÍNTESE DE FRATURA DE PLANALTO MEDIAL JOELHO ESQUERDO, DIA 01/05, PORÉM DEU ENTRADA NOVAMENTE A ESTA INSTITUIÇÃO NO DIA 07/05, APRESENTANDO SINAIS DE INFECÇÃO NA FO, APRESENTANDO SINAIS DE NECROSE + DEISCENCIA + SECREÇÃO (SIC EVOLUÇÃO MÉDICA). POR CONTA DESSES SINAIS CLINICOS, A MESMA FOI REINTERNADA. APÓS A AVALIAÇÃO MÉDICA, FORAM SOLICITADOS EXAMES LABORATORIAIS, INICIADO ANTIBIOTICOTERAPIA E A MESMA FOI ENCAMINHADA P/ O LEITO 02 DA ENFERMARIA ORTOPEDICA FEMININA DESTE SETOR. ENCONTRA-SE BEG, COTE, HEMODINAMICAMENTE ESTAVEL, SINAIS VITAIS DENTRO DOS PARAMETROS DE NORMALIDADE, FUNÇÕES FISIOLOGICAS PRESENTES E ESPONTANEAS.</t>
  </si>
  <si>
    <t>Cadastro</t>
  </si>
  <si>
    <t>FALHA NA IDENTIFICAÇÃO DE RECÉM-NASCIDO</t>
  </si>
  <si>
    <t>INC 2095 / 2026</t>
  </si>
  <si>
    <t>Adriana Costa Sousa</t>
  </si>
  <si>
    <t>26/04/2026</t>
  </si>
  <si>
    <t>NOTIFICAÇÃO DE NÃO CONFORMIDADE - IDENTIFICAÇÃO DE RECÉM-NASCIDO
Durante o plantão noturno do dia 25/04/26, ao receber pacientes provenientes do Centro Cirúrgico, foi identificado que o recém-nascido de R. L. da S. prontuário nº 1651441, encontrava-se com pulseira de identificação pertencente ao recém-nascido de C. G. da S., prontuário nº 1651435.
A situação configura não conformidade grave relacionada à segurança do paciente, uma vez que a identificação correta do RN é medida essencial para prevenir erros assistenciais, troca de pacientes, registros indevidos e possíveis eventos adversos.
Ao ser constatada a inconformidade, foi realizada conferência imediata dos dados do RN, prontuário, identificação materna e demais informações disponíveis, com posterior correção da pulseira, visando garantir a segurança e a rastreabilidade do recém-nascido.
Diante do exposto, notifico o ocorrido para ciência do Centro Cirúrgico e demais responsáveis, solicitando maior atenção e rigor na conferência das pulseiras de identificação antes do encaminhamento dos recém-nascidos aos setores de internação. Ressalta-se a necessidade de reforço dos protocolos institucionais de identificação segura, a fim de evitar recorrências e preservar a segurança materno-infantil.</t>
  </si>
  <si>
    <t>INC 2096 / 2026</t>
  </si>
  <si>
    <t>NO DIA 29/04/2026  PACIENTE T.R.S PROVENIENTE DO PAM   ADMITIDA NO CENTRO CIRURGICO REALIZAR PROCEDIEMNTO DE CESARIANA  DURANTE O CHECK LIST  FOI IDENTIFICADO NÃO CONFORMIDADE  SEM PULSEIRA DE IDENTIFICAÇÃO E COM NOME DA MÃE ERRADO  NO PRONTUARIO. FATO ESSE QUE COMPROMENTE A SEGURAÇA DO PACIENTE. REALIZADO ESSA NOTIFICAÇÃO MELHORIA DO SETOR E SEGURANÇA DO PACIENTE.</t>
  </si>
  <si>
    <t>CATETER SEM TAMPA</t>
  </si>
  <si>
    <t>INC 2097 / 2026</t>
  </si>
  <si>
    <t>PACIENTE: M. S. M.
PRONTUÁRIO: 1657090
VENHO POR MEIO DESTA FORMALIZAR NOTIFICAÇÃO REFERENTE AO ENCAMINHAMENTO DA PACIENTE SUPRACITADA AO SETOR RECEPTOR.
DURANTE A ADMISSÃO, FOI IDENTIFICADO QUE O CATETER VENOSO PERIFÉRICO ENCONTRAVA-SE SEM A TAMPA DE PROTEÇÃO (DISPOSITIVO DE OCLUSÃO), PERMANECENDO ABERTO, EM DESACORDO COM AS BOAS PRÁTICAS ASSISTENCIAIS E NORMAS DE SEGURANÇA DO PACIENTE.
TAL INCONFORMIDADE CONFIGURA RISCO SIGNIFICATIVO PARA CONTAMINAÇÃO, INFECÇÃO RELACIONADA À ASSISTÊNCIA À SAÚDE (IRAS) E COMPROMETIMENTO DA SEGURANÇA DO DISPOSITIVO, EXIGINDO INTERVENÇÃO IMEDIATA DA EQUIPE RECEPTORA PARA CORREÇÃO.
RESSALTA-SE QUE O ADEQUADO FECHAMENTO E PROTEÇÃO DE DISPOSITIVOS INVASIVOS É MEDIDA BÁSICA E INDISPENSÁVEL NA ASSISTÊNCIA, DEVENDO SER RIGOROSAMENTE GARANTIDA ANTES DE QUALQUER TRANSFERÊNCIA ENTRE SETORES.
DIANTE DO EXPOSTO, SOLICITA-SE MAIOR ATENÇÃO DA EQUIPE DO CPN QUANTO AO CUMPRIMENTO DOS PROTOCOLOS INSTITUCIONAIS, ASSEGURANDO QUE TODOS OS DISPOSITIVOS ESTEJAM DEVIDAMENTE PROTEGIDOS E EM CONDIÇÕES SEGURAS NO MOMENTO DO ENCAMINHAMENTO DO PACIENTE.
REFORÇAMOS QUE A ADESÃO ÀS PRÁTICAS SEGURAS É ESSENCIAL PARA A PREVENÇÃO DE EVENTOS ADVERSOS E PARA A QUALIDADE DA ASSISTÊNCIA PRESTADA.
SEM MAIS, COLOCAMO-NOS À DISPOSIÇÃO PARA OS DEVIDOS ALINHAMENTOS.</t>
  </si>
  <si>
    <t>REINTERNAÇÃO EM ATÉ 30 DIAS PÓS CIRURGIA</t>
  </si>
  <si>
    <t>INC 2098 / 2026</t>
  </si>
  <si>
    <t>Realizo notificação de reinternação. Paciente readmitida em período inferior a 24 dias após alta hospitalar prévia, necessitando de reinternação para reabordagem cirúrgica. Evoluiu com complicação pós-operatória caracterizada por bilioma, sendo indicada realização de relaparotomia para tratamento da intercorrência.</t>
  </si>
  <si>
    <t>165790</t>
  </si>
  <si>
    <t>ENCAMINHAMENTO DE PACIENTE CRÍTICO SEM ACOMPANHAMENTO MÉDICO AO SADT</t>
  </si>
  <si>
    <t>INC 2099 / 2026</t>
  </si>
  <si>
    <t>NOTIFICAÇÃO DE INCIDENTE
Informamos que o paciente supracitado foi encaminhado ao setor de diagnóstico por imagem para realização de exame de urgência, proveniente da UTI Adulto, sem acompanhamento médico durante o transporte e permanência no setor, apesar do quadro clínico de alta complexidade e criticidade assistencial.
Considerando tratar-se de paciente internado em unidade intensiva, com hipótese/diagnóstico de Acidente Vascular Cerebral (AVC), o encaminhamento sem suporte e acompanhamento médico representa risco assistencial e não conformidade relacionada à segurança do paciente, podendo comprometer a condução imediata diante de eventual intercorrência clínica durante o deslocamento e realização do exame.
Impactos/Riscos Identificados
Risco de instabilidade clínica durante transporte intra-hospitalar;
Ausência de suporte médico imediato em caso de intercorrências;
Comprometimento da segurança do paciente;
Não conformidade com protocolos assistenciais de transporte de paciente crítico.</t>
  </si>
  <si>
    <t>CARRO DE EMERGENCIA DA UTI 2</t>
  </si>
  <si>
    <t>INC 2100 / 2026</t>
  </si>
  <si>
    <t>Cassia Gabriela Monteiro Matias</t>
  </si>
  <si>
    <t>No dia 22/04/26 ao auditar o carrinho estava falando várias medicações entre elas controlados e materiais. 
Podendo causar risco de vida ao paciente, em emergência pois são medicações essenciais. 
Segue o anexo: 
[fig:vfs:1834]</t>
  </si>
  <si>
    <t xml:space="preserve">Transporte inadequado e manuseio incorreto de materiais (limpos e contaminados) </t>
  </si>
  <si>
    <t>INC 2101 / 2026</t>
  </si>
  <si>
    <t>Elma Soares Lopes</t>
  </si>
  <si>
    <t>No dia 28/04/2026, às 10h00 e as 14:00, a colaboradora tecnico de enfermagem do setor do PS, Uclenes, foi observada a ocorrência de transporte simultâneo de material limpo e material sujo/contaminado por profissionais da UTI, utilizando um carrinho inadequado (tipo carrinho de supermercado), sem a devida segregação conforme preconizam os protocolos de biossegurança. Ressalta-se que tal prática já vem se tornando rotineira. Além disso, foi identificado o manuseio dos materiais sem o uso adequado de equipamentos de proteção individual, especialmente pela ausência de troca de luvas entre o contato com materiais limpos e contaminados, configurando uma não conformidade grave, com risco elevado de contaminação cruzada, comprometimento da qualidade dos materiais e aumento da probabilidade de infecções relacionadas à assistência à saúde, exigindo intervenção imediata e adoção de medidas corretivas.</t>
  </si>
  <si>
    <t>Transporte inadequado e manuseio incorreto de materiais (limpos e contaminados)</t>
  </si>
  <si>
    <t>INC 2102 / 2026</t>
  </si>
  <si>
    <t>No dia 16/04/2026, às 10h40, foi observada a ocorrência de transporte simultâneo de material limpo e material sujo/contaminado por profissionais da UTI, utilizando um carrinho inadequado (tipo carrinho de supermercado), sem a devida segregação conforme preconizam os protocolos de biossegurança. Ressalta-se que tal prática já vem se tornando rotineira. Além disso, foi identificado o manuseio dos materiais sem o uso adequado de equipamentos de proteção individual, especialmente pela ausência de troca de luvas entre o contato com materiais limpos e contaminados, configurando uma não conformidade grave, com risco elevado de contaminação cruzada, comprometimento da qualidade dos materiais e aumento da probabilidade de infecções relacionadas à assistência à saúde, exigindo intervenção imediata e adoção de medidas corretivas.</t>
  </si>
  <si>
    <t>INC 2103 / 2026</t>
  </si>
  <si>
    <t>No dia 28/04/2026, às 14h00, foi observada a ocorrência de transporte simultâneo de material limpo e material sujo/contaminado por profissionais da UTI, utilizando um carrinho inadequado (tipo carrinho de supermercado), sem a devida segregação conforme preconizam os protocolos de biossegurança. Ressalta-se que tal prática já vem se tornando rotineira. Além disso, foi identificado o manuseio dos materiais sem o uso adequado de equipamentos de proteção individual, especialmente pela ausência de troca de luvas entre o contato com materiais limpos e contaminados, configurando uma não conformidade grave, com risco elevado de contaminação cruzada, comprometimento da qualidade dos materiais e aumento da probabilidade de infecções relacionadas à assistência à saúde, exigindo intervenção imediata e adoção de medidas corretivas.</t>
  </si>
  <si>
    <t xml:space="preserve">LIBERAÇÃO DE PLANTAS PELA RECEPÇÃO </t>
  </si>
  <si>
    <t>INC 2104 / 2026</t>
  </si>
  <si>
    <t>Identificado que a recepção realizou a liberação da entrada de plantas naturais nas dependências hospitalares, incluindo áreas assistenciais. Ressalta-se que a presença de plantas naturais em ambiente hospitalar pode representar risco sanitário, devido à possibilidade de proliferação de fungos, bactérias, insetos e outros microrganismos, comprometendo as medidas de controle de infecção.
Conforme diretrizes relacionadas às boas práticas em serviços de saúde e controle ambiental previstas pela Agência Nacional de Vigilância Sanitária, especialmente a RDC ANVISA nº 50/2002 e normas institucionais de controle de infecção hospitalar, recomenda-se que objetos com potencial de contaminação ambiental não sejam permitidos em áreas hospitalares sem avaliação prévia dos setores responsáveis.</t>
  </si>
  <si>
    <t>NÃO CONFORMIDADE RELACIONADA À NÃO REALIZAÇÃO DE SWABS DE VIGILÂNCIA MICROBIOLÓGICA EM PACIENTE ADMITIDO.</t>
  </si>
  <si>
    <t>INC 2105 / 2026</t>
  </si>
  <si>
    <t>Durante visita técnica realizada no setor da Unidade de Terapia Intensiva (UTI), foi identificado que o paciente proveniente da Unidade de Pronto Atendimento (UPA), o qual permaneceu por período superior a 24 horas na unidade de origem, foi colocado em precaução empírica após confirmação de permanência por três dias na UPA. Entretanto, não houve realização da coleta dos swabs de vigilância microbiológica, conforme preconizado pelo protocolo institucional de vigilância epidemiológica e prevenção das Infecções Relacionadas à Assistência à Saúde (IRAS), pela unidade responsável pelo recebimento do paciente no momento da admissão, Sala Vermelha. Diante da não realização da coleta no setor Sala Vermelha, primeiro setor responsável pelo acolhimento e assistência ao paciente, foi realizada orientação direta à enfermeira da UTI, Margarida, solicitando a coleta imediata dos swabs de vigilância, considerando a necessidade de cumprimento do protocolo.
Entretanto, em 08/05/2026, durante discussão realizada no Raund multiprofissional acerca do resultado laboratorial e rastreabilidade da amostra no sistema, constatou-se que a coleta não havia sido realizada, mesmo após orientação prévia e ciência da profissional quanto à importância, necessidade e obrigatoriedade do exame.  Orientações essa passada pela enfermeira do SCIH. Tal situação configura não conformidade grave, uma vez que compromete diretamente a vigilância epidemiológica hospitalar, dificulta a detecção precoce de microrganismos multirresistentes, aumenta o risco de disseminação cruzada dentro da UTI e impacta negativamente nas medidas de prevenção e controle de infecção hospitalar.
Ressalta-se ainda que a coleta dos swabs de vigilância integra os protocolos assistenciais e de segurança do paciente adotados pela instituição, estando alinhada às recomendações da ANVISA, especialmente ao Programa Nacional de Prevenção e Controle de Infecções Relacionadas à Assistência à Saúde (PNPCIRAS), às medidas de prevenção da transmissão de microrganismos multirresistentes em serviços de saúde e às diretrizes da Nota Técnica GVIMS/GGTES/ANVISA referentes à vigilância, prevenção e controle de bactérias multirresistentes.
Destaca-se, por fim, que a ausência da coleta inviabiliza a adoção de medidas assertivas de isolamento e monitoramento epidemiológico, podendo ocasionar subnotificação de pacientes colonizados ou infectados por microrganismos multirresistentes, além de representar risco assistencial aos demais pacientes internados e aos profissionais de saúde envolvidos na assistência.</t>
  </si>
  <si>
    <t>sem pulseira de identificação (ALERGIA)</t>
  </si>
  <si>
    <t>INC 2106 / 2026</t>
  </si>
  <si>
    <t>09/05/2026</t>
  </si>
  <si>
    <t>Recebo paciente em centro cirurgico sem pulseira de identificação de alergia. Reforçada à equipe a importância da identificação correta do paciente, considerando que a ausência da pulseira compromete a segurança assistencial e pode gerar riscos e danos a paciente. Após verificação, realizada identificação conforme protocolo institucional.</t>
  </si>
  <si>
    <t>TRANSPORTE INTRA-HOSPITALAR SEM MONITORIZAÇÃO ADEQUADA DE PACIENTE NEUROCIRÚRGICO</t>
  </si>
  <si>
    <t>INC 2107 / 2026</t>
  </si>
  <si>
    <t>10/05/2026</t>
  </si>
  <si>
    <t>PACIENTE VITIMA DE COLISÃO MOTO X CARRO, PROVENIENTE DA UDC/PS, ENCAMINHADO AO CENTRO CIRÚRGICO PARA PROCEDIMENTO DE EMERGÊNCIA DA NEUROCIRURGIA, DEVIDO DIAGNÓSTICO DE HEMATOMA EPIDURAL, COM HISTORIA DE PERDA DE CONSCIÊNCIA NO LOCAL DO ACIDENTE. DEU ENTRADA NO CENTRO CIRÚRGICO DE CADEIRA DE RODAS E SEM MONITORIZAÇÃO DURANTE TRANSPORTE INTRA-HOSPITALAR. APESAR DE APRESENTAR RESPIRAÇÃO EM AR AMBIENTE E MANTER-SE CONSCIENTE, ENCONTRAVA-SE DESORIENTADO E COM DIFICULDADE PARA DEAMBULAR AO CHEGAR AO SETOR. 
CONSIDERANDO O QUADRO NEUROLÓGICO APRESENTADO E A GRAVIDADE DA PATOLOGIA DE BASE, OBSERVA-SE EXPOSIÇÃO DO PACIENTE A RISCO DURANTE O TRANSPORTE, UMA VEZ QUE NÃO FORAM ADOTADAS MEDIDAS ADEQUADAS DE MONITORIZAÇÃO E SEGURANÇA COMPATIVÉIS COM SEU ESTADO CLÍNICO, 
RESSALTA-SE A IMPORTÂNCIA DE AVALIAÇÃO CRITERIOSA DAS CONDIÇÕES CLINICAS DO PACIENTE ANTES DO TRANSPORTE INTRA-HOSPITALAR, VISANDO GARANTIR SEGURANÇA ASSISTENCIAL E PREVENÇÃO DE POSSIVEIS INTERCORRÊNCIAS DURANTE O SEU DESLOCAMENTO.</t>
  </si>
  <si>
    <t>Paciente Permanece por Mais de 12 Horas em Leito com Lençóis Urinados sem Assistência Adequada</t>
  </si>
  <si>
    <t>INC 2108 / 2026</t>
  </si>
  <si>
    <t>Acompanhante relata que a paciente, admitida na Clínica Médica após transferência da UTI no dia anterior, permaneceu desde a noite anterior até a presente data, às 15h30, com os lençóis urinados, causando desconforto e insatisfação quanto à assistência prestada. Informa ainda que já havia solicitado anteriormente à técnica de enfermagem a troca dos lençóis e a realização dos cuidados necessários, porém até o momento da abordagem a demanda não havia sido atendida.
A acompanhante refere preocupação com as condições de higiene e bem-estar da paciente, considerando o tempo prolongado de permanência no leito sem a devida troca da roupa de cama.</t>
  </si>
  <si>
    <t>UCI SE RECUSA A RECEBER PACIENTE</t>
  </si>
  <si>
    <t>INC 2109 / 2026</t>
  </si>
  <si>
    <t>RECEBO PLANTÃO COM RN DE QUADRO PESISTENTE DE FEBRE, CHORO E IRITAÇÃO. JA COLHIDO EXAMES DE LAB E SOLICITADO VAGA NA UCI. 
Solicitado leito de UCI neonatal pela pediatra de plantão às 21:30 horas, devido a quadro de febre persistente, choro constante e irritação do RN. Solicito leito via NIR, após liberação entro em contato com enfermeira responsável pelo setor, para passagem de caso. Contudo, a mesma informou que por ordem médica o setor não iria receber o RN no momento.
RN R.C.C
PRONT. 355331</t>
  </si>
  <si>
    <t>CGO LT 11</t>
  </si>
  <si>
    <t>PACIENTE SVD FECHADA</t>
  </si>
  <si>
    <t>INC 2110 / 2026</t>
  </si>
  <si>
    <t>AS 19HS RECEBO PACIENTE P.K.M.S RESTRITA AO LEITO EM USO DE SVD, COM UM QUADRO DE BEXIGOMA,  PACIENTE ME RELATA QUE POR VOLTA DAS 12HS DO PLANTÃO DIURNO COMEÇOU A FICAR COM DESCOFORTO PELVICO,  AO VERIFICAR FOI IDENTIFICADO QUE A SVD DA PACIENTE SE ENCONTRAVA FECHAD/CLAMPADA IMPEDINDO O VAZAMENTO ADEQUADO, REALIZADA ABERTURA DO SISTEMA, COM DRENAGEM URINÁRIA DE  1700ML DE COR CONCENTRADA,   POS PACIENTE RELATA MELHORA NO QUADRO SEM MAIS QUEIXAS, MANTENDO E LEITO AOS CUIDADO DA EQUIPE DE ENFERMAGEM. 
NOTIFICO PARA CIÊNCIA E PREVENÇÃO DE NOVAS OCORRÊNCIAS</t>
  </si>
  <si>
    <t>INC 2111 / 2026</t>
  </si>
  <si>
    <t>Lesão por fricção em região sacral, com ruptura cutânea superficial e presença de exposição de tecido (LpF tipo 2);
Paciente com comorbidade e dependente de auxílio para os cuidados.
Notifico para tratativa e registro do caso.</t>
  </si>
  <si>
    <t>Não conformidade na realização de swabs de vigilância epidemiológica na Sala Vermelha.</t>
  </si>
  <si>
    <t>INC 2112 / 2026</t>
  </si>
  <si>
    <t>O setor da Sala Vermelha não está executando de forma adequada e contínua a coleta dos swabs de vigilância epidemiológica conforme estabelecido no protocolo institucional de vigilância de admissões inter-hospitalares e prevenção das Infecções Relacionadas à Assistência à Saúde (IRAS). Constatou-se recorrência de não conformidades relacionadas à ausência de coleta em pacientes elegíveis, especialmente aqueles provenientes de outras instituições de saúde com permanência superior a 24 horas, situação que exige obrigatoriamente a realização da vigilância microbiológica conforme fluxo institucional. A não execução das coletas compromete diretamente o rastreamento epidemiológico institucional, dificultando a identificação precoce de pacientes colonizados por microrganismos multirresistentes (MMR), bem como a implementação imediata das medidas de precaução e bloqueio epidemiológico necessárias para prevenção da disseminação cruzada dentro da unidade hospitalar. Ressalta-se que os swabs de vigilância constituem ferramenta essencial para monitoramento microbiológico e controle epidemiológico hospitalar, auxiliando na detecção de colonização por microrganismos de importância epidemiológica, definição de medidas de precaução de contato, estratégias de coorte, acompanhamento pelo SCIH e direcionamento terapêutico adequado conforme perfil microbiológico identificado. A ausência dessas coletas impacta negativamente na segurança assistencial, aumenta o risco de transmissão cruzada entre pacientes e profissionais e compromete a efetividade das ações de prevenção e controle de infecção hospitalar.
Observou-se ainda que a não adesão ao protocolo vem ocorrendo de forma frequente no setor, demonstrando fragilidade no cumprimento das rotinas institucionais estabelecidas para vigilância epidemiológica e Controle de Infecção Hospitalar. A supervisão do setor foi novamente orientada quanto à obrigatoriedade da coleta dos swabs em pacientes elegíveis, reforçando que todo paciente admitido proveniente de outra unidade hospitalar ou serviço de saúde, com permanência superior a 24 horas, deve ser submetido à vigilância microbiológica conforme protocolo institucional vigente. Foi reforçada também a importância da rastreabilidade das coletas, registro adequado em prontuário e comunicação efetiva com o SCIH, visando garantir monitoramento epidemiológico eficaz, adoção precoce das medidas de isolamento e redução dos riscos relacionados à disseminação de microrganismos multirresistentes no ambiente hospitalar.</t>
  </si>
  <si>
    <t>Não conformidade na realização de swabs de vigilância epidemiológica na UTI.</t>
  </si>
  <si>
    <t>INC 2113 / 2026</t>
  </si>
  <si>
    <t>Foi observado, durante monitoramento realizado pelo SCIH, que a Unidade de Terapia Intensiva (UTI) não está executando de forma adequada e contínua a coleta dos swabs de vigilância epidemiológica conforme estabelecido no protocolo institucional de vigilância de admissões inter-hospitalares e prevenção das Infecções Relacionadas à Assistência à Saúde (IRAS). Constatou-se recorrência de não conformidades relacionadas à ausência de coleta em pacientes elegíveis, especialmente aqueles provenientes de outras instituições de saúde com permanência superior a 24 horas, situação que exige obrigatoriamente a realização da vigilância microbiológica conforme fluxo institucional.
A não execução das coletas compromete diretamente o rastreamento epidemiológico institucional, dificultando a identificação precoce de pacientes colonizados por microrganismos multirresistentes (MMR), bem como a implementação imediata das medidas de precaução e bloqueio epidemiológico necessárias para prevenção da disseminação cruzada dentro da unidade hospitalar. Ressalta-se que os swabs de vigilância constituem ferramenta essencial para monitoramento microbiológico e controle epidemiológico hospitalar, auxiliando na detecção de colonização por microrganismos de importância epidemiológica, definição de medidas de precaução de contato, estratégias de coorte, acompanhamento pelo SCIH e direcionamento terapêutico adequado conforme perfil microbiológico identificado. A ausência dessas coletas impacta negativamente na segurança assistencial, aumenta o risco de transmissão cruzada entre pacientes e profissionais e compromete a efetividade das ações de prevenção e controle de infecção hospitalar.
Observou-se ainda que a não adesão ao protocolo vem ocorrendo de forma frequente no setor, demonstrando fragilidade no cumprimento das rotinas institucionais estabelecidas para vigilância epidemiológica e Controle de Infecção Hospitalar.  Foi reforçada novamente a adesão e execução desse procedimento pelos enfermeiros e a importância da rastreabilidade das coletas, registro adequado em prontuário e comunicação efetiva com o SCIH, visando garantir monitoramento epidemiológico eficaz, adoção precoce das medidas de isolamento e redução dos riscos relacionados à disseminação de microrganismos multirresistentes no ambiente hospitalar.</t>
  </si>
  <si>
    <t>Paciente sem placa de identificação</t>
  </si>
  <si>
    <t>INC 2114 / 2026</t>
  </si>
  <si>
    <t>REALIZO NOTIFICAÇÃO À ENFERMEIRA CARLA REFERENTE À PACIENTE PROVENIENTE DA UTI EM 10/05/2026, A QUAL PERMANECEU SEM PLACA DE IDENTIFICAÇÃO DESDE A ADMISSÃO NA UNIDADE. OBSERVADO QUE A PACIENTE RECEBEU ALTA HOSPITALAR EM 12/05/2026, MANTENDO-SE DURANTE TODO O PERÍODO DE INTERNAÇÃO SEM IDENTIFICAÇÃO ADEQUADA, MESMO APÓS PASSAGEM DE PLANTÃO DIURNO E NOTURNO, SEM QUE HOUVESSE CONFECÇÃO OU REGULARIZAÇÃO DA PLACA DE IDENTIFICAÇÃO. SITUAÇÃO QUE COMPROMETE A SEGURANÇA DO PACIENTE E A ASSISTÊNCIA PRESTADA, EM DESACORDO COM OS PROTOCOLOS INSTITUCIONAIS DE SEGURANÇA.</t>
  </si>
  <si>
    <t>CLINICA CIRURGICA LEITO 03</t>
  </si>
  <si>
    <t>INC 2115 / 2026</t>
  </si>
  <si>
    <t>REALIZO NOTIFICAÇÃO À TÉCNICA DE ENFERMAGEM M. L. S. B. POR PASSAR PARA EQUIPE DO DIA PACIENTE COM ACESSO VENOSO PERIFÉRICO APRESENTANDO SINAIS DE FLEBITE, SEM COMUNICAÇÃO PRÉVIA À ENFERMAGEM E SEM PROVIDÊNCIAS QUANTO À TROCA OU RETIRADA DO DISPOSITIVO. SITUAÇÃO QUE COMPROMETE A SEGURANÇA DO PACIENTE E A QUALIDADE DA ASSISTÊNCIA PRESTADA, SENDO ORIENTADA QUANTO À NECESSIDADE DE AVALIAÇÃO CONTÍNUA DOS DISPOSITIVOS VENOSOS E COMUNICAÇÃO IMEDIATA DE INTERCORRÊNCIAS À ENFERMEIRA RESPONSÁVEL.</t>
  </si>
  <si>
    <t>LEITO 09 CG</t>
  </si>
  <si>
    <t>EQUIPO INADEQUADRO NA MEDICAÇÃO</t>
  </si>
  <si>
    <t>INC 2116 / 2026</t>
  </si>
  <si>
    <t>NOTIFICO TÉCNICA DE ENFERMAGEM M.L,S,B. POR NÃO UTILIZAR EQUIPO FOTOSSENSÍVEL NA ADMINISTRAÇÃO DE MEDICAÇÃO FOTOSSENSÍVEL ( CIPROFLOXACINO ) SENDO A MESMA INFUNDIDA EM EQUIPO COMUM, O QUE PODE COMPROMETER A EFICÁCIA TERAPÊUTICA DA MEDICAÇÃO. ORIENTO QUANTO À IMPORTÂNCIA DA UTILIZAÇÃO CORRETA DOS DISPOSITIVOS CONFORME PROTOCOLO INSTITUCIONAL, VISANDO SEGURANÇA E QUALIDADE DA ASSISTÊNCIA AO PACIENTE.</t>
  </si>
  <si>
    <t>ACIONAMENTO DE EMERGENCIA AO BANCO DE LEITO SEM NENHUM RETORNO</t>
  </si>
  <si>
    <t>INC 2117 / 2026</t>
  </si>
  <si>
    <t>RN apresentando hipoglicemia com DX 32. solicito ao pediatra para prescrever formula, aciono banco de leito via whatsapp sem retorno, realizo varias ligações sem retorno, chamo na porta (bato varias vezes) sem retorno. 
risco de rn rebaixar devido hipoglicemia.
RN D.S.C.
PACIENTE: 355523</t>
  </si>
  <si>
    <t>CGO LT 03</t>
  </si>
  <si>
    <t>SEM IDENTIFICAÇÃO DE ALERGIA</t>
  </si>
  <si>
    <t>INC 2118 / 2026</t>
  </si>
  <si>
    <t>Recebido paciente sem pulseira de identificação de alergia. Reforçada à equipe a importância da identificação correta do paciente, considerando que a ausência da pulseira compromete a segurança assistencial e pode gerar riscos e danos ao paciente. Após verificação, realizada identificação conforme protocolo institucional.</t>
  </si>
  <si>
    <t>ADORNOS</t>
  </si>
  <si>
    <t>INC 2119 / 2026</t>
  </si>
  <si>
    <t>Durante admissão do paciente para entrada no centro cirurgico, foi identificado o uso de adornos (ANEL), paciente encaminhado p/ cc em desacordo com as normas de segurança e controle de infecção institucionais.</t>
  </si>
  <si>
    <t>FICHA ANESTESICA NÃO PREENCHIDA</t>
  </si>
  <si>
    <t>INC 2120 / 2026</t>
  </si>
  <si>
    <t>Weslane Soares Pereira</t>
  </si>
  <si>
    <t>Informo que o prontuário foi encaminhado ao setor de faturamento para realização do faturamento
dos procedimentos.
Conforme informações do médico, o procedimento necessitou apenas de anestesia local, não havendo
necessidade de preenchimento de ficha anestésica, segundo sua avaliação profissional.
Diante da solicitação do faturamento, foi realizado contato com o médico para solicitar o preenchimento
da ficha anestésica. Entretanto, o profissional se recusou a realizar o documento, informando que não
elabora ficha anestésica em casos de procedimentos com anestesia local, por não considerar
necessário.
O médico também informou que somente realizará tal documentação mediante solicitação formal
encaminhada por e-mail ao seu setor/equipe responsável
Prontuário:169376</t>
  </si>
  <si>
    <t xml:space="preserve">ATRASO NA ALTA DEVIDO TRANSPORTE EXTERNO. </t>
  </si>
  <si>
    <t>INC 2121 / 2026</t>
  </si>
  <si>
    <t>14/05/2026</t>
  </si>
  <si>
    <t>PACIENTE RECEBEU ALTA MÉDICA ÁS 14:09, REALIZADO ACIONAMENTO DO TRANSPORTE EXTERNO ÁS 15:17. PACIENTE SÓ SAIU DE ALTA AS 19:45 EM VEICULO PRÓPRIO. ESSE FATO GEROU ATRASO NA ALTA DE 05 HORAS.</t>
  </si>
  <si>
    <t>MACA QUEBROU AO TRANSPORTAR O PACIENTE</t>
  </si>
  <si>
    <t>INC 2122 / 2026</t>
  </si>
  <si>
    <t>NOTIFICAÇÃO - SERVIÇO DE TRANSPORTE INTERNO
As 10:10 No momento do transporte de paciente proveniente do Centro Cirúrgico para acomodação na enfermaria, durante o deslocamento realizado em maca institucional, o equipamento apresentou falha mecânica (quebra), ocasionando risco iminente de queda do paciente. A situação foi contida de forma imediata pela agilidade do maqueiro e do técnico de enfermagem que acompanhava o transporte, evitando dano ao paciente.  O ocorrido foi comunicado para as devidas providências quanto à avaliação e manutenção do equipamento, visando garantir a segurança do paciente e prevenir novos eventos.</t>
  </si>
  <si>
    <t>CORREDOR AO CHEGAR NA ENFERMARIA</t>
  </si>
  <si>
    <t>Não Conformidade Relacionada à Permanência Prolongada de Curativo em Paciente com Fixador Externo.</t>
  </si>
  <si>
    <t>INC 2123 / 2026</t>
  </si>
  <si>
    <t>Paciente vítima de acidente automobilístico, apresentando fratura de fêmur direito com necessidade de instalação de fixador externo. Durante visita realizada em 13/05/2026, observou-se que o paciente permanecia com o mesmo curativo realizado em 11/05/2026, sem evidência de troca ou reavaliação dentro do período preconizado institucionalmente. Considerando a data do último registro de curativo (11/05/2026) e a avaliação realizada em 13/05/2026, constatou-se permanência do mesmo curativo por aproximadamente 48 horas consecutivas. Ressalta-se que pacientes portadores de fixador externo apresentam elevado risco para desenvolvimento de Infecções Relacionadas à Assistência à Saúde (IRAS), especialmente infecção no sítio de inserção dos pinos, sendo imprescindível a realização de avaliação diária das condições do curativo, bem como inspeção de sinais flogísticos, presença de exsudato, integridade da cobertura e condições da pele adjacente.
Destaca-se ainda que a permanência prolongada do curativo sem troca e sem avaliação periódica não é recomendada em pacientes com dispositivos ortopédicos invasivos, considerando o aumento do risco de colonização bacteriana, infecção de sítio cirúrgico, osteomielite e demais complicações infecciosas associadas ao uso do fixador externo.</t>
  </si>
  <si>
    <t>PACEINTE PERDEU PROCEDIMENTO DEVIDO NÃO ESTÁ INFORMADA DEVIDO ADONOS</t>
  </si>
  <si>
    <t>INC 2124 / 2026</t>
  </si>
  <si>
    <t>Notifico o Setor de Ambulatório quanto à não orientação prévia da paciente sobre a necessidade de retirada de adornos/aplique antes da realização do procedimento cirúrgico. Paciente eletiva, internada na data de 14/05, não estava ciente da obrigatoriedade de retirada do aplique capilar, conforme protocolo institucional para realização de procedimento cirúrgico. Em decorrência dessa situação, o procedimento foi suspenso, sendo necessária a concessão de alta à paciente.
Ressalto que a ausência de informação prévia ocasionou transtornos e indignação por parte da paciente, que não havia sido orientada com antecedência adequada.
Saliento ainda que tal situação já vem ocorrendo de forma recorrente, havendo registros anteriores de cancelamento de procedimentos em razão da falta de orientação prévia por parte do setor responsável pela comunicação no momento do agendamento/informação da internação.
Solicito providências para que haja alinhamento das orientações pré-operatórias, a fim de evitar novos cancelamentos e prejuízos assistenciais.</t>
  </si>
  <si>
    <t>AVP SEM TEGADERM</t>
  </si>
  <si>
    <t>INC 2125 / 2026</t>
  </si>
  <si>
    <t>NOTIFICO CENTRO CIRÚRGICO POR NÃO REALIZAR CURATIVO DO AVP COM COBERTURA ESTÉRIL TIPO TEGADERM, CONFORME PROTOCOLO INSTITUCIONAL. FALTANDO TAMBÉM INFORMAÇÕES DE HORARIO QUE FOI REALIZADO</t>
  </si>
  <si>
    <t>LEITO 29 CG</t>
  </si>
  <si>
    <t>Divergência cadastral de prontuários</t>
  </si>
  <si>
    <t>INC 2126 / 2026</t>
  </si>
  <si>
    <t>15/05/2026</t>
  </si>
  <si>
    <t>Em auditoria realizada no prontuário do paciente A.P.A, DN 30/10/1972, foi observado que constam no sistema três prontuários cadastrados para o mesmo paciente. Tal inconsistência pode ocasionar fragmentação das informações assistenciais, divergência de dados clínicos, dificuldade na rastreabilidade do histórico do paciente, além de favorecer riscos relacionados à segurança assistencial, continuidade do cuidado e possíveis falhas em registros, prescrições e evolução clínica. Notifico tal falha a fim de garantir a unificação e integridade das informações do paciente, assegurando maior segurança e confiabilidade dos registros institucionais.</t>
  </si>
  <si>
    <t>INC 2127 / 2026</t>
  </si>
  <si>
    <t>Paciente encaminhada p/ Centro Cirúrgico utilizando adornos, em desacordo com as normas de segurança institucionais e protocolos de prevenção de riscos no ambiente cirúrgico.</t>
  </si>
  <si>
    <t>Liberação inadequada de paciente potencialmente instável.</t>
  </si>
  <si>
    <t>INC 2128 / 2026</t>
  </si>
  <si>
    <t>Paciente G.L.S.J., Prontuário: 267523, Atendimento: 1672859, acamada, sequelada de politrauma, em uso de traqueostomia (TQT) e sonda nasoenteral (SNE), admitida no Pronto-Socorro proveniente do SAMU, acompanhada da cuidadora (tia), apresentando relato de dor torácica, cefaleia e dispneia. Segundo acompanhante, paciente havia apresentado episódio prévio de cianose após falha de equipamento de aspiração domiciliar utilizado para manejo de secreções em via aérea.
Conforme evolução médica inicial em Sala Vermelha, paciente encontrava-se sem sinais evidentes de desconforto respiratório e sem excesso de secreção traqueal no momento da admissão, sendo posteriormente liberada para corredor/fila do Pronto-Socorro para realização de medicações e possível programação de alta.
Durante permanência em área não monitorada após liberação médica da Sala Vermelha, paciente evoluiu progressivamente com piora clínica, apresentando desconforto respiratório, agitação psicomotora, episódios de cianose em extremidades e necessidade de múltiplas reavaliações médicas. Conforme evolução de enfermagem, às 03h58 acompanhante relatou piora do desconforto respiratório e agitação, sendo realizada aspiração de vias aéreas sem saída significativa de secreções. A enfermeira plantonista acionou imediatamente o médico da Sala Vermelha para reavaliação clínica, sendo prescrita Prometazina, administrada sem melhora do quadro.
Às 05h34, acompanhante voltou a relatar piora clínica, referindo extremidades arroxeadas. Novamente a enfermeira plantonista acionou o médico da Sala Vermelha para nova avaliação, sendo identificado quadro de agitação importante, retirada recorrente de acesso venoso periférico e dificuldade na manutenção da assistência segura. Foi então prescrito e administrado Clonazepam, além de tentativa de estabilização clínica e manutenção de novo acesso venoso periférico.
Mesmo não estando formalmente internada, diante da gravidade evolutiva e visando maior vigilância assistencial, a enfermeira responsável avaliou como necessária a transferência da paciente para leito semi-crítico/UCP para melhor monitoramento clínico, medida prontamente realizada pela equipe.
Exame de imagem solicitado não pôde ser realizado devido instabilidade clínica e agitação da paciente. Evoluiu posteriormente com rebaixamento do nível de consciência às 07h00, sendo necessária recondução imediata à Sala Vermelha e acionamento da equipe de Resposta Rápida para suporte assistencial intensivo.
O evento evidencia fragilidade no processo de estratificação de risco, monitoramento clínico evolutivo e reconhecimento precoce de sinais de deterioração clínica em paciente de alta complexidade e elevada dependência assistencial, inicialmente mantida em área sem monitorização contínua. Observa-se potencial inadequação do fluxo assistencial para manejo de paciente traqueostomizada, com histórico recente de instabilidade respiratória e necessidade de vigilância intensiva, configurando elevado risco assistencial, possível atraso na identificação da piora clínica e potencial comprometimento da segurança do paciente e da continuidade do cuidado.</t>
  </si>
  <si>
    <t>SALA VERMELHA/ FILA/ UCP</t>
  </si>
  <si>
    <t xml:space="preserve">PACIENTE TRANSFERIDO SEM A REALIZAÇÃO DE HISTÓRICO DE ADMISSÃO </t>
  </si>
  <si>
    <t>INC 2129 / 2026</t>
  </si>
  <si>
    <t>Encerrada</t>
  </si>
  <si>
    <t>PACIENTE TRANSFERIDO PARA A ALA PSICOSSOCIAL SEM A REALIZAÇÃO DO HISTÓRICO DE ADMISSÃO QUE DEVERIA SER REALIZADO NO PRONTO SOCORRO ANTES DA TRANSFERÊNCIA.</t>
  </si>
  <si>
    <t>PACIENTE TRANSFERIDO PARA A ALA PSICOSSOCIAL SEM A REALIZAÇÃO DO HISTÓRICO DE ADMISSÃO</t>
  </si>
  <si>
    <t>INC 2130 / 2026</t>
  </si>
  <si>
    <t>PACIENTE TRANSFERIDO PARA OBSERVAÇÃO DA CLÍNICA MÉDICA  SEM A REALIZAÇÃO DO HISTÓRICO DE ADMISSÃO.</t>
  </si>
  <si>
    <t>INC 2131 / 2026</t>
  </si>
  <si>
    <t>PACIENTE TRANSFERIDO SEM A REALIZAÇÃO DO HISTÓRICO DE ADMISSÃO .</t>
  </si>
  <si>
    <t>INC 2132 / 2026</t>
  </si>
  <si>
    <t>PACIENTE TRANSFERIDO PARA OBSERVAÇÃO DA CLÍNICA MÉDICA  SEM A REALIZAÇÃO DO HISTÓRICO DE ADMISSÃO QUE DEVERIA SER REALIZADO NO PRONTO SOCORRO ANTES DA TRANSFERÊNCIA. </t>
  </si>
  <si>
    <t>INC 2133 / 2026</t>
  </si>
  <si>
    <t>Recebido paciente em centro cirurgico em uso de protese dentaria e roupa intima, reforço que isso gera risco a segurança do paciente.</t>
  </si>
  <si>
    <t>ENCAMINHAMENTO DE PACIENTE NEUROCIRÚRGICO AO CENTRO CIRÚRGICO SEM MONITORIZAÇÃO DURANTE TRANSPORTE INTRA-HOSPITALAR</t>
  </si>
  <si>
    <t>INC 2134 / 2026</t>
  </si>
  <si>
    <t>16/05/2026</t>
  </si>
  <si>
    <t>PACIENTE J.S.F., PRONTUÁRIO Nº 286243, PROVENIENTE DA UDC/PS, ENCAMINHADO AO CENTRO CIRÚRGICO PARA REALIZAÇÃO DE PROCEDIMENTO DE EMERGÊNCIA DA NEUROCIRURGIA APÓS ACIDENTE AUTOMOBILÍSTICO (COLISÃO MOTO X CARRO), COM RELATO DE PERDA DE CONSCIÊNCIA NO LOCAL DO TRAUMA E INFORMAÇÃO DE AUSÊNCIA DO USO DE CAPACETE NO MOMENTO DO ACIDENTE.
PACIENTE ADMITIDO NO CENTRO CIRÚRGICO EM CADEIRA DE RODAS, SEM QUALQUER TIPO DE MONITORIZAÇÃO DURANTE O TRANSPORTE INTRA-HOSPITALAR, APESAR DO QUADRO NEUROLÓGICO APRESENTADO. NA ADMISSÃO AO SETOR, ENCONTRAVA-SE COM GLASGOW 14, CONSCIENTE, RESPONSIVO A COMANDOS SIMPLES, PORÉM APRESENTANDO DIFICULDADE PARA DEAMBULAÇÃO, LENTIFICAÇÃO PSICOMOTORA E COMPORTAMENTO COMPATÍVEL COM REBAIXAMENTO DO NÍVEL HABITUAL DE ATENÇÃO, MANTENDO-SE DESORIENTADO EM ALGUNS MOMENTOS E COM ASPECTO "AÉREO" DURANTE INTERAÇÃO COM A EQUIPE.
CONSIDERANDO O MECANISMO DE TRAUMA, HISTÓRICO DE PERDA DE CONSCIÊNCIA E CONDIÇÃO NEUROLÓGICA APRESENTADA NO MOMENTO DA ADMISSÃO, OBSERVA-SE RISCO POTENCIAL RELACIONADO AO TRANSPORTE INTRA-HOSPITALAR SEM MONITORIZAÇÃO E SEM MEDIDAS ADICIONAIS DE SEGURANÇA ASSISTENCIAL COMPATÍVEIS COM O QUADRO CLÍNICO DO PACIENTE.
RESSALTA-SE A IMPORTÂNCIA DO ALINHAMENTO QUANTO AOS CRITÉRIOS DE TRANSPORTE SEGURO DE PACIENTES POTENCIALMENTE GRAVES E/OU NEUROCRÍTICOS ENTRE SETORES, VISANDO REDUÇÃO DE RISCOS ASSISTENCIAIS E MAIOR SEGURANÇA DURANTE O DESLOCAMENTO INTRA-HOSPITALAR.</t>
  </si>
  <si>
    <t xml:space="preserve">Indisponibilidade de medicação na farmácia satélite do Centro Cirúrgico durante procedimento. </t>
  </si>
  <si>
    <t>INC 2135 / 2026</t>
  </si>
  <si>
    <t>Paciente S.B.A.S., prontuário nº 331784, em procedimento cirúrgico no Centro Cirúrgico, durante o qual foi solicitada medicação/solução Sorine® à farmácia satélite do setor.
No momento da solicitação, a equipe da farmácia informou indisponibilidade imediata do item na unidade satélite, sendo necessário realizar busca na farmácia central. Ressalta-se que o referido item compõe materiais/medicações de utilização frequente em procedimentos realizados no Centro Cirúrgico, sendo esperada sua disponibilidade na farmácia satélite do setor para atendimento ágil das demandas intraoperatórias.
Diante da ausência da medicação no setor e do tempo necessário para reposição, o cirurgião utilizou solução proveniente de material próprio para continuidade do procedimento, evitando interrupção do ato cirúrgico e possíveis impactos assistenciais ao paciente. A medicação solicitada foi entregue ao setor apenas após finalização do procedimento.
A situação evidenciou fragilidade no abastecimento e disponibilidade de insumos essenciais para assistência intraoperatória, gerando risco potencial à segurança do paciente, atraso no atendimento da demanda cirúrgica e necessidade de adoção de medida não prevista institucionalmente para continuidade da assistência.
Ressalta-se a importância de revisão do fluxo de abastecimento e manutenção de estoque mínimo adequado na farmácia satélite do Centro Cirúrgico, visando garantir suporte seguro e oportuno às demandas cirúrgicas.</t>
  </si>
  <si>
    <t>Não conformidades relacionadas às caixas de instrumental</t>
  </si>
  <si>
    <t>INC 2136 / 2026</t>
  </si>
  <si>
    <t>Paciente S.B.A.S., prontuário nº 331784, em procedimento cirúrgico no Centro Cirúrgico, durante o qual foram identificadas não conformidades relacionadas às caixas de instrumental cirúrgico.
No momento da utilização do instrumental em sala cirúrgica, a primeira caixa apresentou identificação incompatível com o procedimento realizado, além de ausência do checklist de conferência de materiais, documento habitualmente fixado à caixa para rastreabilidade e verificação do conteúdo disponibilizado.
Diante da inconsistência identificada, foi necessária abertura de uma segunda caixa de instrumental, sendo constatada ausência de uma peça necessária para composição adequada do material cirúrgico. Em decorrência das não conformidades apresentadas, houve necessidade de abertura de uma terceira caixa para continuidade segura do procedimento.
A situação ocasionou atraso no fluxo intraoperatório, necessidade de retrabalho entre equipes e risco potencial à segurança assistencial, considerando a importância da correta identificação, integridade, conferência e rastreabilidade dos instrumentais disponibilizados para os procedimentos cirúrgicos.</t>
  </si>
  <si>
    <t>PENDÊNCIA DE NOTA FISCAL</t>
  </si>
  <si>
    <t>INC 2137 / 2026</t>
  </si>
  <si>
    <t>Prontuário vencido será entregue ao faturamento faltando nota fiscal este documento é de extrema importância estar no prontuário para que o mesmo seja faturado, a falta deste documento pode levar a perca total do prontuário, por se tratar de um documento de extrema importância .
Conforme orientação da supervisora entrego o prontuário ao faturamento para que medidas cabíveis sejam tomadas e o mesmo não seja perdido e venha ser faturado , mesmo que de forma parcial.</t>
  </si>
  <si>
    <t>PENDENCIA DE NOTA FISCAL</t>
  </si>
  <si>
    <t>INC 2138 / 2026</t>
  </si>
  <si>
    <t>Prontuário vencido será entregue ao faturamento faltando nota fiscal. 
Este documento é de extrema importância estar no prontuário para que o mesmo seja faturado, a falta deste documento pode levar a perca total do prontuário, por se tratar de um documento de extrema importância .
Conforme orientação da supervisora entrego o prontuário ao faturamento para que medidas cabíveis sejam tomadas e o mesmo não seja perdido e venha ser faturado, mesmo que de forma parcial.</t>
  </si>
  <si>
    <t>PENDENCIA EM ASSINATURA MEDICA</t>
  </si>
  <si>
    <t>INC 2139 / 2026</t>
  </si>
  <si>
    <t>Informo que o prontuário do paciente permaneceu pendente devido à ausência de assinatura do médico neurologista responsável referente ao dia 02/02/26, ocasionando o vencimento do prazo do referido prontuário.
Desta forma, registro que a pendência ocorreu exclusivamente por este motivo.
MEDICO: A.C.T
CRM-PA N:17356</t>
  </si>
  <si>
    <t>PENDENCIA EM AUTORIZAÇÃO DO DIRCA</t>
  </si>
  <si>
    <t>INC 2140 / 2026</t>
  </si>
  <si>
    <t>Prontuário vencido será entregue ao faturamento faltando autorização do DIRCA este documento é de extrema importância estar no prontuário para que o mesmo seja faturado, a falta deste documento pode levar a perca total do prontuário, por se tratar de um documento de extrema importância .
Conforme orientação da supervisora entrego o prontuário ao faturamento para que medidas cabíveis sejam tomadas e o mesmo não seja perdido e venha ser faturado.</t>
  </si>
  <si>
    <t>PENDENCIA EM ALTORIZAÇÃO DO DIRCA</t>
  </si>
  <si>
    <t>INC 2141 / 2026</t>
  </si>
  <si>
    <t>Prontuário vencido será entregue ao faturamento faltando autorização do DIRCA este documento é de extrema importância estar no prontuário para que o mesmo seja faturado, a falta deste documento pode levar a perca total do prontuário, por se tratar de um documento de extrema importância .
Conforme orientação da supervisora entrego o prontuário ao faturamento para que medidas cabíveis sejam tomadas e o mesmo não seja perdido e venha ser faturado .</t>
  </si>
  <si>
    <t>INC 2142 / 2026</t>
  </si>
  <si>
    <t>Prontuários vencendo será entregue ao faturamento faltando autorização do DIRCA, este documento é de extrema importância estar no prontuário para que o mesmo seja faturado, a falta deste documento pode levar a perca total do prontuário, por se tratar de um documento de extrema importância .
Conforme orientação da supervisora entrego o prontuário ao faturamento para que medidas cabíveis sejam tomadas e o mesmo não seja perdido e venha ser faturado .</t>
  </si>
  <si>
    <t>INC 2143 / 2026</t>
  </si>
  <si>
    <t>Prontuário vencendo será entregue ao faturamento faltando autorização do DIRCA.
foi feita uma AIH com codigo de procedimento especial, mas até o momento não tivemos retorno, este documento é
de extrema importância estar no prontuário para que o mesmo seja faturado.
Conforme orientação da supervisora entrego o prontuário ao faturamento para que medidas cabíveis
sejam tomadas.</t>
  </si>
  <si>
    <t>PENDENCIA DE ASSINATURA DE FISIOTERAPEUTA</t>
  </si>
  <si>
    <t>INC 2144 / 2026</t>
  </si>
  <si>
    <t>Informo que, ao assumir as atividades no setor de Clínica Cirúrgica, deparei-me com diversos prontuários próximos ao vencimento, inclusive o presente prontuário referente ao mês de janeiro, o qual já havia sido encaminhado ao faturamento e retornado posteriormente como pendência de assinatura da fisioterapeuta, referente apenas a uma evolução do dia 05/01/2026.
Ressalto que, quando cheguei ao setor, o referido prontuário já se encontrava vencido, devido à ausência de resolução da pendência pela colaboradora anteriormente responsável.
Informo ainda que realizei duas tentativas de localizar a fisioterapeuta responsável para regularização da assinatura, porém não obtive êxito.
Dessa forma, considerando tratar-se de prontuário já vencido e sem possibilidade de resolução da pendência até o presente momento, estou realizando novo encaminhamento ao faturamento sem a devida assinatura pendente.
Fisioterapeuta responsavel: P.S.R CREFITO 305448 PAW</t>
  </si>
  <si>
    <t>INC 2145 / 2026</t>
  </si>
  <si>
    <t>Prontuário vencendo será entregue ao faturamento faltando autorização do DIRCA.  
Até o momento não tivemos retorno, este documento é
de extrema importância estar no prontuário para que o mesmo seja faturado.
Conforme orientação da supervisora entrego o prontuário ao faturamento para que medidas cabíveis
sejam tomadas.</t>
  </si>
  <si>
    <t>INC 2146 / 2026</t>
  </si>
  <si>
    <t>Prontuário vencendo será entregue ao faturamento faltando autorização do DIRCA.
Este documento é de extrema importância estar no prontuário para que o mesmo seja faturado.
Conforme orientação da supervisora entrego o prontuário ao faturamento para que medidas cabíveis
sejam tomadas.</t>
  </si>
  <si>
    <t>DATA INCORRETA DA ALTA DA PACIENTE</t>
  </si>
  <si>
    <t>INC 2147 / 2026</t>
  </si>
  <si>
    <t>Informo que o prontuário da paciente de iniciais A.R.D.P apresenta divergência nas informações referentes à alta hospitalar e à autorização do SISREG.
Conforme registro em prontuário, a paciente deu entrada na unidade no dia 30/01/2026, permanecendo internada até receber alta melhorada em 05/02/2026.
Entretanto, no sistema, a alta encontra-se registrada incorretamente no período de 30/01/2026 até 31/01/2026, divergindo das informações constantes no prontuário da paciente.
Dessa forma, fica registrada a inconsistência identificada para conhecimento e providências cabíveis.</t>
  </si>
  <si>
    <t>DIVERGENCIA NA DATA DA ALTA</t>
  </si>
  <si>
    <t>INC 2148 / 2026</t>
  </si>
  <si>
    <t>Informo que o prontuário da paciente de iniciais A.R.D.P apresenta divergência nas informações referentes à alta hospitalar e à autorização do SISREG.
Conforme registro em prontuário, a paciente deu entrada na unidade no dia 30/01/2026, permanecendo internada até receber alta melhorada em 05/02/2026.
Entretanto, no sisREG, a alta encontra-se registrada incorretamente no período de 30/01/2026 até 31/01/2026, divergindo das informações constantes no prontuário da paciente.
Dessa forma, fica registrada a inconsistência identificada para conhecimento e providências cabíveis.
Atenciosamente,</t>
  </si>
  <si>
    <t>MEDICAÇÃO ENCONTRADA DEBAIXO DO LEITO</t>
  </si>
  <si>
    <t>INC 2149 / 2026</t>
  </si>
  <si>
    <t>Notifico a equipe do plantão noturno do dia 17/05/26 acerca do recebimento da medicação prescrita. Provavelmente, o saco contendo a medicação caiu ao chão do outro lado da mureta. não sendo visualizado pela equipe noturna quando recebeu a medicação. Material encontrado pela equipe da manhã durante visita de rotina</t>
  </si>
  <si>
    <t>EM FRENTE AO POSTO DE ENFERMAGEM</t>
  </si>
  <si>
    <t>Avp com flebite</t>
  </si>
  <si>
    <t>INC 2150 / 2026</t>
  </si>
  <si>
    <t>NOTIFICO PLANTÃO NOTURNO DO DIA 17/05/2026 DEVIDO MEMBRO SUPERIOR COM SINAIS DE FLEBITE EM ACESSO VENOSO PERIFÉRICO (AVP),  NÃO FOI IDENTIFICADO PELA EQUIPE/TÉCNICO DO PLANTÃO NOTURNO QUE O AVP ENCONTRAVA-SE PERDIDO/INFILTRADO. PLANTÃO RECEBIDO ÀS 07H COM MEDICAÇÃO DAS 04H AINDA EM AVP FLEBITADO EM MSD .</t>
  </si>
  <si>
    <t>LEITO 22 CG</t>
  </si>
  <si>
    <t>Descarte de feto mesmo após preenchimento de Declaração de Óbito.</t>
  </si>
  <si>
    <t>INC 2151 / 2026</t>
  </si>
  <si>
    <t>19/05/2026</t>
  </si>
  <si>
    <t>Dia 06 de maio por volta as 14h45 serviço social acioando para  demanda de acolhimento de óbito,  dadas as devidas orientações pela profissional plantonista aos genitores, e solicitado a equipe de enfermagem que assim que a declaração de óbito estive preenchida que acionassem para prosseguri com o fluxo de liberação do corpo, por volta das 19h24, a equipe é acionada para retomar o caso , pois a Declaração de óbito ja estava preenchida , apos orientações aos familiares sobre direitos que lhes cabem,  o profissional , o familiar e a funerária desceram ao necroterio , porém , o corpo não estava no local.  Será colocado um anexo com o relatório do profissional que acompanhanou a demanda  e  detalhe todo o curso do fato.  Importante salientar que fatos como este já ocorrem na unidade.</t>
  </si>
  <si>
    <t>n</t>
  </si>
  <si>
    <t>Não realização de exame de raio-X por ausência de maqueiro para transporte intra-hospitalar</t>
  </si>
  <si>
    <t>INC 2152 / 2026</t>
  </si>
  <si>
    <t>Incidente relacionado à indisponibilidade de maqueiro para transporte intra-hospitalar, ocasionando atraso na realização de exame de raio-X de paciente com hipótese diagnóstica de suboclusão intestinal associada à distensão intestinal difusa, durante o plantão diurno do dia 18/05/2026.
A solicitação para encaminhamento do paciente ao setor de imagem foi realizada às 17h11 pela enfermeira plantonista, via grupo institucional destinado ao acionamento do serviço, entretanto, até às 19h00, não houve comparecimento de maqueiro ao setor, impossibilitando a realização do exame em tempo oportuno.
O incidente gerou atraso no processo diagnóstico e potencial impacto na condução terapêutica do paciente, sendo registrado para análise, tratativa e implementação de medidas visando prevenir recorrências relacionadas ao fluxo de transporte intra-hospitalar.</t>
  </si>
  <si>
    <t>Material ( frasco) com secreção</t>
  </si>
  <si>
    <t>NC 2673 / 2026</t>
  </si>
  <si>
    <t>Monica Dias De Jesus</t>
  </si>
  <si>
    <t>Vicenca Rodrigues De Gois Maciel</t>
  </si>
  <si>
    <t>Data: 01.01.26 as  17:30h, Informo que foi identificado o envio de um frasco contendo secreção, proveniente do Centro Cirúrgico (C.C.), para p C.M.E</t>
  </si>
  <si>
    <t>Não Conformidade</t>
  </si>
  <si>
    <t>maleta de HPP INCOMPLETA</t>
  </si>
  <si>
    <t>NC 2674 / 2026</t>
  </si>
  <si>
    <t>plantão diurno do dia 03/01 recebemos um paciente do cc, apresentou hpp no cgo2
ao abrir a maleta de HPP
verificamos que faltava medicamento (4 ampolas transamim)
última vez que usaram não fizeram reposição correta
gera um transtorno muito grande, risco para paciente</t>
  </si>
  <si>
    <t>KIT DE NEBULIZAÇÃO INCOMPLETO</t>
  </si>
  <si>
    <t>NC 2675 / 2026</t>
  </si>
  <si>
    <t>Sabrina Rego Sousa Cavalcante</t>
  </si>
  <si>
    <t>04/01/2026</t>
  </si>
  <si>
    <t>Informamos que, no plantão noturno do dia 02/01/2026, a UTI entregou ao CME um kit de nebulização incompleto, faltando a máscara. Segue foto em anexo.</t>
  </si>
  <si>
    <t>Movimentação indevida</t>
  </si>
  <si>
    <t>NC 2676 / 2026</t>
  </si>
  <si>
    <t>Coordenação de Apoio Logístico e Operacional  / Setor de Patrimônio</t>
  </si>
  <si>
    <t>Helio Ferro Nunes</t>
  </si>
  <si>
    <t>06/01/2026</t>
  </si>
  <si>
    <t>Após solicitação registrada via NEOVERO para a movimentação de uma mesa de alimentação em MDF destinada à sala de Alta, a equipe operacional, ao atender a Ordem de Serviço, constatou que a movimentação já havia sido realizada pelo próprio setor. Ressaltamos que essa prática já havia ocorrido anteriormente, ocasião em que o setor de Patrimônio prestou a devida orientação quanto ao fluxo correto de movimentação interna de bens, disponibilizado por meio do sistema INTERACT. Tal situação caracteriza não conformidade com os procedimentos estabelecidos.</t>
  </si>
  <si>
    <t>Setor de Patrimônio</t>
  </si>
  <si>
    <t>RESUMO DE ALTA EM XEROX</t>
  </si>
  <si>
    <t>NC 2677 / 2026</t>
  </si>
  <si>
    <t>Vinicius Alves de Sousa Fial</t>
  </si>
  <si>
    <t>Os prontuários de nº 206827 (M. P. DA S.) e nº 333007 (J. P. F. de O.), encontram-se com os respectivos resumos de alta em xerox, não sendo possível localizar o documento original.</t>
  </si>
  <si>
    <t>lixeira não funciona da cozinha</t>
  </si>
  <si>
    <t>NC 2678 / 2026</t>
  </si>
  <si>
    <t>Notifico o refeitório que o pedal da lixeira não está funcionando. Dessa forma, não adianta higienizar as mãos e, em seguida, tocar na lixeira para descartar o papel, o que pode ocasionar contaminação.
Por gentileza, solicito a substituição da lixeira o quanto antes, a fim de evitar riscos à higiene e à saúde dos usuários.</t>
  </si>
  <si>
    <t>DATAS DIVERGENTES</t>
  </si>
  <si>
    <t>NC 2679 / 2026</t>
  </si>
  <si>
    <t>Luciana Prado Queiroz</t>
  </si>
  <si>
    <t>Os prontuários de nº 327293 (C. C. N.), nº 327924 (M. V. da S. S.) e nº 331066 (R. F. S.). Encontram-se com os seus respectivos resumos de alta por "Alta Administrativa" e por esse motivo, está com a data divergente do período de internação.</t>
  </si>
  <si>
    <t>Mobiliario localizado em local indevido</t>
  </si>
  <si>
    <t>NC 2680 / 2026</t>
  </si>
  <si>
    <t>Foram localizados diversos bens patrimoniais em situação irregular, entre eles: uma cadeira fixa em polipropileno danificada, sem encosto; uma cadeira fixa sem assento e encosto, permanecendo apenas a estrutura, com a plaqueta patrimonial removida; uma cadeira fixa com base giratória, apresentando estofado rasgado; e um mocho em inox sem o assento, o qual foi posteriormente localizado no mesmo local, em área externa do Pronto Socorro Adulto (PS). Além disso, foi identificada uma cadeira fixa estofada cuja plaqueta patrimonial (PAT:202684) indica pertencimento ao Pronto Atendimento Materno (PAM).
Ressaltamos que o setor de Patrimônio não foi informado sobre a movimentação e a permanência dessas mobílias nos locais identificados, caracterizando não conformidade com o fluxo estabelecido. Solicitamos que o setor responsável observe e cumpra rigorosamente o fluxo de movimentação interna de bens, conforme orientações já divulgadas.</t>
  </si>
  <si>
    <t>Longarina Danificada</t>
  </si>
  <si>
    <t>NC 2683 / 2026</t>
  </si>
  <si>
    <t>Foi localizada uma longarina de três lugares com assento e encosto apresentando indícios de mau uso. Conforme evidenciado na imagem anexada, foram identificadas soldas danificadas na estrutura do equipamento. Diante do exposto, solicitamos que o setor siga rigorosamente o fluxo estabelecido para comunicação e manutenção dos bens, a fim de evitar possíveis incidentes, considerando o risco que a utilização do equipamento nessas condições pode representar à segurança do usuário.</t>
  </si>
  <si>
    <t>Cadeira Fixa Danificada e Localizada em Local Idevido</t>
  </si>
  <si>
    <t>NC 2684 / 2026</t>
  </si>
  <si>
    <t>Durante ronda de rotina, foi identificada uma cadeira fixa em polipropileno no Pronto Atendimento Materno (PAM), localizada abaixo da escada de incêndio. Ao consultar o número patrimonial, constatou-se que o bem é de origem da Clínica Médica. Ressalta-se que essa movimentação não foi comunicada ao setor de Patrimônio. Além disso, a cadeira encontra-se danificada no assento, caracterizando uso inadequado e não conformidade com os procedimentos estabelecidos.</t>
  </si>
  <si>
    <t>NC 2689 / 2026</t>
  </si>
  <si>
    <t>NC 2690 / 2026</t>
  </si>
  <si>
    <t>PORTARIA NÃO AUTORIZADA</t>
  </si>
  <si>
    <t>NC 2691 / 2026</t>
  </si>
  <si>
    <t>Leda Kalita Silva Grangeiro</t>
  </si>
  <si>
    <t>Foi presenciado, no dia 09/01/2026, a saída não autorizada da colaboradora Halyne Maria da Silva Lima Oliveira pela portaria da rua A (Recepção Geral - HGP), sendo assim, violadas regras acerca do controle de acesso da instituição.</t>
  </si>
  <si>
    <t xml:space="preserve">Perda de acessórios. </t>
  </si>
  <si>
    <t>NC 2692 / 2026</t>
  </si>
  <si>
    <t>Coordenação de Hotelaria  / Núcleo de Engenharia Clínica</t>
  </si>
  <si>
    <t>Gleiciele Bezerra Martins</t>
  </si>
  <si>
    <t>Informamos que, após a ronda realizada pelo setor de Engenharia Clínica no dia 05/01 no Pronto Socorro, ao ser feito uma nova ronda no dia 08/01  foram constatadas a perda de acessórios de 02 (dois) monitores multiparamétricos Efficia, onde os mesmos se encontram sem todos os acessórios e também a redução no quantitativo de bombas de infusão em relação a ronda anterior.
Ressaltamos a importância da guarda e conservação dos equipamentos e acessórios para a continuidade da assistência. Solicitamos apoio na busca desses itens ou justificativa sobre a movimentação dos mesmos.
Segue em anexo, a ficha de ronda realizada no dia 05/01/2026 e dia 08/01/2026</t>
  </si>
  <si>
    <t>Núcleo de Engenharia Clínica</t>
  </si>
  <si>
    <t>MATERIAL INCOMPLETO</t>
  </si>
  <si>
    <t>NC 2693 / 2026</t>
  </si>
  <si>
    <t>Auciclea Santos de Sousa</t>
  </si>
  <si>
    <t>09/01/2026 as11:20 O setor do Expurgo do CME recebeu uma caixa de ortopédia delicada n.04  proveniente do Centro Cirúrgico contendo ausência de 1 pinça Crile reta. Durante a conferência do material, constatou-se a falta do instrumento. Após busca e verificação, a pinça Crile reta foi posteriormente encontrada no setor da Lavanderia.
Consequências/risco identificado Risco de extravio de instrumental cirúrgico.
Possível atraso no processamento e liberação do material cirúrgico.
Comprometimento da rastreabilidade e segurança do paciente.
Necessidade de retrabalho e aumento do tempo de processamento.
Ação imediata realizada:
Comunicação ao responsável do Centro Cirúrgico sobre a discrepância.
Localização da pinça faltante na Lavanderia e devolução ao CME.</t>
  </si>
  <si>
    <t>Risco de acidente perfurocortante aos colaboradores do CME.</t>
  </si>
  <si>
    <t>NC 2694 / 2026</t>
  </si>
  <si>
    <t>09/01/2026 As 16:20 O setor do expurgo do CME recebeu uma caixa de Laparotomia nº 02 contendo uma lâmina de bisturi nº 15 dentro da caixa, contrariando os padrões de segurança e conferência de instrumental cirúrgico.
Setor de Origem do Material: Centro Cirúrgico (CC)
Evidências Observadas:
Lâmina de bisturi nº 15 encontrada no interior da caixa de Laparotomia nº 02.
Material recebido sem identificação ou sinalização prévia da presença da lâmina cortante.
Risco de acidente perfurocortante aos colaboradores do CME.
Comprometimento do fluxo de trabalho e segurança operacional.
Possibilidade de falha na contagem e rastreabilidade do instrumental.
Ação Imediata Adotada:
Retirada segura da lâmina de bisturi.</t>
  </si>
  <si>
    <t>Material incompleto</t>
  </si>
  <si>
    <t>NC 2695 / 2026</t>
  </si>
  <si>
    <t>09/01/2026 As 10:00 O setor do expurgo do CME recebeu um Ambu adulto proveniente do Pronto Socorro, porém o item estava incompleto, apresentando ausência da máscara correspondente ao conjunto.
Evidências/Observações:
Conjunto entregue sem a máscara acoplada ou separada.
Item identificado no momento da conferência no expurgo.
Setor de Origem: Pronto Socorro
Comunicação ao setor de origem para verificação e localização da máscara faltante.
Orientação para conferência do material antes do envio ao CME.</t>
  </si>
  <si>
    <t>NC 2696 / 2026</t>
  </si>
  <si>
    <t>Movimentação indevida na Observação do Pronto Socorro</t>
  </si>
  <si>
    <t>NC 2697 / 2026</t>
  </si>
  <si>
    <t>Durante o atendimento de uma Ordem de Serviço, foi identificada uma cadeira fixa em polipropileno que necessitava de reparo na Observação do Pronto Socorro. Contudo, ao consultar o número patrimonial, constatou-se que o bem pertence à Clínica Cirúrgica. Solicitamos que o setor identifique e fiscalize seus bens patrimoniais de forma mais rigorosa, tendo em vista que esse tipo de ocorrência tem se mostrado recorrente, caracterizando não conformidade com os fluxos estabelecidos.</t>
  </si>
  <si>
    <t>Falha de fluxo e segurança do paciente</t>
  </si>
  <si>
    <t>NC 2698 / 2026</t>
  </si>
  <si>
    <t>solcitacão fora do cronograma</t>
  </si>
  <si>
    <t>NC 2699 / 2026</t>
  </si>
  <si>
    <t xml:space="preserve">Coordenação de Apoio Logístico e Operacional  / Suprimentos </t>
  </si>
  <si>
    <t>Antonio Eduardo Meira Borille</t>
  </si>
  <si>
    <t>Foi emitido solicitacão N 4503647 de nutricão enteral fora do cronograma de atendimento do almoxarifado</t>
  </si>
  <si>
    <t>Setor de Suprimentos</t>
  </si>
  <si>
    <t>NÃO REALIZAÇÃO DE NOTIFICAÇÃO COMPULSÓRIA</t>
  </si>
  <si>
    <t>NC 2700 / 2026</t>
  </si>
  <si>
    <t>Abro notificação ao setor pronto socorro por realizar atendimento ao paciente S.D.J.B, vitima de acidente de trabalho (vaqueiro caiu do cavalo na fazenda Rancharia) deu entrada nesta unidade em 09/01/2025, permanecendo na unidade por 5 dias e nao foi realizada notificação compulsoria.</t>
  </si>
  <si>
    <t>Atraso na entrega de notificações e relatórios semanais de exames</t>
  </si>
  <si>
    <t>NC 2701 / 2026</t>
  </si>
  <si>
    <t>Comunicamos e registramos a não conformidade relacionada aos atrasos recorrentes na entrega das notificações diárias e dos relatórios semanais de exames realizados por este laboratório.
Temos recebido os relatórios com até duas semanas de atraso, bem como as notificações diárias fora do prazo estabelecido, o que tem impactado diretamente:
As atividades de auditoria realizadas pelo Núcleo de Vigilância Epidemiológica Hospitalar (NVEH);
O cumprimento dos prazos para envio das notificações imediatas e semanais à Vigilância Epidemiológica Municipal;
O monitoramento oportuno de agravos de notificação compulsória.
Ressaltamos que o envio  dessas informações é fundamental para a vigilância, controle e tomada de decisões em saúde pública.
Solicitamos, portanto, providências imediatas para regularização dos fluxos, garantindo:
O envio diário das notificações conforme preconizado;
O encaminhamento pontual dos relatórios semanais de exames realizados.
Permanecemos à disposição para alinhamento de fluxos, caso necessário, e aguardamos retorno com as medidas adotadas para correção desta situação.
 Em anexo o ultimo relatorio recebido.</t>
  </si>
  <si>
    <t>NC 2702 / 2026</t>
  </si>
  <si>
    <t>FALHA DE COMUNICAÇÃO INTERSETORIAL</t>
  </si>
  <si>
    <t>NC 2703 / 2026</t>
  </si>
  <si>
    <t>No dia 15/01/2026, por volta das 06h, foi recebido no Centro Cirúrgico paciente A.F.D.S  (prontuário n° 281856) proveniente da Clínica Cirúrgica, com indicação de procedimento de emergência, conforme solicitação cirúrgica.
Entretanto, não houve comunicação prévia ao Centro Cirúrgico, conforme fluxo institucional vigente. Ressalta-se que todas as solicitações de cirurgia, inclusive de caráter emergencial, devem obrigatoriamente ser:
Encaminhadas ao grupo de WhatsApp de cirurgias, e acompanhadas de passagem de caso entre o enfermeiro do setor de origem e o enfermeiro do Centro Cirúrgico.
O paciente chegou ao bloco cirúrgico sem qualquer aviso prévio, o que compromete o planejamento, a organização da equipe e a segurança assistencial.
O enfermeiro do setor de origem relatou ter tentado contato via WhatsApp, sem sucesso. Contudo, é de conhecimento institucional que o sinal de internet no Centro Cirúrgico é instável, por se tratar de um setor fechado. Justamente por esse motivo, o serviço dispõe de ramal telefônico, que não foi utilizado, apesar de ser o meio mais eficaz de comunicação nesses casos.
Reforça-se que, mesmo sendo um procedimento de emergência, em nenhum momento houve comunicação efetiva com a equipe do Centro Cirúrgico, configurando falha no processo de comunicação intersetorial.</t>
  </si>
  <si>
    <t>INCONSISTENCIA DE CNES</t>
  </si>
  <si>
    <t>NC 2704 / 2026</t>
  </si>
  <si>
    <t xml:space="preserve">Coordenação de Gestão Financeira / Setor de Faturamento </t>
  </si>
  <si>
    <t>Ruan Ferreira Soares</t>
  </si>
  <si>
    <t>Informamos que foi identificado que o CNES (Cadastro Nacional de Estabelecimentos de Saúde) não está sendo devidamente inserido no cadastro dos pacientes, conforme exigido pelos sistemas e normativas vigentes.
Ressaltamos que o correto preenchimento do CNES é obrigatório, sendo fundamental para a validação dos atendimentos, alimentação dos sistemas de informação e garantia da regularidade dos registros.
Dessa forma, solicitamos que todos os responsáveis pelos cadastros regularizem imediatamente essa informação, evitando inconsistências, bloqueios ou prejuízos administrativos.</t>
  </si>
  <si>
    <t>Setor de Faturamento</t>
  </si>
  <si>
    <t>NC 2705 / 2026</t>
  </si>
  <si>
    <t>NÃO CONFORMIDADE GRAVE, COM RISCO POTENCIAL AO PACIENTE.</t>
  </si>
  <si>
    <t>NC 2706 / 2026</t>
  </si>
  <si>
    <t>NC 2707 / 2026</t>
  </si>
  <si>
    <t>AUSÊNCIA DE COLABORADOR DA FÁRMACIA DO CENTRO CIRÚRGICO</t>
  </si>
  <si>
    <t>NC 2708 / 2026</t>
  </si>
  <si>
    <t>FOI OBSERVADO QUE, DIARIAMENTE, POR VOLTA DAS 06H:00MIN, A RESPONSÁVEL PELA FÁRMACIA DO CENTRO CIRÚRGICO SE AUSENTA DO SETOR SEM INFORMAR TEMPO DE AUSÊNCIA. ESSE HORÁRIO COINCIDE COM A ORGANIZAÇÃO DAS SALAS E A PREPARAÇÃO PARA O INICIO DOS PROCEDIENTOS CIRÚRGICOS ÀS 07H:00MIN, O QUE TORNA A PRESENÇA E/OU COMUNICAÇÃO DA FÁRMACIA ESSENCIAL PARA O BOM ANDAMENTO DO FLUXO DO SETOR. RESSALTA-SE QUE, EM UMA SITUAÇÃO DE EMERGÊNCIA, A AUSÊNCIA SEM COMUNICAÇÃO PODE SER PREJUDICIAL, UMA VEZ QUE PODE HAVER NECESSIDADE IMEDIATA DE ACESSO A MATERIAIS E MEDICAMENTOS, IMPACTANDO DIRETAMENTE A SEGURANÇA E A AGILIDADE DA ASSISTÊNCIA. DIANTE DISSO REFORÇO A IMPORTÂNCIA DE ALINHAMENTO QUANTO A COMUNICAÇÃO PRÉVIA DAS SAÍDAS DO SETOR, INFORMANDO PREVISÃO DE RETORNO, A FIM DE GARANTIR O BOM FLUXO DO SERVIÇO E A SEGURANÇA ASSISTENCIAL. NOTIFICO PARA MELHORIA DO PROCESSO.</t>
  </si>
  <si>
    <t>SOLICITAÇÃO FORA DO CRONOGRAMA DE ATENDIMENTO</t>
  </si>
  <si>
    <t>NC 2709 / 2026</t>
  </si>
  <si>
    <t>Realizada solicitação de detergente enzimático no sábado dia 17/01/2026 pela enfermeira plantonista, segundo ela o item não havia sido solicitado na quinta feira anterior conforme cronograma e a falta do item gerava risco ao andamento das cirurgias do fim de semana.
A demanda foi atendida pelo almoxarife do almoxarifado, porém gerou transtornos ao setor. 
realizada saída direto n° 4513492 conforme anexo</t>
  </si>
  <si>
    <t>lata de leite sem identificação</t>
  </si>
  <si>
    <t>NC 2710 / 2026</t>
  </si>
  <si>
    <t>recebo plantão diurno 19/01 com lata de leite sem identificação
toda lata ao ser aberta deve ser identificada com data e hora</t>
  </si>
  <si>
    <t>Reencape de Agulha</t>
  </si>
  <si>
    <t>NC 2711 / 2026</t>
  </si>
  <si>
    <t xml:space="preserve">Coordenação de Pessoal / SESMT </t>
  </si>
  <si>
    <t>Cleyvane Silva Brandao</t>
  </si>
  <si>
    <t>Durante uma inspeção, foi identificada não conformidade relacionada ao reencape de agulha realizada pela colaboradora M.S.F., prática não permitida conforme as normas de biossegurança vigentes. Tal conduta aumenta o risco de acidentes com material perfurocortante, podendo comprometer a segurança do profissional. Ressalta-se que, conforme a __NR-32 - item 32.2.4.15, "são vedados o reencape e a desconexão manual de agulhas"__, reforçando a necessidade do cumprimento dos protocolos institucionais e das boas práticas de segurança.</t>
  </si>
  <si>
    <t>NC 2712 / 2026</t>
  </si>
  <si>
    <t>Uso Calçado Aberto (Croc's)</t>
  </si>
  <si>
    <t>NC 2713 / 2026</t>
  </si>
  <si>
    <t>Durante a inspeção foi identificado colaborador  L.S.B. em atividade utilizando calçado aberto (Crocs), em desacordo com a __NR-32, item 32.2.4.5 __"que vedar o uso de calçados abertos.", que veda o uso desse tipo de calçado em serviços de saúde. Foi realizada orientação quanto à obrigatoriedade do uso de calçado fechado e apropriado para a função.</t>
  </si>
  <si>
    <t>NC 2714 / 2026</t>
  </si>
  <si>
    <t>NC 2715 / 2026</t>
  </si>
  <si>
    <t>Alta Hospitalar Pendente No Sistema MV</t>
  </si>
  <si>
    <t>NC 2716 / 2026</t>
  </si>
  <si>
    <t>Formalizo à recorrência de altas hospitalares pendentes no sistema MV, conforme relatório anexo, bem como ao não cumprimento do protocolo institucional de alta hospitalar.
A não formalização da alta no sistema, acarreta em:
Impacto negativo no giro de leitos;
Inconsistências no sistema de regulação, com registro de informações inverídicas;
Prejuízos ao fluxo das áreas de apoio, gerando retrabalho e atrasos operacionais.
Trata-se de não conformidade processual com impacto direto na gestão de leitos e na fidedignidade das informações institucionais.</t>
  </si>
  <si>
    <t>ALTAS HOSPITALARES PENDENTES NO MV</t>
  </si>
  <si>
    <t>NC 2717 / 2026</t>
  </si>
  <si>
    <t>PENDÊNCIA DE ALTA HOSPITALAR SISTEMA MV</t>
  </si>
  <si>
    <t>NC 2718 / 2026</t>
  </si>
  <si>
    <t>PENDÊNCIA DE ALTA HOSPITALAR - SISTEMA MV</t>
  </si>
  <si>
    <t>NC 2719 / 2026</t>
  </si>
  <si>
    <t>Utilização de Fios de Kirschner Recebidos na Transição entre prefeitura e ASELC -  Sem Nota Fiscal</t>
  </si>
  <si>
    <t>NC 2720 / 2026</t>
  </si>
  <si>
    <t>Informo que, durante o processo de transição entre a Prefeitura e a ASEL C, ocorrido no ano de 2023,
foi recebido um quantitativo de fios de Kirschner. Contudo, não foram disponibilizadas as respectivas
Notas Fiscais, impossibilitando o faturamento regular desses materiais.
Conforme orientação da Diretoria Geral e Administrativa, os referidos fios deverão ser utilizados até o
término do estoque atual, sendo mantido o envio dos formulários de gasto de OPME ao setor de
Faturamento, mesmo sem a apresentação das Notas Fiscais, para fins de controle interno e
rastreabilidade.
Fio Osso liso 3.5x300 MM
Lote em utilização é o seguinte:
Lote nº 6022/19
Anvisa: 80057410013
Fabricante: Traumedic</t>
  </si>
  <si>
    <t>OPME - Órteses Próteses e Materiais Especiais</t>
  </si>
  <si>
    <t>NC 2721 / 2026</t>
  </si>
  <si>
    <t>NC 2722 / 2026</t>
  </si>
  <si>
    <t>NC 2723 / 2026</t>
  </si>
  <si>
    <t xml:space="preserve">Não comunicação de entrada de visitantes. </t>
  </si>
  <si>
    <t>NC 2724 / 2026</t>
  </si>
  <si>
    <t>NO DIA 23/01/26 02 VISITANTES ENTRARAM NA UTI PARA VISITA HUMANIZADA DO PACIENTE DO LEITO 08, PORÉM RECEPÇÃO NÃO FEZ CONTATO TELEFONICO PARA INFORMAR A ENTRADA DOS MESMOS. 
POR VOLTA DE 12;50H, OS MESMOS CHEGARAM EMMOMENTO DE INTERCORRENCIA NA UTI PCR DE PACIENTE</t>
  </si>
  <si>
    <t>USO DE ADORNO</t>
  </si>
  <si>
    <t>NC 2725 / 2026</t>
  </si>
  <si>
    <t>MÉDICA PLANTONISTA USANDO ANEL GRANDE NA UTI</t>
  </si>
  <si>
    <t xml:space="preserve">USO DE ADORNO </t>
  </si>
  <si>
    <t>NC 2726 / 2026</t>
  </si>
  <si>
    <t>FISIOTERAPEUTA DO PLANTÃO NOTURNO EM USO DE ANEL NA UTI</t>
  </si>
  <si>
    <t>NOTIFICAÇÃO DE NÃO CONFORMIDADE / INCIDENTE ASSISTENCIAL</t>
  </si>
  <si>
    <t>NC 2727 / 2026</t>
  </si>
  <si>
    <t xml:space="preserve">Não conformidade início férias colaboradora </t>
  </si>
  <si>
    <t>NC 2728 / 2026</t>
  </si>
  <si>
    <t xml:space="preserve">Coordenação de Pessoal / Setor de Registros e Folha de Ponto </t>
  </si>
  <si>
    <t>Isaac Hernandes Paes Mendes</t>
  </si>
  <si>
    <t>Venho por meio desta notificar o Centro Cirúrgico em virtude a uma justificativa (em anexo) entregue ao Departamento Pessoal desta instituição na qual vem especificando que a colaboradora foi orientada pelo setor que suas férias teriam início no dia 11/01/2025, essa informação está incorreta as férias da colaboradora teve início no dia 15/01/2025 data que foi definida pela gerência da área conforme enviando por e-mail (em anexo) para que assim possamos emitir o aviso com 30 dias de antecedência ( em anexo).
Venho ressaltar que Departamento Pessoal não define férias, isso é responsabilidade da gestão de cada setor, os colaboradores são orientados a reforçar a data início e fim mediante assinatura do aviso e recibo, reforço que essa atenção seja redobrada para evitarmos situação semelhantes no futuro, evitando transtornos e retrabalho.
Sem mais.
Att;
Isaac Hernandes</t>
  </si>
  <si>
    <t>Setor de Registro e Folha de Pagamento</t>
  </si>
  <si>
    <t>ATRASO DE ALTA - SISTEMA MV</t>
  </si>
  <si>
    <t>NC 2729 / 2026</t>
  </si>
  <si>
    <t>Paciente MAMDS, atendimento 1528399, em alta óbito desde 25/01/2026 , as 19:37, ainda constando internada no sistema MV, por não receber alta hospitalar.
Não sendo cumprido o fluxo de alta em vigência, divulgado em 08/2025. 
Causando impacto nas áreas de apoio.</t>
  </si>
  <si>
    <t>Relato de Não Conformidade - Liberação de Dieta no Pronto Atendimento</t>
  </si>
  <si>
    <t>NC 2730 / 2026</t>
  </si>
  <si>
    <t>Não Efetivação da Alta Óbito no Sistema MV</t>
  </si>
  <si>
    <t>NC 2731 / 2026</t>
  </si>
  <si>
    <t>O paciente Z.S., atendimento 01545490, evoluiu a óbito no Centro Cirúrgico no dia 24/01 às 18h02. 
O prontuário clínico permaneceu sob guarda do Centro Cirúrgico, não tendo sido realizada a baixa de alta médica no sistema MV. Reitera-se que o Centro Cirúrgico, por não ser setor de internação, não possui competência para guarda e encaminhamento de prontuário diretamente ao SAME; cabe que o documento seja enviado ao setor de origem, já completo, para posterior conferência e encaminhamento ao SAME.
Em razão da ausência de regularização do prontuário, não foi possível realização do processo junto ao SAME, impossibilitando, até o presente momento, a liberação do documento aos familiares que compareceram à unidade solicitando o prontuário.
Anexos:
Arquivos comprobatórios referentes ao caso.
Observação:
O presente registro visa formalizar a situação, garantindo conformidade administrativa e documental, bem como amparo legal para eventual análise por auditoria interna ou setor jurídico.</t>
  </si>
  <si>
    <t>Registro incorreto da data de alta em prontuário</t>
  </si>
  <si>
    <t>NC 2732 / 2026</t>
  </si>
  <si>
    <t>Venho por meio desta notificar o setor responsável quanto à não conformidade no registro da data de alta, a qual não está sendo lançada de acordo com as informações constantes no prontuário do paciente.
Ressaltamos que o correto preenchimento da data de alta é essencial para as informações, continuidade do cuidado, faturamento e cumprimento das normas institucionais e legais.
Solicitamos, portanto, que o setor realize a adequação imediata dos registros, garantindo que a data de alta lançada no sistema esteja rigorosamente de acordo com o prontuário.
Pedimos atenção redobrada para evitar recorrência dessa inconformidade.</t>
  </si>
  <si>
    <t>ausência de notificação compulsória</t>
  </si>
  <si>
    <t>NC 2733 / 2026</t>
  </si>
  <si>
    <t>Informamos que foi identificada ausência de notificação compulsória referente a paciente atendida no Pronto Socorro no dia 24/01/2026, no período noturno, com diagnóstico de Violência Autoprovocada - tentativa de autoextermínio por ingestão de medicamentos.
Ressaltamos que, conforme a legislação vigente, os casos de violência autoprovocada e tentativa de suicídio são de notificação compulsória imediata, devendo a ficha correspondente ser preenchida no momento do atendimento, independentemente da evolução clínica da paciente.
A não realização da notificação compromete:
A vigilância epidemiológica do evento;
O monitoramento de agravos de interesse em saúde pública;
O acionamento oportuno da rede de atenção psicossocial.
Diante do exposto, solicitamos a regularização imediata da notificação, bem como o reforço das orientações à equipe assistencial quanto à obrigatoriedade e importância do preenchimento correto e oportuno das notificações compulsórias.
O NVEH permanece à disposição para apoio, esclarecimentos e orientação sempre que necessário.</t>
  </si>
  <si>
    <t>data de alta divergente</t>
  </si>
  <si>
    <t>NC 2734 / 2026</t>
  </si>
  <si>
    <t>Raimunda Ferreira Gois</t>
  </si>
  <si>
    <t>Venho por meio deste, informa que mais uma vez apareceu prontuários com a data de alta diferente no sistema MV e prontuário físico. Orientamos que assim que o paciente recebe alta seja fechado o prontuário  no sistema, pois o leito deve ser liberado e também o faturamento feito corretamente não pode fatura diárias a mais uma vez que o paciente não estava internando.</t>
  </si>
  <si>
    <t>PRONTUÁRIO SEM DOCUMENTOS DO PACIENTE</t>
  </si>
  <si>
    <t>NC 2735 / 2026</t>
  </si>
  <si>
    <t>Prontuários nº: 334765 (Suposto A. M.), encontra-se sem documentos pessoas do paciente, não sendo possível ser gerada sua autorização de internação e consequentemente impactará em seu processo de faturamento.</t>
  </si>
  <si>
    <t>Serviço Social</t>
  </si>
  <si>
    <t>FALTA EVOLUÇÃO DA EQUIPE DE ENFERMAGEM</t>
  </si>
  <si>
    <t>NC 2736 / 2026</t>
  </si>
  <si>
    <t>Os prontuários a seguir, encontram-se sem as devidas evoluções da equipe de enfermagem e de técnico de enfermagem.
Prontuários de Nº: 290139 (M. A. de J.) e N°: 335982 (K. B. S.), não contém nenhuma evolução em seu período de internação.
Prontuários de N°: 334976 (R. P. M.) e Nº: 317540 (E.R. C. da S.), possuem apenas uma evolução durante todo o seu período de internação.</t>
  </si>
  <si>
    <t>Não Conformidade na Identificação Patrimonial e Ausência de Componente para Reparo</t>
  </si>
  <si>
    <t>NC 2737 / 2026</t>
  </si>
  <si>
    <t>Durante o atendimento de uma Ordem de Serviço referente a uma cadeira fixa estofada, solicitada para reparo do encosto, foi identificado, tanto por meio de registro fotográfico quanto em verificação no local, que a plaqueta patrimonial havia sido removida do bem. Ademais, para a execução do reparo solicitado, seria indispensável a presença do encosto da cadeira, o qual não se encontrava no local. A equipe operacional tentou localizar os responsáveis pelo setor; contudo, não houve êxito, uma vez que ninguém tinha conhecimento do paradeiro do componente.</t>
  </si>
  <si>
    <t>preenchimento do partograma</t>
  </si>
  <si>
    <t>NC 2738 / 2026</t>
  </si>
  <si>
    <t>Venho, por meio desta, notificar que o setor do PAM não está realizando o preenchimento do partograma, conforme preconizado pelos protocolos assistenciais e pelas normas vigentes.
Ressalta-se que o partograma é um instrumento essencial para o acompanhamento do trabalho de parto, contribuindo para a segurança da gestante e do recém-nascido, bem como para a qualidade da assistência prestada.
Diante do exposto, solicitamos as devidas providências para a regularização imediata do preenchimento, bem como o reforço das orientações junto à equipe responsável.
Colocamo-nos à disposição para quaisquer esclarecimentos.</t>
  </si>
  <si>
    <t>paciente com alergia sem identificação</t>
  </si>
  <si>
    <t>NC 2739 / 2026</t>
  </si>
  <si>
    <t>Armazenamento inadequado de alimentos em setor crítico.</t>
  </si>
  <si>
    <t>NC 2740 / 2026</t>
  </si>
  <si>
    <t>Refere-se à conduta do médico plantonista, que manteve alimentos armazenados dentro do setor crítico da Sala Vermelha. Tal situação configura risco potencial à assepsia e à segurança do ambiente assistencial, sendo necessária avaliação e orientação quanto às boas práticas de biossegurança e ao correto armazenamento de alimentos em áreas críticas.</t>
  </si>
  <si>
    <t>NC 2741 / 2026</t>
  </si>
  <si>
    <t>Durante a inspeção foi identificado colaborador A.S.S. em atividade utilizando calçado aberto (Crocs), em desacordo com a NR-32, item 32.2.4.5 "que vedar o uso de calçados abertos.", que veda o uso desse tipo de calçado em serviços de saúde. Foi realizada orientação quanto à obrigatoriedade do uso de calçado fechado e apropriado para a função.</t>
  </si>
  <si>
    <t>NOTIFICAÇÃO DE NÃO CONFORMIDADE - NOTIFICAÇÃO COMPULSÓRIA</t>
  </si>
  <si>
    <t>NC 2742 / 2026</t>
  </si>
  <si>
    <t>Josiane de Lima Araujo</t>
  </si>
  <si>
    <t>Durante verificação de rotina realizada pela Vigilância Epidemiológica Hospitalar, identificou-se não conformidade no processo de notificação compulsória, caracterizada pela utilização de ficha de notificação desatualizada para registro do agravo de notificação compulsória.
Ressalta-se que o uso de fichas desatualizadas compromete a qualidade, a padronização e a fidedignidade das informações epidemiológicas, podendo impactar diretamente a vigilância, o monitoramento e a tomada de decisões em saúde pública.</t>
  </si>
  <si>
    <t>NC 2743 / 2026</t>
  </si>
  <si>
    <t>Durante análise das notificações compulsórias realizadas nesta unidade, a Vigilância Epidemiológica Hospitalar identificou não conformidade no processo de notificação, caracterizada por preenchimento inadequado e incompleto da ficha de notificação, bem como ausência de identificação do profissional responsável pelo registro.
Ressalta-se que a falta de informações essenciais e da identificação do notificador impossibilita a realização de busca ativa, validação dos dados e orientações oportunas à equipe assistencial, além de comprometer a qualidade da informação em saúde, contribuindo diretamente para o aumento da subnotificação e fragilizando as ações do NVEH;</t>
  </si>
  <si>
    <t>NOTIFICAÇÃO COMPULSÓRIA INCOMPLETA</t>
  </si>
  <si>
    <t>NC 2744 / 2026</t>
  </si>
  <si>
    <t>Durante a análise das notificações compulsórias realizadas,o NVEH identificou não conformidade no processo de notificação, caracterizada pelo preenchimento incompleto da ficha de notificação compulsória, com ausência de informações obrigatórias.
O preenchimento incompleto compromete a qualidade e a confiabilidade dos dados epidemiológicos, dificulta a investigação oportuna dos casos, a realização de busca ativa, além de contribuir para o aumento da subnotificação.</t>
  </si>
  <si>
    <t>NC 2745 / 2026</t>
  </si>
  <si>
    <t>Durante análise das notificações compulsórias realizadas nesta unidade,o NVEH identificou não conformidade no processo de notificação, caracterizada por preenchimento inadequado e incompleto da ficha de notificação, bem como ausência de identificação do profissional responsável pelo registro.
Ressalta-se que a falta de informações essenciais e da identificação do notificador impossibilita a realização de busca ativa, validação dos dados e orientações oportunas à equipe assistencial, além de comprometer a qualidade da informação em saúde, contribuindo diretamente para o aumento da subnotificação e fragilizando as ações do NVEH;</t>
  </si>
  <si>
    <t>NC 2746 / 2026</t>
  </si>
  <si>
    <t>Durante a análise das notificações compulsórias, foi identificada não conformidade no processo de notificação, caracterizada por preenchimento incompleto da ficha de notificação e ausência de assinatura e identificação do profissional notificante.
A ausência dessas informações compromete a qualidade dos dados epidemiológicos, impossibilita a realização de busca ativa e orientações à equipe, além de impactar negativamente as ações de vigilância, contribuindo para a subnotificação de agravos.</t>
  </si>
  <si>
    <t>Notificação compulsória realizada de forma inadequada</t>
  </si>
  <si>
    <t>NC 2747 / 2026</t>
  </si>
  <si>
    <t>Foi identificada notificação compulsória realizada de forma inadequada, com ausência do peso do paciente e de outras informações complementares obrigatórias, campos essenciais para a adequada avaliação clínica e epidemiológica do caso.
A falta dessas informações compromete a análise do agravo, o acompanhamento do caso, a definição de condutas terapêuticas, o monitoramento epidemiológico e a adoção de medidas oportunas de prevenção e controle, além de impactar negativamente a qualidade dos dados do sistema de informação.
Ressalta-se que o preenchimento completo, correto e legível das fichas de notificação compulsória é de responsabilidade do profissional notificante, conforme preconizado pelas normativas do Ministério da Saúde.</t>
  </si>
  <si>
    <t>NC 2748 / 2026</t>
  </si>
  <si>
    <t>Foi identificada notificação compulsória realizada de forma inadequada, contendo ausência de dados essenciais, tais como campos obrigatórios incompletos ou não preenchidos (ex.: identificação do paciente de forma completa)
A incompletude das informações compromete a análise epidemiológica, a investigação do caso, a realização de busca ativa, o monitoramento do agravo e a adoção de medidas oportunas de prevenção e controle, além de contribuir para subnotificação.
Ressalta-se que o preenchimento completo, legível e fidedigno das fichas de notificação compulsória é obrigatório, conforme normativas do Ministério da Saúde, sendo responsabilidade do profissional notificante.</t>
  </si>
  <si>
    <t>NC 2749 / 2026</t>
  </si>
  <si>
    <t>NOTIFICAÇÃO DE NÃO CONFORMIDADE - AUSÊNCIA DE DADOS PRIMORDIAIS NA FICHA DE NOTIFICAÇÃO</t>
  </si>
  <si>
    <t>NC 2750 / 2026</t>
  </si>
  <si>
    <t>Foi identificada notificação realizada de forma inadequada, apresentando ausência de dados primordiais, especialmente o peso do paciente, informação indispensável para a definição segura da dose de medicação, bem como a ausência do número do Cartão Nacional de Saúde (Cartão SUS e/ou CPF), dado essencial para a correta identificação do paciente, rastreabilidade do atendimento e registro adequado nos sistemas oficiais de informação em saúde.
A incompletude desses campos compromete a segurança do paciente, a tomada de decisão clínica, a qualidade da informação epidemiológica, o monitoramento do agravo e a adoção de medidas oportunas de prevenção e controle, além de contribuir para inconsistências e subnotificação nos sistemas de vigilância.
Ressalta-se que o preenchimento completo, correto e legível das fichas de notificação compulsória é obrigatório, sendo responsabilidade do profissional notificante, conforme normativas vigentes do Ministério da Saúde.</t>
  </si>
  <si>
    <t>Preenchimento incompleto</t>
  </si>
  <si>
    <t>NC 2751 / 2026</t>
  </si>
  <si>
    <t>Ficha de notificação apresentada sem registro do Cartão Nacional de Saúde (CNS) ou CPF do paciente e sem informação do peso, dados essenciais para a correta identificação do usuário, definição de condutas clínicas e cálculo seguro de doses medicamentosas.
O preenchimento inadequado compromete a qualidade da informação, dificulta a investigação epidemiológica, a rastreabilidade do caso e contribui para o risco assistencial, além de impactar negativamente a vigilância epidemiologica hospitalar.</t>
  </si>
  <si>
    <t>REENCHIMENTO INCOMPLETO DA FICHA DE NOTIFICAÇÃO</t>
  </si>
  <si>
    <t>NC 2752 / 2026</t>
  </si>
  <si>
    <t>Ficha de notificação apresentada com preenchimento incompleto e inadequado, sem dados essenciais, tais como a data de início dos primeiros sintomas, informação indispensável para a definição do tipo de teste diagnóstico a ser solicitado.
Observa-se ainda a não identificação do tipo de agravo, bem como inconsistências nos dados referentes à idade do paciente, comprometendo a fidedignidade das informações, a condução adequada do caso e a investigação epidemiológica.
O preenchimento incorreto e incompleto prejudica o NVEH, dificulta a análise epidemiológica e pode gerar atraso ou erro na conduta clínica, além de contribuir para subnotificação.</t>
  </si>
  <si>
    <t>NC 2753 / 2026</t>
  </si>
  <si>
    <t>PACIENTE SEM ALTA NO SISTEMA - UDC</t>
  </si>
  <si>
    <t>NC 2754 / 2026</t>
  </si>
  <si>
    <t>Paciente: GBDS
Unidade: UDC / Pronto-Socorro - HGP
Data da evasão: 06/01/2025
Descrição da Não Conformidade
O paciente GBDS evadiu da UDC em 06/01/2025, sem que houvesse registro de alta médica e, consequentemente, alta hospitalar no sistema MV, em desacordo com o protocolo institucional vigente.
Na data de hoje, o paciente retornou ao Pronto-Socorro, em crise convulsiva (SIC). No momento da recepção, não foi possível realizar a abertura de ficha, uma vez que o paciente ainda constava como internado no sistema, gerando atraso no fluxo assistencial.
Para viabilizar o atendimento, foi necessário aguardar a regularização da alta pelo NIR. Diante da urgência assistencial, a situação foi comunicada à Gerente Médica, Dra. Adriana, e procedeu-se à alta administrativa no sistema MV.
Impactos Identificados
?	Atraso no atendimento em situação de urgência/emergência;
?	Risco à segurança do paciente;
?	Falha no fluxo assistencial e administrativo;
?	Descumprimento do protocolo de alta hospitalar;
?	Estorno de medicamentos para a farmácia mantido em aberto, em decorrência da ausência de finalização adequada da alta.
Ressalta-se que esta não conformidade é recorrente nos setores, evidenciando fragilidade no cumprimento e monitoramento do protocolo institucional de alta hospitalar.</t>
  </si>
  <si>
    <t>Material Incompleto</t>
  </si>
  <si>
    <t>NC 2755 / 2026</t>
  </si>
  <si>
    <t>31/01/2026</t>
  </si>
  <si>
    <t>31/01/2026 as 16:00 Informamos que o setor do Expurgo recebeu um AMBU Néo proveniente da UCI em condições incompletas, estando sem a máscara e sem a via.
Ressaltamos a importância de que os materiais encaminhados para o expurgo sejam enviados completos, a fim de garantir a correta conferência, processamento e rastreabilidade dos itens, além de evitar intercorrências no fluxo de trabalho.
Solicitamos atenção da equipe quanto a essa orientação e pedimos que situações semelhantes sejam evitadas.</t>
  </si>
  <si>
    <t>data divergente</t>
  </si>
  <si>
    <t>NC 2756 / 2026</t>
  </si>
  <si>
    <t>Venho informa, que analisando o prontuário de numero 290192, para  fatura, foi visto que a data de óbito do paciente esta diferente no sistema MV e na DO (declaração de óbito ) sendo que foi declarado o óbito do paciente no dia 01/11/2025, e no dia 02/11/2025, O mesmo continuava internado.</t>
  </si>
  <si>
    <t xml:space="preserve"> Divergência na data de alta</t>
  </si>
  <si>
    <t>NC 2757 / 2026</t>
  </si>
  <si>
    <t>Ana Shirle Dias Lopes</t>
  </si>
  <si>
    <t>Venho por meio deste informar uma não conformidade relacionada à data de alta da paciente Andreza Aguiar Teixeira, prontuário nº 330740.
Conforme verificado no momento do faturamento no sistema MV, a alta por motivo de evasão consta na data de 23/12/2025. Entretanto, ao analisar o prontuário físico, foi identificado que a paciente evadiu-se em 07/12/2025.
Essa divergência gera lançamento de diárias indevidas, uma vez que o paciente não se encontrava mais internado no período registrado no sistema, impactando diretamente o cálculo correto das diárias.
Diante do exposto, solicita-se a verificação da situação e atenção no lançamento correto das datas de alta, a fim de evitar inconsistências no faturamento e nos cálculos de diárias.</t>
  </si>
  <si>
    <t>Divergência na data de alta</t>
  </si>
  <si>
    <t>NC 2758 / 2026</t>
  </si>
  <si>
    <t>Venho por meio deste informar uma não conformidade relacionada à data de alta da paciente Lorena Sena Aguiar, prontuário nº 330556.
Conforme verificado no momento do faturamento no sistema MV, a data de alta consta como 11/12/2025. Entretanto, ao analisar o prontuário físico, foi identificado que o óbito ocorreu em 04/12/2025, caracterizando divergência na data de encerramento da internação.
Tal inconsistência gera divergência nos registros e não está em conformidade com as normas vigentes, podendo impactar o correto cálculo e processamento do faturamento.
Diante do exposto, solicita-se a verificação da situação e atenção no lançamento correto das datas de alta no sistema.</t>
  </si>
  <si>
    <t>NC 2759 / 2026</t>
  </si>
  <si>
    <t>NC 2760 / 2026</t>
  </si>
  <si>
    <t xml:space="preserve">Registro de não conformidade - Divergência na data de altaRegistro de não conformidade - Divergência na data de alta </t>
  </si>
  <si>
    <t>NC 2761 / 2026</t>
  </si>
  <si>
    <t>Venho por meio deste informar uma não conformidade relacionada à data de alta da paciente MARIA DE FATIMA DOS SANTOS, prontuário nº 325884.
Conforme verificado no momento do faturamento no sistema MV, a data de alta consta como 12/01/2026. Entretanto, ao analisar o prontuário físico, foi identificado que o óbito ocorreu em 09/01/2026, caracterizando divergência na data de encerramento da internação.
Tal inconsistência gera divergência nos registros e não está em conformidade com as normas vigentes, podendo impactar o correto cálculo e processamento do faturamento.</t>
  </si>
  <si>
    <t xml:space="preserve">PREENCHIMENTO INCOMPLETO DE NOTIFICAÇÃO COMPULSÓRIA </t>
  </si>
  <si>
    <t>NC 2762 / 2026</t>
  </si>
  <si>
    <t>Realizo notificação por notificação compulsoria com preenchimento incompleto nos campos: 31,32,33,34, e informações complementares.</t>
  </si>
  <si>
    <t>NC 2763 / 2026</t>
  </si>
  <si>
    <t>NC 2764 / 2026</t>
  </si>
  <si>
    <t>FALTA DE EVOLUÇÃO DA EQUIPE DE ENFERMAGEM</t>
  </si>
  <si>
    <t>NC 2765 / 2026</t>
  </si>
  <si>
    <t>Os seguintes prontuários, encontram-se sem as devidas evoluções da equipe de enfermagem e de técnico de enfermagem.
Prontuário nº: 250765 (M. D. F. da S. D. - período de internação: 05/01/2026 - 07/01/2026) e nº: 338272 (R. L. da S. - período de internação: 25/01/2026 - 28/01/2026), possuem apenas uma evolução da equipe de enfermagem.
Prontuário nº: 159957 (J. B. N. P. - período de internação: 15/01/2026 - 16/01/2026) e nº: 288377 (S. G. R. da S. - período de internação: 24/01/2026 - 27/01/2026), não possuem nenhuma evolução da equipe de enfermagem.</t>
  </si>
  <si>
    <t>Uso de Adorno em Paciente Cirúrgico</t>
  </si>
  <si>
    <t>NC 2766 / 2026</t>
  </si>
  <si>
    <t>Maria Aparecida Barbosa Salomão</t>
  </si>
  <si>
    <t>Paciente encaminhado(a) para procedimento cirúrgico em uso de adorno, em desacordo com os protocolos institucionais de segurança do paciente e prevenção de infecção.
O fato foi identificado no momento da admissão no setor cirúrgico, sendo o adorno retirado antes da realização do procedimento, sem intercorrências ao paciente.</t>
  </si>
  <si>
    <t xml:space="preserve">mau uso de macas </t>
  </si>
  <si>
    <t>NC 2767 / 2026</t>
  </si>
  <si>
    <t>Tales Monteiro Castro</t>
  </si>
  <si>
    <t>Foi identificado durante manutenção marcas de mau uso, como amassados decorrentes de batidas com paredes e obstáculos que causaram danos estruturais na maca de transporte, impossibilitando seu uso para atendimento e sendo uma problemática recorrente, através desse chamado busco reiterar junto aos responsáveis pela equipe de transporte de pacientes, que seja fiscalizada de melhor forma o manuseio dos equipamentos vista importância destes nas atividades cotidianas, evitando suas ausências por reparos ou a inservibilidade (descarte) .segue imagens em anexo:</t>
  </si>
  <si>
    <t>Acionamento para Alta paciente não estava pronto</t>
  </si>
  <si>
    <t>NC 2768 / 2026</t>
  </si>
  <si>
    <t>Elane Cristina Bendelack Barbosa Fernandes</t>
  </si>
  <si>
    <t>A enfermeira Milcar solicitou o acionamento dos maqueiros para a busca de 06 (seis) altas, mobilizamos 3 maqueiros para descer ao setor todos juntos.
Ao chegarem ao local, os pacientes não estavam prontos para alta, o que ocasionou a permanência dos maqueiros aguardando no setor, gerando tempo ocioso e impacto no fluxo do serviço</t>
  </si>
  <si>
    <t>Entrega de Materiais Fora do Horário Administrativo</t>
  </si>
  <si>
    <t>NC 2769 / 2026</t>
  </si>
  <si>
    <t>Observamos que os pedidos setoriais têm sido entregues frequentemente fora do horário administrativo, muitas vezes à noite. Reforço que a equipe responsável permanece no setor até 17:00h para receber e conferir os materiais.
Quando os pedidos são entregues fora deste horário, não há profissional disponível para conferência, e os materiais acabam sendo armazenados temporariamente em local inadequado (COPA), sem conferência formal, aumentando o risco de extravios ou perdas.
Diante disso, solicito que seja estabelecido um cronograma de entregas que garanta a chegada dos materiais dentro do horário de atendimento da equipe, prevenindo falhas e promovendo maior segurança e organização no processo.</t>
  </si>
  <si>
    <t>FALTA DE INSUMO NO ALMOXERIFADO</t>
  </si>
  <si>
    <t>NC 2770 / 2026</t>
  </si>
  <si>
    <t>Lourrane Pereira Luze</t>
  </si>
  <si>
    <t>Informamos que foi solicitado ao setor de Almoxerifado no dia 03/02/26 material destinado à CME (Manta de 100), porém o item não constou no pedido entregue. Após verificação, foi informado no dia 04/02/26 pelo Almoxerifado que o referido material não se encontrava disponível em estoque no momento da solicitação, impactando diretamente o processo de empacotamento da CME, uma vez que se trata de material de uso frequente no setor.</t>
  </si>
  <si>
    <t xml:space="preserve">FALTA DE INSUMO NO ALMOXERIFADO </t>
  </si>
  <si>
    <t>NC 2771 / 2026</t>
  </si>
  <si>
    <t>Informamos que foi solicitado ao setor de Almoxerifado no dia 03/02/26 material destinado à CME (compressa cirúrgica não esteril), porém o item não constou no pedido entregue. Após verificação, foi informado no dia 04/02/26 pelo Almoxerifado que o referido material não se encontrava disponível em estoque no momento da solicitação, impactando diretamente o processo de empacotamento da CME, uma vez que se trata de material de uso frequente no setor.</t>
  </si>
  <si>
    <t>FALTA DE CNS NO CADATSRO DO PACIENTE.</t>
  </si>
  <si>
    <t>NC 2772 / 2026</t>
  </si>
  <si>
    <t>Fernando Ribeiro Veras</t>
  </si>
  <si>
    <t>Informamos que foi identificada a ausência e/ou inconsistência da informação referente ao Cartão Nacional de Saúde (CNS) no cadastro do paciente.
Solicitamos, por gentileza, a verificação e atualização do dado no sistema, a fim de garantir a conformidade do cadastro e a correta continuidade dos atendimentos e registros assistenciais.
Caso o paciente ainda não possua CNS, orientamos que sejam adotados os procedimentos cabíveis para regularização.</t>
  </si>
  <si>
    <t>NC 2773 / 2026</t>
  </si>
  <si>
    <t>Paciente encaminhado ao centro com adorno</t>
  </si>
  <si>
    <t>NC 2774 / 2026</t>
  </si>
  <si>
    <t>Relata-se que o paciente foi encaminhado ao centro portando adornos, em desacordo com os protocolos institucionais de segurança e assistência.
Ressalta-se que a presença de adornos pode representar risco ao paciente e à equipe, além de não estar conforme as normas vigentes.
A situação foi identificada no momento da chegada ao setor, e as providências cabíveis foram adotadas.</t>
  </si>
  <si>
    <t>NC 2775 / 2026</t>
  </si>
  <si>
    <t xml:space="preserve">PRONTUARIOS COM ALTAS DIVERGENTES </t>
  </si>
  <si>
    <t>NC 2776 / 2026</t>
  </si>
  <si>
    <t>Leydaiane Alves Oliveira Queiroz</t>
  </si>
  <si>
    <t>FOI INDENFICADO QUE OS PRONTUARIOS FISICO E NO MV  A SEGUIR ESTAO COM   DIVERGRNCIA , SENDO QUE A ALTA DA MAE COM RECEM NASCIDO NAO PODE SER ALTA MELHORADA UMA VEZ QUE O SISTEMA DE FATURAMENTO NAO ACEITA . E QUE ISSO ESTA   ACONTECENDO COM FREQUENCIA. UMA VEZ QUE NAO PODEMOS IFORMAR AO MISTERIOS DA SAUDE COM ALTA DIFERENTE.
AHI:152510382793-0     AIH:152510906873-6      AIH:152510906994-6   AIH:152510906936-3       AIH:152510907200-3    AIH:152510907483-0    AIH:152510907898-8
AHI:152510907067-2     AIH:152510906938-5      AIH:152510906997-9    AIH:152510907261-9      AIH:152510906966-0    AH:152510907215-7     AIH:152510907566-6
AIH:152510382773-1     AIH:152510907171-7      AIH:152510382341-1    AIH:152510906811-0      AIH:152510907038-6    AIH:152510907199-2    AIH:152510907905-4
AIH:152510907897-7     AIH:152510382007-5      AIH:152510381880-0    AIH:152510382823-7      AIH:152510907333-4    AIH:152510907902-1</t>
  </si>
  <si>
    <t>DEVOLUÇÃO MEDICAMENTOS UNIDADE DE INTERNAÇÃO UTI ADULTO</t>
  </si>
  <si>
    <t>NC 2777 / 2026</t>
  </si>
  <si>
    <t>NO DIA 02/02/2026, REALIZADO DEVOLUÇÃO DE MEDICAMENTOS EM ESTOQUE (20 ITENS) DA UNIDADE DE INTERNAÇÃO UTI ADULTO, VIA MEMORANDO (ITENS LISTADO CONSTA ERROS (MORFINA 10 MG - 1 ML - 1 UNID - VEIO NO FÍSICO E NÃO NA LISTA), OMEOPRAZOL 40 MG  INJ. VEIO SEM DILUENTE) . 
VISTO QUE A ORIENTAÇÃO  A SEGUIR DE  DEVOLUÇÕES DE ITENS NÃO UTILIZADOS PELO PACIENTE, DEVEM SER DIARIAMENTE E VIA SISTEMA, E ANTES QUE O USUÁRIO SEJA REMOVIDO DO SISTEMA ( EM CONDIÇÕES DE ALTA HOSPITALAR). 
O PROCESSO DE DEVOLUÇÃO CORRETAMENTE NOS GARANTEM  A VERACIVIDADE DE ESTOQUES FÍSICO E SISTEMA E NÃO IMPLICA EM RESOLUÇOES DE INVETÁRIO DOS PRODUTOS, O QUAL DEMANDA DE AUTORIZAÇÃO PARA TAL  AÇÃO.
SEGUE ABAIXO OS ANEXO.</t>
  </si>
  <si>
    <t>BANDEIRA FALTANDO INSTRUMENTAL  2 PINÇAS ( CRILLE)</t>
  </si>
  <si>
    <t>NC 2778 / 2026</t>
  </si>
  <si>
    <t>Maria Edileida Pinheiro Baia</t>
  </si>
  <si>
    <t>BANDEIRA FALTANDO INSTRUMENTAL  2 PINÇAS ( CRILLE)
EQUIPE 
TEC : ANTONIA LEÃO, LOURDES ANDRADE,  JOSELI ANDRADE, ENFA MAIANE</t>
  </si>
  <si>
    <t>Devolução de maleta com ampolas quebradas e sujas</t>
  </si>
  <si>
    <t>NC 2779 / 2026</t>
  </si>
  <si>
    <t>Aline Stefany Oliveira Rodrigues</t>
  </si>
  <si>
    <t>No dia 24/01/2026 houve uma devolução pela manhã de uma maleta de anestesia do centro cirúrgico com ampolas quebradas, uso do paciente D.S.B. 
Sendo que o processo de devolução de maletas conforme o protocolo não devem vir com ampolas quebradas e nem sujas para que não ocorra incidente com o colaborador.</t>
  </si>
  <si>
    <t>Falta de itens no carro de emergência</t>
  </si>
  <si>
    <t>NC 2780 / 2026</t>
  </si>
  <si>
    <t>No dia 22/01/2026 foi feito a auditoria farmacêutica mensal no carro de emergência estoque 127- CGO, Observado a ausência dos itens:
Tubo endotraqueal 2,5
Tubo endotraqueal 3,0
Tubo endotraqueal 4,5
Faltando 2(dois) unidades de cada tubo no físico, sendo que no sistema constava.
Visto que o protocolo de reposição do carro de emergência é realizado após a entrega do check list identificando os itens para reposição, e os itens não foram identificados em nenhuma reposição do carro.
E não foi informado a farmácia a falta de itens do carro.</t>
  </si>
  <si>
    <t>Materiais Incompletos</t>
  </si>
  <si>
    <t>NC 2781 / 2026</t>
  </si>
  <si>
    <t>Informamos que, no plantão noturno do dia 05/02/2026, o setor da UTI entregou ao CME materiais incompletos, conforme descrito abaixo:
01 Ambu adulto sem a respectiva máscara;
01 kit de nebulização sem a máscara;
01 circuito de anestesia sem conector, ou, alternativamente, as traqueias podem ser de macro nebulização, porém faltando os frascos e a máscara.
Segue foto em anexo.</t>
  </si>
  <si>
    <t>NC 2782 / 2026</t>
  </si>
  <si>
    <t>Informamos que, no dia 05/02/2026, durante o plantão noturno, o Pronto Socorro entregou ao CME um espaçador incompleto faltando a base. Segue foto em anexo.</t>
  </si>
  <si>
    <t>NC 2783 / 2026</t>
  </si>
  <si>
    <t>Informamos que, no dia 05/02/2026, durante o plantão noturno, o setor da UTI entregou ao CME um frasco de aspiração a vácuo faltando a bóia de segurança, item essencial para evitar o transbordamento de líquidos. Segue foto em anexo.</t>
  </si>
  <si>
    <t xml:space="preserve">Não realizado o gasto de Uso de OPME pela equipe do centro cirúrgico </t>
  </si>
  <si>
    <t>NC 2784 / 2026</t>
  </si>
  <si>
    <t>No dia 04/02/2026, foi utilizado OPME para a realização de procedimento cirúrgico. No entanto, a equipe do Centro Cirúrgico realizou apenas o preenchimento da folha de rascunho, não sendo efetuado o lançamento do gasto no sistema MV, tampouco houve comunicação à equipe de OPME para a confecção do formulário no mesmo dia.
O procedimento teve início às 18h10 e término às 18h25. Ressalta-se que, conforme acordado em reunião prévia, as cirurgias realizadas após as 14h00 ficam sob responsabilidade da equipe do Centro Cirúrgico quanto à confecção do gasto.
Destaca-se ainda que o supervisor do Centro Cirúrgico não foi comunicado e não tinha ciência da existência deste gasto pendente.
Somente no dia 06/02/2026, o gasto do paciente foi devidamente lançado no sistema Soul MV pela equipe de OPME, após identificação da pendência.
Prontuário: 339671</t>
  </si>
  <si>
    <t xml:space="preserve">Paciente não estava pronto para ser trasnportado </t>
  </si>
  <si>
    <t>NC 2785 / 2026</t>
  </si>
  <si>
    <t>Técnica de enfermagem Mirela e a maqueira Izadora foram acionadas para realizar o transporte de um paciente no Centro Cirúrgico.
Ao chegarem ao setor, verificaram que o paciente não se encontrava pronto para saída, permanecendo no local por mais de 5 minutos aguardando liberação.
Após esse período, ao acionarem a equipe do setor, foram informadas de que o paciente ainda não estava apto para transporte. Diante dessa informação e visando não comprometer o atendimento de outras demandas assistenciais, a técnica de enfermagem e a maqueira se deslocaram para atender outras solicitações do serviço.</t>
  </si>
  <si>
    <t xml:space="preserve">QUEBRA DE PROTOCOLO DE FLUXO DE ACOLHIMENTO DE ÓBITO. </t>
  </si>
  <si>
    <t>NC 2786 / 2026</t>
  </si>
  <si>
    <t>No acolhimento de óbito do paciente C.A.G.S, setor da UTI,  estavam presente a filha, o filho, a ex-companheira, a irmã e uma amiga da família após a notícia dada pelo médico responsável, alguns familiares saíram da sala de acolhimento e se dirigiram a recepção geral e ficaram apenas o filho e a amiga da família para as devidas orientações sobre os documentos para fins de registro cartoriais e sobre o protocolo de reconhecimento de corpo no necrotério, onde os familiares vão acompanhados dos profissionais de serviço social e psicologia para realizar o reconhecimento, foi orientado ao familiar que para ir ao necrotério seria levado o familiar que estivesse estabilizado emocionalmente, o familiar concordou que seria somente ele que iria por estar, em condições emocionais para realizar o reconhecimento. Mas a profissional de psicologia retornou da recepção geral informando que os demais familiares estavam querendo ir ao necrotério também, foi informado a psicóloga que o familiar havia recebido a orientação que seria levado o familiar que estivesse em condições emocionais e que havia dito que somente ele iria acompanhado das profissionais. Neste momento a psicóloga informou era um direito dos demais familiares irem no necrotério que iria na recepção chamar a filha e o irmão do paciente para irem também. Nesse momento os demais familiares cerca de 10 pessoas que estavam na recepção entraram junto com a psicóloga e foram em direção ao necrotério para fazerem o reconhecimento. Importante ressaltar que uma avaliação já havia sido realizada das condições familiares e acordado com um único membro familiar a ida ao necrotério, pontuo que no necrotério a família ficou muito mobilizada agarrando se ao corpo e muito chorosos.</t>
  </si>
  <si>
    <t>Psicologia</t>
  </si>
  <si>
    <t>NC 2787 / 2026</t>
  </si>
  <si>
    <t>regularização de criança para setor errado.</t>
  </si>
  <si>
    <t>NC 2788 / 2026</t>
  </si>
  <si>
    <t>Notifico o setor de internação/NIR acerca da regulação indevida de criança de apenas 4 anos para este setor de internação. Setor prontamente comunicado para ajuste imediato do erro.</t>
  </si>
  <si>
    <t>Material Danificado</t>
  </si>
  <si>
    <t>NC 2789 / 2026</t>
  </si>
  <si>
    <t>Informamos que, no plantão diurno do dia 07/02/2026, o setor da UTI encaminhou ao CME uma lâmina de laringoscópio n º 05 danificada faltando a lâmpada. No momento existe apenas 1 lâmina nessa númeração no setor, portanto, ressaltamos a importância de que os materiais sejam enviados completos e em condições adequadas, a fim de garantir a segurança do processo e evitar intercorrências na assistência ao paciente. Segue foto em anexo.</t>
  </si>
  <si>
    <t>NC 2790 / 2026</t>
  </si>
  <si>
    <t xml:space="preserve">falha na comunicação entre setor </t>
  </si>
  <si>
    <t>NC 2791 / 2026</t>
  </si>
  <si>
    <t>Bom dia ! No dia 07/02/26 houve transferência de uma paciente do ps para o pam, onde a paciente estava com hb de 3,2 a mesma estava somente com um acesso que estava infiltrado, não houve alinhamento com a agencia transfusional sobre a necessidade de transfusão da paciente, dessa forma ocorrendo demora para a paciente iniciar a transfusão. Solicito que em caso de transferência de paciente critico seja informado as enfermeiras do setor sobre real situação do caso e priorize organizar de forma oportuna os cuidados com  paciente.</t>
  </si>
  <si>
    <t>Incompatibilidade de datas</t>
  </si>
  <si>
    <t>NC 2792 / 2026</t>
  </si>
  <si>
    <t>A data registrada no sistema (05/12/2025 a 12/12/2025) não condiz com a ordem cronológica dos atendimentos/evolução clínica verificada em 05/12/2025 a 06/12/2025. Solicitamos que fiquem atentos aos próximos para que não venha acontecer novamente.</t>
  </si>
  <si>
    <t>ALTAS HOSPITALARES PENDENTES NO SISTEMA MV</t>
  </si>
  <si>
    <t>NC 2793 / 2026</t>
  </si>
  <si>
    <t>ALTAS PENDENTES ENTRE 01/02/2026 A 09/08/2026
Reitero que o não cumprimento da rotina estabelecida de Alta Hospitalar, impacta diretamente no atendimento ao paciente (caso necessite voltar a ser atendido no PS) e nos setores de apoio como nutrição e farmácia. Outros impactos são:
* Prestação de contas ao munícipio.
* Glossa de prontuário devido a permanência indevida.
* Indicadores de Qualidade que não demonstram a realidade da instituição.
* Demora no giro de leito.</t>
  </si>
  <si>
    <t>ALTAS HOSPITALRES PENDENTES NO SISTEMA MV</t>
  </si>
  <si>
    <t>NC 2794 / 2026</t>
  </si>
  <si>
    <t>ALTAS PENDENTES ENTRE 01/02/2026 A 09/08/2026
Reitero que o não cumprimento da rotina estabelecida de Alta Hospitalar, impacta diretamente no atendimento ao paciente (caso necessite voltar a ser atendido no PS) e nos setores de apoio como nutrição e farmácia. Outros impactos são:
* Prestação de contas ao munícipio.
* Glossa de prontuário devido a permanência indevida.
* Indicadores de Qualidade que não demonstram a realidade da instituição.
* Demora no giro de leito.</t>
  </si>
  <si>
    <t xml:space="preserve">ALTAS HOSPITALARES PENDENTES NO SISTEMA MV </t>
  </si>
  <si>
    <t>NC 2795 / 2026</t>
  </si>
  <si>
    <t>NC 2796 / 2026</t>
  </si>
  <si>
    <t xml:space="preserve">Não realização de avaliação de eficácia do treianamento - PCR Ritmos chocáveis </t>
  </si>
  <si>
    <t>NC 2797 / 2026</t>
  </si>
  <si>
    <t xml:space="preserve">Coordenação de Gestão de Pessoas / NEP - Núcleo de Educação Permanente </t>
  </si>
  <si>
    <t>O treinamento de PCR - Ritmos Chocáveis, realizado nos dias 11 e 12/09/2025, teve como método de avaliação de eficácia a observação prática da condução das RCPs, no período de 3 meses.
O resultado dessa avaliação deveria ter sido concluído e formalizado até o dia 15/01/2026; entretanto, não houve retorno quanto à ação aberta dentro do prazo estabelecido.
Diante do exposto, fica registrada a notificação para fins de melhoria do processo e alinhamento da equipe, reforçando a importância do cumprimento dos prazos e do retorno das ações relacionadas às avaliações de eficácia dos treinamentos.</t>
  </si>
  <si>
    <t>pedido fora de cronograma</t>
  </si>
  <si>
    <t>NC 2798 / 2026</t>
  </si>
  <si>
    <t>Maicon Carvalho Tavares</t>
  </si>
  <si>
    <t>Foi solicitado uma fita adesiva dupla face, cód.: 14962, fora do cronograma habitual, quarta - feira</t>
  </si>
  <si>
    <t>Não realização de avaliação de eficácia do treianamento - Prevenção e Controle de Infecção relacionada ao uso de cateteres e dispositivos invasivos</t>
  </si>
  <si>
    <t>NC 2799 / 2026</t>
  </si>
  <si>
    <t>O treinamento de Prevenção e Controle de Infecção relacionada ao uso de cateteres e dispositivos invasivos , realizado nos dias 09 e 10/09/2025, teve como método de avaliação de eficácia o Acompanhamento e manutenção dos bundles no período de 3 meses.
O resultado dessa avaliação deveria ter sido concluído e formalizado até o dia 15/01/2026; entretanto, não houve retorno quanto à ação aberta dentro do prazo estabelecido.
Diante do exposto, fica registrada a notificação para fins de melhoria do processo e alinhamento da equipe, reforçando a importância do cumprimento dos prazos e do retorno das ações relacionadas às avaliações de eficácia dos treinamentos.</t>
  </si>
  <si>
    <t>Não realização de avaliação de eficácia do treinamento -  Boas práticas de organização e armazenagem no patrimônio</t>
  </si>
  <si>
    <t>NC 2800 / 2026</t>
  </si>
  <si>
    <t>O treinamento de  Boas práticas de organização e armazenagem no patrimônio , realizado no dia 24/11/2025, teve como método de avaliação de eficácia o Acompanhamento da rotina dos colaboradores - 30 dias após.
O resultado dessa avaliação deveria ter sido concluído e formalizado até o dia 15/01/2026; entretanto, não houve retorno quanto à ação aberta dentro do prazo estabelecido.
Diante do exposto, fica registrada a notificação para fins de melhoria do processo e alinhamento da equipe, reforçando a importância do cumprimento dos prazos e do retorno das ações relacionadas às avaliações de eficácia dos treinamentos.</t>
  </si>
  <si>
    <t>Não realização da avaliação de eficácia do treinamento - HEMOVIGILÂNCIA NO PROCESSO DE ADMINISTRAÇÃO DE TRANSFUSÃO DE HEMOCOMPONENTES</t>
  </si>
  <si>
    <t>NC 2801 / 2026</t>
  </si>
  <si>
    <t>O treinamento de  HEMOVIGILÂNCIA NO PROCESSO DE ADMINISTRAÇÃO DE TRANSFUSÃO DE HEMOCOMPONENTES, realizado nos dias 07 e 08/11/2025, teve como método de avaliação de eficácia prática para mensurar o aprendizado e a aplicação dos conhecimentos adquindos 
Critérios: 
Participação e desempenho durante a demonstração pratica; .
O resultado dessa avaliação deveria ter sido concluído e formalizado até o dia 15/01/2026; entretanto, não houve retorno quanto à ação aberta dentro do prazo estabelecido.
Diante do exposto, fica registrada a notificação para fins de melhoria do processo e alinhamento da equipe, reforçando a importância do cumprimento dos prazos e do retorno das ações relacionadas às avaliações de eficácia dos treinamentos.</t>
  </si>
  <si>
    <t>ALTA HOSPITALAR DO PACIENTE NO SISTEMA</t>
  </si>
  <si>
    <t>NC 2802 / 2026</t>
  </si>
  <si>
    <t>Thalyane Rodrigues Sampaio</t>
  </si>
  <si>
    <t>Paciente M. D. D. M, com o nº do prontuário 192139 é __admitida no dia__ __27/12/2025 e recebe Alta Hospitalar dia 06/01/2026__, a equipe responsável não deram a alta no Sistema MV e o mesmo segue internado. 
No dia 14/01/2026 o mesmo paciente retorna ao hospital, ao invés de ter encerrado a internação anterior, deram então a continuidade ao tratamento  do paciente, 
Foram __8 dias com paciente ausente e o leito ocupado no sistema__.
O período da 2ª internação do paciente é do dia __14/01/2026 a 26/01/2026 __e NOVAMENTE a equipe falha na alta do paciente. 
Paciente recebe alta dia 26/01/2026 e no sistema somente dia 02/02/2026 __(por 6 dias o leito é ocupado no sistema)__.</t>
  </si>
  <si>
    <t xml:space="preserve">Não realização da avaliação de eficácia - Meta 01 Identificação correta do paciente </t>
  </si>
  <si>
    <t>NC 2803 / 2026</t>
  </si>
  <si>
    <t>O treinamento de Meta 01 - Identificação correta dos paciente , realizado nos dias 10 a 13/06/2025, teve como método de avaliação de eficácia aumentar a Adesão Meta1 de Segurança do Paciente em 30% num período de seis meses após o treinamento (Auditorias in loco).
O resultado dessa avaliação deveria ter sido concluído e formalizado até o dia 15/01/2026; entretanto, não houve retorno quanto à ação aberta dentro do prazo estabelecido.
Diante do exposto, fica registrada a notificação para fins de melhoria do processo e alinhamento da equipe, reforçando a importância do cumprimento dos prazos e do retorno das ações relacionadas às avaliações de eficácia dos treinamentos.</t>
  </si>
  <si>
    <t>Troca do código do procedimento</t>
  </si>
  <si>
    <t>NC 2804 / 2026</t>
  </si>
  <si>
    <t>Coordenação de Internação / SPP - Serviço de Prontuário do Paciente</t>
  </si>
  <si>
    <t>Cristiane Marques Santana</t>
  </si>
  <si>
    <t>O prontuário nº 221564, referente ao paciente M.A.L., internado em 27/09/2025, registra a realização de dois procedimentos em datas diferentes, porém com o mesmo código. O procedimento já foi autorizado pelo DIRCA e o prontuário foi encaminhado ao setor de Faturamento, porém retornou com pendência para o setor de Clínica Médica.
A auditora do setor informou que é necessária a troca do código do procedimento; entretanto, não foi indicado qual código deverá ser utilizado. Ressalto que o prontuário já se encontra autorizado e, no momento, não há respaldo para contato com o médico responsável a fim de solicitar a alteração do código do procedimento.</t>
  </si>
  <si>
    <t>NC 2805 / 2026</t>
  </si>
  <si>
    <t>Em 23/01/2026, foi identificado o profissional Dr. Carlos Machado em uso de adorno durante o exercício de suas atividades assistenciais, em desacordo com a Norma Regulamentadora NR-32, que dispõe sobre a segurança e saúde no trabalho em serviços de saúde.</t>
  </si>
  <si>
    <t xml:space="preserve">Assedio moral </t>
  </si>
  <si>
    <t>NC 2806 / 2026</t>
  </si>
  <si>
    <t>Gessilene Alves Dos Santos Mendes</t>
  </si>
  <si>
    <t>No dia 01 de fevereiro de 2026, por volta das 13h00, dirigi-me ao Núcleo Interno de Regulação (NIR) para realizar a entrega de documentos institucionais. No local, fui abordada pela senhora Janaína, gerente de setor, que iniciou a interação com tom aparentemente cordial, porém utilizando palavras ambíguas, com intenção implícita de constrangimento.
Diante da abordagem e da forma como a comunicação foi conduzida, houve impacto emocional imediato, gerando sentimento de constrangimento, abalo moral, sensação de ameaça velada, exposição indevida diante de terceiros, além de percepção de assédio moral.
A referida profissional proferiu a seguinte fala: "Quando a senhora vier da próxima vez, por favor, bata e aguarde na porta que alguém irá atendê-la, pois este é um local restrito." Diante disso, questionei que sou colaboradora da instituição; ainda assim, a senhora Janaína reiterou que, mesmo sendo colaboradora, o setor seria restrito.
Informei que, durante todo o período em que atuo na instituição, nunca houve orientação prévia quanto à necessidade de permanecer fora do setor aguardando atendimento. Apesar disso, a senhora Janaína repetiu que todos os setores seriam restritos e que não seria necessário adentrar o espaço, uma vez que o atendimento poderia ocorrer na porta do setor.
Ressalta-se que a entrega de documentos no referido setor ocorre com a finalidade de facilitar o fluxo de trabalho, especialmente no que se refere à identificação correta de pacientes que dão entrada no hospital como supostos ou sem identificação civil no momento da admissão, sendo prática adotada rotineiramente para garantir maior efetividade e segurança no processo.</t>
  </si>
  <si>
    <t>AUSÊNCIA DE INTEGRADOR BIOQUIMICO EM PERFURADOR</t>
  </si>
  <si>
    <t>NC 2807 / 2026</t>
  </si>
  <si>
    <t>NO DIA 11/02/2026, DURANTE A ABERTURA DO MATERIAL, FOI IDENTIFICADO QUE O PERFURADOR ENCONTRAVA-SE SEM INTEGRADOR BIOQUIMICO. O MATERIAL FOI IMEDIATAMENTE RETIRADO E ENCAMINHADO AO CME, COMUNICADO À SUPERVISÃO.</t>
  </si>
  <si>
    <t xml:space="preserve">Instrumental cirúrgico danificado </t>
  </si>
  <si>
    <t>NC 2808 / 2026</t>
  </si>
  <si>
    <t>Corresponsável Qualidade</t>
  </si>
  <si>
    <t>Dia 09/02/2026 instrumental danificado, onde equipe não soube informar onde o mesmo foi danificado. Este material é consignado de fornecedor externo. O instrumental foi retirado da caixa cirurgia e fornecedor notificado para realizar a troca do mesmo ou manutenção corretiva. Caixa de pequenos fragmentos bloqueada 3.5 MM. Patrimônio: 7621</t>
  </si>
  <si>
    <t xml:space="preserve">Não preenchimento correto do Formulário de uso de OPME </t>
  </si>
  <si>
    <t>NC 2809 / 2026</t>
  </si>
  <si>
    <t>Não preenchimento correto pela equipe cirúrgica do Formulário de uso de OPME, sendo que foi utilizado 12 parafusos (RX em Anexo) e no formulário estava descrito 10 unidades de parafusos (gasto de uso de OPME em Anexo) . 
Data da cirurgia: 09/02/2026
Prontuário: 340167</t>
  </si>
  <si>
    <t>Não preenchimento correto do Formulário de uso de OPME</t>
  </si>
  <si>
    <t>NC 2810 / 2026</t>
  </si>
  <si>
    <t>Não preenchimento correto pela equipe cirúrgica do Formulário de uso de OPME, sendo que foi utilizado 10 parafusos (RX em Anexo) e no formulário estava descrito 09 unidades de parafusos (gasto de uso de OPME em Anexo) .
Data da cirurgia: 29/01/2026
Prontuário: 338568</t>
  </si>
  <si>
    <t xml:space="preserve">Localizadas duas cadeiras </t>
  </si>
  <si>
    <t>NC 2811 / 2026</t>
  </si>
  <si>
    <t>Durante uma auditoria patrimonial, foram localizadas duas cadeiras fixas em polipropileno, cuja as localidades não corresponde ao setor, uma delas com o numero de patrimônio 202042 corresponde a ala psicossocial e o outro numero de patrimônio 202036 corresponde ao pronto atendimento materno (PAM).</t>
  </si>
  <si>
    <t>NAO CONFORMIDADE</t>
  </si>
  <si>
    <t>NC 2812 / 2026</t>
  </si>
  <si>
    <t>A DATA  REGISTRADA NO  SISTEMA  (02/12/2025 A 12/12/2025) NAO CONDIZ COM A ORDEM CRONOLOGICA DOS ATENDIMENTOS/EVOLUCAO CLINICA VERIFACADA EM 02/12/2025 A 04/12/2025. 
SOLICITAMOS QUE FIQUE ATENTOS AOS PROXIMOS PARA QUE NAO ACORRA O MESMO PROBLEMA NOVAMENTE.</t>
  </si>
  <si>
    <t>NC 2813 / 2026</t>
  </si>
  <si>
    <t>Não preenchimento correto pela equipe cirúrgica do Formulário de uso de OPME, sendo que foi utilizado 08 parafusos (RX em Anexo) e no formulário estava descrito 07 unidades de parafusos (gasto de uso de OPME em Anexo) . 
Data da cirurgia: 09/02/2026
Prontuário: 324930</t>
  </si>
  <si>
    <t>NC 2814 / 2026</t>
  </si>
  <si>
    <t>Não preenchimento correto pela equipe cirúrgica do Formulário de uso de OPME, sendo que foi utilizado PLACA EM L 5 FUROS ESQUERDA (RX em Anexo) e no formulário estava descrito PLACA EM L 5 FUROS DIREITA (gasto de uso de OPME em Anexo) . 
Data da cirurgia: 10/02/2026
Prontuário: 155710</t>
  </si>
  <si>
    <t>EXTRAVIO DE MATERIAL</t>
  </si>
  <si>
    <t>NC 2815 / 2026</t>
  </si>
  <si>
    <t>Informo que, no dia 11/02, foi recebida a solicitação Nº 2632881, contendo os seguintes itens:
3822 - Glicosímetro para teste de glicemia (01 unidade);
286 - Termômetro clínico digital (02 unidades).
A solicitação foi registrada com a justificativa de extravio.
Os itens foram devidamente atendidos pelo setor, e esta comunicação tem a finalidade de notificar as áreas responsáveis para as devidas tratativas e providências cabíveis.</t>
  </si>
  <si>
    <t>Notificação de uso de ficha de notificação desatualizada</t>
  </si>
  <si>
    <t>NC 2816 / 2026</t>
  </si>
  <si>
    <t>Durante a auditoria de rotina das fichas de notificação compulsória, foi identificado o preenchimento de formulário em versão desatualizada, em desacordo com o modelo vigente preconizado pelo Ministério da Saúde.
Reforçamos que o preenchimento adequado das fichas é responsabilidade da equipe assistencial notificadora, conforme normativas vigentes.</t>
  </si>
  <si>
    <t>NC 2817 / 2026</t>
  </si>
  <si>
    <t>Não preenchimento correto pela equipe cirúrgica do Formulário de uso de OPME, sendo que foi utilizado PLACA EM T CURVA 4X4 FUROS (RX em Anexo) e no formulário estava descrito PLACA EM T CURVA 4X8 FUROS (gasto de uso de OPME em Anexo) .
Data da cirurgia: 11/02/2026
Prontuário: 339671</t>
  </si>
  <si>
    <t>Descarte Inadequado de Perfurocortante</t>
  </si>
  <si>
    <t>NC 2818 / 2026</t>
  </si>
  <si>
    <t>Hoje, durante visita de rotina no setor de internação da Pediatria, especificamente na Enfermaria 7, foi identificada uma agulha descartada de forma inadequada na caixa de perfurocortantes. Observou-se que o material não se encontrava devidamente inserido no interior da caixa coletora, mas sim sobre a parte superior da mesma. A situação representa risco de acidente ocupacional com material biológico, podendo causar perfuração e possível contaminação por agentes infecciosos aos profissionais que manipulassem o local.
Ressalta-se que o descarte de materiais perfurocortantes deve ser realizado exclusivamente dentro da caixa coletora, conforme normas de biossegurança, a fim de prevenir acidentes e garantir a segurança de todos. Notifico tal situação, para melhorias dos processos.</t>
  </si>
  <si>
    <t>FALTA DE ASSINATURA E CARIMBO EM ALTA E DA PROPRIA ALTA</t>
  </si>
  <si>
    <t>NC 2819 / 2026</t>
  </si>
  <si>
    <t>Alice Rocha Feitosa</t>
  </si>
  <si>
    <t>FALTA DE ASSINATURA E CARIMBO EM ALTA E DA PROPRIA ALTA , ISSO TEM SIDO UM ACONTECIMENTO MUITO OCORRENTE NO SETOR , A DESORGANIZAÇÃO ESTA DIFICULTANDO A MONTAGEM E COMCLUÇAO DO PRONTUARIO , ONDE ESTÃO DEIXANDO ALTAS AVULSOS E OUTRAS PARTES PRONTUARIO AS VEZEWS AALTA APARECE APOS A RETIRADA DO PRONTUARIO .
[fig:vfs:1472]
[fig:vfs:1471]</t>
  </si>
  <si>
    <t>FALTA  DE INSUMOS NA LAVANDERIA</t>
  </si>
  <si>
    <t>NC 2820 / 2026</t>
  </si>
  <si>
    <t>No dia 11/02/2026 no periodo da manha e tarde, informamos que houve falta de insumo enviado pela Lavanderia à CME, material este indispensável para a confecção de lap cirúrgico.
A ausência do referido insumo ocasionou atrasos no preparo dos materiais e, consequentemente, impactou o andamento dos procedimentos cirúrgicos.</t>
  </si>
  <si>
    <t xml:space="preserve">FALTA DE INSUMOS </t>
  </si>
  <si>
    <t>NC 2821 / 2026</t>
  </si>
  <si>
    <t>No dia 12/02/2026 no periodo da manha e tarde, informamos que houve falta de insumo enviado pela Lavanderia à CME, material este indispensável para a confecção de lap cirúrgico.
A ausência do referido insumo ocasionou atrasos no preparo dos materiais e, consequentemente, impactou o andamento dos procedimentos cirúrgicos.</t>
  </si>
  <si>
    <t>MATERIAL CONTAMINADO SEM IDENTIFICAÇÃO CORRETA</t>
  </si>
  <si>
    <t>NC 2822 / 2026</t>
  </si>
  <si>
    <t>Informamos que estão sendo encaminhados ao expurgo materiais provenientes de pacientes com diagnóstico de HIV, tuberculose e outras doenças infectocontagiosas sem a devida identificação e sem comunicação prévia à equipe do setor.
Tal conduta compromete a segurança dos colaboradores do expurgo, expondo-os a riscos biológicos desnecessários, além de estar em desacordo com os protocolos institucionais de biossegurança.
Solicitamos que, a partir desta notificação, todo material proveniente de pacientes com doenças infectocontagiosas seja devidamente identificado e comunicado previamente ao setor responsável, conforme normas vigentes, garantindo a adoção das medidas de precaução adequadas.</t>
  </si>
  <si>
    <t xml:space="preserve">MATERIAL CONTAMINADO SEM IDENTIFICAÇÃO </t>
  </si>
  <si>
    <t>NC 2823 / 2026</t>
  </si>
  <si>
    <t>MATERIAL CONTAMINADO   EXPURGO SEM IDENTIFICAÇÃO</t>
  </si>
  <si>
    <t>NC 2824 / 2026</t>
  </si>
  <si>
    <t>Encaminhamento de Paciente ao Bloco Cirúrgico em Desacordo com Protocolo de Preparo</t>
  </si>
  <si>
    <t>NC 2825 / 2026</t>
  </si>
  <si>
    <t>Paciente prontuário nº 280158 foi encaminhado ao Bloco Cirúrgico fazendo uso de prótese dentária (dentadura), em desacordo com o protocolo institucional de preparo pré-operatório.
Ressalta-se que o paciente deve ser encaminhado para o procedimento cirúrgico devidamente preparado, sem uso de próteses, adornos ou quaisquer objetos que possam comprometer a segurança durante o ato anestésico-cirúrgico.</t>
  </si>
  <si>
    <t>MATERIAL CONTAMINADO ENCAMINHADO AO  EXPURGO SEM IDENTIFICAÇÃO</t>
  </si>
  <si>
    <t>NC 2826 / 2026</t>
  </si>
  <si>
    <t>MATERIAL CONTAMINADO ENCAMINHADO AO EXPURGO SEM IDENTIFICAÇÃO</t>
  </si>
  <si>
    <t>NC 2827 / 2026</t>
  </si>
  <si>
    <t>NC 2828 / 2026</t>
  </si>
  <si>
    <t>NC 2829 / 2026</t>
  </si>
  <si>
    <t>CO - Centro Obstétrico</t>
  </si>
  <si>
    <t>NÃO ACIONAMENTO DO SETOR DE PSICOLOGIA</t>
  </si>
  <si>
    <t>NC 2830 / 2026</t>
  </si>
  <si>
    <t>Notifico não conformidade diante do fluxo de assistência ao óbito, na ocasião  durante o plantão noturno (às 23:58) do dia 11/02/2026, ocorreu óbito de RN, situação que não gerou acionamento do serviço de psicologia para acolhimento da mãe enlutada e acompanhante, e demais tratativas processuais decorrentes do óbito. Informo ainda que situação somente passou a ser de conhecimento das equipe após profissional do administrativo da UTI questionar a presença de DNV e DO em prontuário.</t>
  </si>
  <si>
    <t>NÃO SEGUIMENTO DE FLUXO ASSISTENCIAL DE ÓBITO</t>
  </si>
  <si>
    <t>NC 2831 / 2026</t>
  </si>
  <si>
    <t>Notifico que no plantão noturno do dia 11/02/2026, às 23:58, a equipe do centro cirúrgico não seguiu com o processo de acionamento dos serviços de psicologia e serviço social para tratativas e acolhimento ao óbito. Diante disso, reforço que a ausência de acionamento acarretou em ausência de escuta da paciente e acompnhante, associada a ausência de de intervenção, com isso houve morosidade nas tratativas fúnebres e de liberação do corpo, o qual permaneceu na instituição por mais de 24h.
Ressalto que o serviço social apenas teve conhecimento da pendência de intervenção após  assistente admiinistrativa da UTI, questionar a presença das vias de DNV e DO, no prontuário da genitora.</t>
  </si>
  <si>
    <t>Encaminhamento de paciente sem comunicação prévia ao Bloco Cirúrgico</t>
  </si>
  <si>
    <t>NC 2832 / 2026</t>
  </si>
  <si>
    <t>FALTA DE SEGURANÇA NA PORTARIA</t>
  </si>
  <si>
    <t>NC 2833 / 2026</t>
  </si>
  <si>
    <t>No dia 11/02/2026 meu pai veio me buscar no serviço e quando me deparei, ele estava dentro do estacionamento do hospital indo ao meu encontro. Questionei a ele como que deixaram ele entrar sem autorização e sem identificação, o mesmo me relatou que disse ao segurança da portaria que iria buscar sua filha e assim foi liberado. 
Hoje, 13/02 com a mesma equipe de segurança que estava de plantão no dia 11/02 teve novamente a facilidade no acesso ao hospital. Meu pai entrou de carro e estacionou dentro do estacionamento. Questionei a ele e o mesmo me disse que os dois portões estavam abertos e não tinha ninguém na portaria.  
Sendo assim, vejo a facilidade e descuido da equipe quanto a segurança do hospital.</t>
  </si>
  <si>
    <t>Material danificado</t>
  </si>
  <si>
    <t>NC 2834 / 2026</t>
  </si>
  <si>
    <t>Informamos que, no plantão diurno do dia 09/02, o centro cirurgico entregou ao CME (Central de Material e Esterilização) uma caixa de OPME (Órteses, Próteses e Materiais Especiais) contendo uma peça danificada, conforme evidenciado na foto em anexo.</t>
  </si>
  <si>
    <t>NÃO CONFORMIDADE DE MATERIAL</t>
  </si>
  <si>
    <t>NC 2835 / 2026</t>
  </si>
  <si>
    <t>Comunicamos que, no plantão diurno do dia 13/02, o centro cirurgico entregou ao CME (Central de Material e Esterilização) uma caixa de OPME - Pat. 4777, contendo um fio guia danificado. A não conformidade foi constatada durante o recebimento, conforme evidenciado em foto anexa.</t>
  </si>
  <si>
    <t>INCIDENTE ATUALIZADO</t>
  </si>
  <si>
    <t>NC 2836 / 2026</t>
  </si>
  <si>
    <t>AUSÊNCIA DE INTEGRADOR BIOQUIMICO EM CAIXA DE CESARIANA</t>
  </si>
  <si>
    <t>NC 2837 / 2026</t>
  </si>
  <si>
    <t>15/02/2026</t>
  </si>
  <si>
    <t>NO DIA 13/02/2026, AO ABRIR A CAIXA DE CESARIANA, FOI IDENTIFICADO A AUSÊNCIA DE INTEGRADOR BIOQUIMICO. O MATERIAL FOI RECOLHIDO E ENCAMINHADO AO CME.</t>
  </si>
  <si>
    <t>NC 2838 / 2026</t>
  </si>
  <si>
    <t>NO DIA 13/02/2026, PACIENTE PROVENIENTE DO PAM, DEU ENTRADA NO CENTRO CIRÚRGICO SEM O USO DE PULSEIRA DE IDENTIFICAÇÃO. INSERIDO PULSEIRA, CONFORME PROTOCOLO INSTITUCIONAL.</t>
  </si>
  <si>
    <t>NC 2839 / 2026</t>
  </si>
  <si>
    <t>NO DIA 13/02/2026, PACIENTE M.F.S (N° PRONT. 341195) PROVENIENTE DA CLINICA ORTOPEDICA, DEU ENTRADA NO CENTRO CIRURGICO SEM PULSEIRA DE IDENTIFICAÇÃO. INSERIDO PULSEIRA, CONFORME PROTOCOLO INSTITUCIONAL.</t>
  </si>
  <si>
    <t>AUSÊNCIA DE RAIO X PÓS OPERATÓRIO - ORTOPEDIA</t>
  </si>
  <si>
    <t>NC 2840 / 2026</t>
  </si>
  <si>
    <t>Paciente F.D.S.S, prontuário de nº 326082 realizou cirurgia ortopédica dia 04/11/2025 a qual teve utilização de OPME - Fixador Externo. Foi feito busca no sistema do exame a qual comprove a utilização do mesmo e não foi identificado o Raio X pós operatório do paciente, gerando assim perda financeira, pois o mesmo ficará impossibilitado de ser faturado.</t>
  </si>
  <si>
    <t>Setor de Farmácia realizou a liberação de medicamento/insumo relacionado a exame contrastado (Enema Opaco) sem nenhuma comunicação com o setor SADT</t>
  </si>
  <si>
    <t>NC 2841 / 2026</t>
  </si>
  <si>
    <t>Foi identificado que o Setor de Farmácia realizou a liberação de medicamento/insumo (Paciente: A. DOS S. M. Prontuário: 298965)  relacionado a exame contrastado (Enema Opaco) sem que houvesse:
Confirmação formal da indicação e programação pelo Serviço de Imagem;
A liberação de medicamento sem validação do fluxo pode ocasionar:
Administração indevida de contraste;
Uso sem avaliação prévia de função renal (quando aplicável);
Reações adversas não monitoradas;
Erro de dose ou diluição;
Ausência de preparo adequado do setor executor;
Comprometimento da segurança do paciente neonatal (grupo de alta vulnerabilidade).</t>
  </si>
  <si>
    <t>Ausência recorrente de higienização na Ala Psicossocial</t>
  </si>
  <si>
    <t>NC 2842 / 2026</t>
  </si>
  <si>
    <t>De forma recorrente, a Ala Psicossocial tem permanecido sem realização de limpeza diária, principalmente nos dias em que há déficit de colaboradores na equipe de higienização. Nesses cenários, observa-se que outros setores estão sendo priorizados, resultando na não execução da rotina mínima de limpeza da ala psicossocial.</t>
  </si>
  <si>
    <t>PACIENTE EM USO DE SONDA NASOGASTRICA SEM IDENTIFICAÇÃO</t>
  </si>
  <si>
    <t>NC 2843 / 2026</t>
  </si>
  <si>
    <t>NO DIA 17/02/2026, ÀS 10H:00MIN, PACIENTE A.G.S.M (N° PRONT. 339602) PROVENIENTE DA UTI, DEU ENTRADA NO BLOCO CIRURGICO PARA REALIZAR PROCEDIMENTO DE URGÊNCIA EM USO DE SONDA NASOGASTRICA SEM IDENTIFICAÇÃO. DURANTE PROCEDIMENTO, FOI RETIRADA E INSERIDA NOVA SONDA PELO ANESTESIOLOGISTA, DATADA E IDENTIFICADA.</t>
  </si>
  <si>
    <t>NC 2844 / 2026</t>
  </si>
  <si>
    <t>Informamos que, durante o plantão noturno do dia 15/02, o pronto socorro encaminhou ao Centro de Material e Esterilização (CME) um kit Venturi incompleto. Segue foto em anexo.</t>
  </si>
  <si>
    <t>NC 2845 / 2026</t>
  </si>
  <si>
    <t>Informamos que, durante o plantão diurno do dia 17/02, foi encaminhado ao Centro de Material e Esterilização (CME) um circuito de ventilação incompleto. Segue foto em anexo.</t>
  </si>
  <si>
    <t xml:space="preserve">Entrega de material incompleto no expurgo  </t>
  </si>
  <si>
    <t>NC 2846 / 2026</t>
  </si>
  <si>
    <t>Venho por meio desta notificar o setor da UCI que, na data de 17/02/2026 as 16:00hs, foi encaminhado ao expurgo um material identificado como circuito ventilatório, porém o mesmo encontrava-se incompleto, conforme evidenciado na foto em anexo.
Ressaltamos que o envio de materiais incompletos compromete o fluxo de trabalho, a rastreabilidade dos itens e pode impactar diretamente na assistência e na segurança do paciente.</t>
  </si>
  <si>
    <t xml:space="preserve">DIVERGENCIA NA ALTA </t>
  </si>
  <si>
    <t>NC 2847 / 2026</t>
  </si>
  <si>
    <t>A DATA DA ALTA NO SISTEMA  DO PACIENTE  M.P.D.B NAO CONDIZ COM A DATA NO PROTUARIO FISICO.
PEDIMOS QUE FIQUEM MAS ATENTOS.</t>
  </si>
  <si>
    <t>FALTA DE EVOLUÇÃO MÉDICA</t>
  </si>
  <si>
    <t>NC 2848 / 2026</t>
  </si>
  <si>
    <t>Prontuário nº 233495 (F. de A. C. dos S.) com o período de internação de 22/12/25 a 21/01/26, encontra-se sem evolução médica referente ao dia 25/12/25.
Prontuário nº 339330 (S. S. de M.), com o período de internação de 03/02/26 a 06/02/26, encontra-se sem evolução médica referente ao dia 03/02/26</t>
  </si>
  <si>
    <t>Pendência nas Avaliações de Desempenho - Notificação de Não Conformidade</t>
  </si>
  <si>
    <t>NC 2849 / 2026</t>
  </si>
  <si>
    <t xml:space="preserve">Coordenação de Gestão de Pessoas / Setor de Provimento e Avaliação de Desempenho </t>
  </si>
  <si>
    <t>Jhoyciene Moreira Lima</t>
  </si>
  <si>
    <t>Informamos que a 1ª Avaliação de Desempenho (17/10/2025) e a 2ª Avaliação de Desempenho (25/11/2025) do colaborador M.A.S., sob responsabilidade desta coordenação do setor SERVICO DE TECNOLOGIA DA INFORMAÇÃO E COMUNICACAO, permanecem pendentes de envio, apesar das tentativas de alinhamento realizadas.
A não entrega dentro do prazo compromete os processos da Gestão de Pessoas, configurando não conformidade.
Solicitamos a regularização imediata da pendência. As evidências das comunicações seguem anexadas.</t>
  </si>
  <si>
    <t>Serviço de Tecnologia de Informação e Comunicação</t>
  </si>
  <si>
    <t>Setor de Provimento e Avaliação de Desempenho</t>
  </si>
  <si>
    <t>NC 2850 / 2026</t>
  </si>
  <si>
    <t>ALTAS PENDENTES NO SISTEMA</t>
  </si>
  <si>
    <t>NC 2851 / 2026</t>
  </si>
  <si>
    <t>ALTAS PENDENTES NO SISTEMA  DE 01 A 19/02/2026
Impactos Assistenciais
Paciente permanece ativo no sistema, mesmo já tendo deixado a unidade.
Inconsistência no prontuário eletrônico, prejudicando a continuidade do cuidado.
Dificuldade na transferência ou reinternação, pois o sistema pode entender que o paciente ainda está internado.
Indicadores assistenciais incorretos, como:
* Taxa de ocupação hospitalar
* 
* Tempo médio de permanência (TMP)
* 
* Giro de leito
Impactos Financeiros
Cobranças hospitalares incorretas ou prolongadas, podendo gerar glosas
Glosas por parte de convênios
Erro no fechamento da conta hospitalar, atrasando o envio para auditoria e faturamento.
Perda de receita ou retrabalho no setor financeiro.
 Impactos Operacionais
Leito permanece bloqueado no sistema, mesmo estando fisicamente disponível.
Dificuldade na regulação de leitos, afetando admissões e fluxo de pacientes.
Retrabalho para as equipes assistenciais e administrativas.
Relatórios gerenciais e estatísticos comprometidos, impactando tomada de decisão.
 Impactos Legais e de Conformidade
Inconsistência documental, podendo gerar questionamentos em auditorias internas e externas.
Risco em fiscalizações sanitárias ou contratuais, devido à divergência entre sistema e realidade.
Problemas em rastreabilidade de eventos assistenciais.
Peço a gentileza de tomada de ação e acompanhamento, visto que impacta nas equipes de apoio e prestação de contas para ASELC.</t>
  </si>
  <si>
    <t>ALTAS PENDENTES</t>
  </si>
  <si>
    <t>NC 2852 / 2026</t>
  </si>
  <si>
    <t>ALTAS PENDENTES NO SISTEMA  DE 01 A 19/02/2026
Impactos Assistenciais
Paciente permanece ativo no sistema, mesmo já tendo deixado a unidade.
Inconsistência no prontuário eletrônico, prejudicando a continuidade do cuidado.
Dificuldade na transferência ou reinternação, pois o sistema pode entender que o paciente ainda está internado.
Indicadores assistenciais incorretos, como:
* Taxa de ocupação hospitalar
* 
* Tempo médio de permanência (TMP)
* 
* Giro de leito
Impactos Financeiros
Cobranças hospitalares incorretas ou prolongadas, podendo gerar glosas
Glosas por parte de convênios
Erro no fechamento da conta hospitalar, atrasando o envio para auditoria e faturamento.
Perda de receita ou retrabalho no setor financeiro.
 Impactos Operacionais
Leito permanece bloqueado no sistema, mesmo estando fisicamente disponível.
Dificuldade na regulação de leitos, afetando admissões e fluxo de pacientes.
Retrabalho para as equipes assistenciais e administrativas.
Relatórios gerenciais e estatísticos comprometidos, impactando tomada de decisão.
 Impactos Legais e de Conformidade
Inconsistência documental, podendo gerar questionamentos em auditorias internas e externas.
Risco em fiscalizações sanitárias ou contratuais, devido à divergência entre sistema e realidade.
Problemas em rastreabilidade de eventos assistenciais.
Peço a gentileza de tomada de ação e acompanhamento, visto que impacta nas equipes de apoio e prestação de contas para ASELC.</t>
  </si>
  <si>
    <t>ALTA INDEVIDA</t>
  </si>
  <si>
    <t>NC 2853 / 2026</t>
  </si>
  <si>
    <t>Foi dado alta para o paciente JADS, em 14/02/2025, porém o mesmo permanece internado. Dra Adriana ciente.
[fig:vfs:1500]</t>
  </si>
  <si>
    <t>Notificação de uso de ficha desatualizada;</t>
  </si>
  <si>
    <t>NC 2854 / 2026</t>
  </si>
  <si>
    <t>Identificado que a doença foi notificada em ficha de notificação compulsória desatualizada, em desacordo com o modelo vigente disponibilizado pela Vigilância Epidemiológica Municipal.
Ressaltamos que o uso de fichas não atualizadas pode comprometer a qualidade das informações, gerar inconsistências nos dados e dificultar o encerramento oportuno do caso no sistema oficial.
A equipe foi orientada quanto à importância de utilizar exclusivamente as fichas atualizadas, disponíveis na pasta padronizada da unidade, garantindo a conformidade do processo de notificação.</t>
  </si>
  <si>
    <t>Notificação de uso de ficha desatualizada</t>
  </si>
  <si>
    <t>NC 2855 / 2026</t>
  </si>
  <si>
    <t>material recebido no expurgo quebrado.</t>
  </si>
  <si>
    <t>NC 2856 / 2026</t>
  </si>
  <si>
    <t>Monica De Nazare Monteiro Gonçalves</t>
  </si>
  <si>
    <t>Informamos que no dia 20/02, às 11h29, foi entregue no setor de Expurgo uma caixa de cirurgia vascular, proveniente do Centro Cirúrgico, contendo uma pinça Bulldog curva com avaria (quebrada).</t>
  </si>
  <si>
    <t>Falha de Comunicação Intersetorial no Encaminhamento de Paciente Emergencial ao Centro Cirúrgico</t>
  </si>
  <si>
    <t>NC 2857 / 2026</t>
  </si>
  <si>
    <t>No dia 19/02/2026, foi informado ao supervisor do Centro Cirúrgico, pelo médico do Pronto Atendimento Materno, acerca da existência de uma paciente B.S.J (n°pront. 342093) com diagnóstico de pré-eclâmpsia, com indicação de procedimento cirúrgico de cesariana em caráter de emergência.
Na ocasião, o supervisor orientou que a enfermeira responsável pelo setor de origem entrasse em contato previamente com a equipe de enfermagem do Centro Cirúrgico, a fim de repassar as informações clínicas necessárias para organização da sala operatória, mobilização da equipe multiprofissional e preparo de materiais e equipamentos adequados ao quadro da paciente. Entretanto, não houve contato prévio por parte do setor solicitante.
Após a comunicação inicial ao supervisor, a paciente foi encaminhada diretamente à porta do Centro Cirúrgico, sem aviso prévio à equipe assistencial do setor.
Ressalta-se que, diante da gravidade do quadro clínico, a paciente foi prontamente acolhida e assistida pela equipe do Centro Cirúrgico, garantindo a continuidade da assistência de forma segura.
Contudo, destaca-se que a ausência de comunicação prévia compromete o planejamento assistencial, podendo impactar na organização da equipe, preparo da sala operatória, disponibilidade de materiais e na segurança do atendimento prestado, especialmente em situações de emergência obstétrica.
Dessa forma, esta notificação tem como objetivo registrar e reforçar a necessidade de alinhamento do fluxo de comunicação intersetorial, garantindo que pacientes encaminhadas ao Centro Cirúrgico sejam previamente comunicadas à equipe assistencial, com repasse das informações clínicas pertinentes, visando segurança do paciente e adequada organização do atendimento.</t>
  </si>
  <si>
    <t>Não conformidades no encaminhamento de paciente em uso de medicação de alto risco</t>
  </si>
  <si>
    <t>NC 2858 / 2026</t>
  </si>
  <si>
    <t>No dia 19/02/2026, deu entrada no Centro Cirúrgico paciente B.S.J (n°pront. 342093) proveniente do Pronto Atendimento Materno, para cesariana de emergência devido pré-eclâmpsia, em uso de sulfato de magnésio em bomba de infusão contínua.
Durante a admissão da paciente no setor, foram identificadas não conformidades relacionadas à segurança medicamentosa, em desacordo com os protocolos institucionais vigentes.
Observou-se que a medicação de reversão (gluconato de cálcio), de disponibilidade obrigatória para pacientes em uso de sulfato de magnésio, não acompanhava a bomba de infusão, não estando previamente preparada para administração imediata em caso de sinais de toxicidade medicamentosa.
Adicionalmente, foi identificado que a identificação da solução em infusão apresentava inconformidade, constando apenas sigla abreviada ("SM") para identificação do sulfato de magnésio, não atendendo às recomendações institucionais de identificação segura de medicamentos, especialmente aqueles classificados como de alto risco, que exigem identificação completa, clara e padronizada.
Ressalta-se que a utilização de siglas ou abreviações não padronizadas na identificação de medicamentos classificados como de alto risco pode favorecer falhas de comunicação e aumentar o risco de erro medicamentoso, especialmente em situações de urgência e emergência, nas quais decisões assistenciais demandam rápida identificação da solução em infusão.
Diante das inconformidades observadas, a equipe do Centro Cirúrgico realizou prontamente a retirada do gluconato de cálcio junto à farmácia, procedendo ao preparo imediato e disponibilização da medicação ao lado da bomba de infusão, garantindo segurança assistencial caso houvesse necessidade de intervenção.
Para fins de evidência e registro da ocorrência, foi realizado registro fotográfico da identificação da solução no momento da admissão da paciente no setor, sendo o referido material anexado a esta notificação.
Esta notificação tem como objetivo registrar a ocorrência e reforçar a importância do cumprimento dos protocolos assistenciais relacionados ao preparo, identificação e encaminhamento seguro de pacientes em uso de medicações de alto risco, visando segurança do paciente e continuidade adequada da assistência.</t>
  </si>
  <si>
    <t>NC 2859 / 2026</t>
  </si>
  <si>
    <t>Não conformidade relacionada às condições de acesso venoso periférico em paciente admitido para procedimento cirúrgico</t>
  </si>
  <si>
    <t>NC 2860 / 2026</t>
  </si>
  <si>
    <t>Não conformidade no paciente</t>
  </si>
  <si>
    <t>NC 2861 / 2026</t>
  </si>
  <si>
    <t>No dia 22/02/2026 pacinte R.L.S veio da clinica cirurgia para o centro cirurgico para realizar procedimento com a bucomaxilo, durante check list de cirurgia segura, evidenciado que a mesma estava em uso de sua protese dentaria, fato que compromete diretamente a segurança da paciente. Realizo está notificação para melhoria do setor e segurança do paciente.</t>
  </si>
  <si>
    <t>atenção a papéis/documentos</t>
  </si>
  <si>
    <t>NC 2862 / 2026</t>
  </si>
  <si>
    <t>Ruth Almeida Da Silva Rosa</t>
  </si>
  <si>
    <t>Venho por meio desta, notificar a ocorrência de desorganização de papéis/documentos no setor com a equipe da UTI 
Foi identificado que os documentos aos finais de semana ficam apenas jogado nas mesa da auxiliar administrativo, na qual a funcionaria sai do setor na sexta com sua mesa organizada, e na segunda recebo a minha mesa completamente desorganizada; a equipe sabendo que existe os fichários para que os mesmo coloque os papeis de cada paciente aos finais de semana que a auxiliar administrativo não esta trabalhando. O que acaba comprometendo o fluxo de trabalho e a perca dos papeis para organizar.!
Solicita-se a imediata organização dos documentos e maior atenção quanto ao cumprimento das normas internas, a fim de evitar novas ocorrências.</t>
  </si>
  <si>
    <t>Registro de não conformidade - Informação incorreta no motivo de alta</t>
  </si>
  <si>
    <t>NC 2863 / 2026</t>
  </si>
  <si>
    <t>Bom dia!
Prezado. 
Venho por meio deste informar que, conforme verificado no momento do faturamento, o prontuário do paciente RN E.M.S., nº 333140, encontra-se com informação incorreta quanto ao motivo da alta do recém-nascido.
Tal inconsistência gera divergência entre os registros, considerando que se tratam de prontuários individuais. Ressalta-se que este registro refere-se apenas à alta do RN, devendo as informações estar corretamente lançadas de forma individualizada.</t>
  </si>
  <si>
    <t xml:space="preserve">Suporte de soro em área externa </t>
  </si>
  <si>
    <t>NC 2864 / 2026</t>
  </si>
  <si>
    <t>Na segunda-feira, 16 de fevereiro de 2026, foi encontrado na área externa do Pronto Socorro (PS) um suporte de soro (Nº 203329). Após verificar no sistema, confirmamos que esse equipamento pertence à Sala Vermelha do PS. Apesar de apresentar algum defeito, é importante destacar que ele deve ser guardado em um local adequado, para evitar que se deteriore ainda mais por causa das condições ambientais.
Além disso, queremos ressaltar que o setor de Patrimônio não foi informado sobre a movimentação desse item, e também não houve abertura de uma Ordem de Serviço pelo NEOVERO, o que está em desacordo com o procedimento padrão para movimentações internas de bens.</t>
  </si>
  <si>
    <t>PACINETE NO NOSSO SISTEMA SEM SE ENCONTRAR NA NOSSA CLINICA</t>
  </si>
  <si>
    <t>NC 2865 / 2026</t>
  </si>
  <si>
    <t>Venho por meio desta notificar o setor de internação (NIR) quanto à manutenção indevida de paciente em nosso sistema.
O paciente encontrava-se inicialmente sob responsabilidade da Clínica Médica e, em seguida, foi encaminhado para a Sala Vermelha, onde evoluiu a óbito. Apesar disso, o sistema permaneceu com o vínculo ativo em nosso setor.
Ressalto que o NIR foi informado desde a noite anterior acerca da situação; contudo, na data de hoje (23/02), o paciente ainda constava vinculado ao nosso sistema, sem a devida atualização.
Solicito, por gentileza, a regularização imediata e a verificação do ocorrido, a fim de evitar novos transtornos na gestão de leitos.</t>
  </si>
  <si>
    <t>Auditoria Transfusional</t>
  </si>
  <si>
    <t>NC 2866 / 2026</t>
  </si>
  <si>
    <t>Durante a auditoria do processo transfusional, não foram identificados registros em prontuário MV referentes à evolução de enfermagem relacionada ao ato transfusional. Ressalta-se que, embora tenha sido aberta a ficha de acompanhamento transfusional, esta não substitui o registro obrigatório da evolução de enfermagem em prontuário.
Adicionalmente, não foi registrado o horário de recebimento do hemocomponente.
Hemocomponentes envolvidos:
?	Bolsa nº 2163353-3 - 02/01/2026
?	Bolsa nº 2163466-1 - 01/01/2026
Paciente: ROSANGELA SILVA DO NASCIMENTO
Código: 252965
Local: UCP.</t>
  </si>
  <si>
    <t>Inconsistência nos registros assistenciais.</t>
  </si>
  <si>
    <t>NC 2867 / 2026</t>
  </si>
  <si>
    <t>MAYANA DIVINA FARIAS DA SILVA DIAS
Código 250765
Atendimento: 1565591
Durante a auditoria do processo transfusional, foi identificada evolução de enfermagem incompatível com o quadro clínico da paciente. Consta em prontuário que a paciente deu entrada nesta unidade em 05/01, com quadro de metrorragia persistente. Paciente admitida em Unidade de Curta Permanência em 05/01/26 com quadro de sangramento uterino anormal há cerca de 2 meses, com metrorragia contínua e fluxo intenso
Entretanto, na auditoria do prontuário, observou-se registro de evolução realizado por técnica de enfermagem descrevendo a paciente como se estivesse internada no CGO, acompanhada de recém-nascido, sem que haja qualquer relato de parto, transferência para o CGO ou evento obstétrico registrado durante a internação, caracterizando inconsistência nos registros assistenciais.</t>
  </si>
  <si>
    <t>Auditoria Tranfusional</t>
  </si>
  <si>
    <t>NC 2868 / 2026</t>
  </si>
  <si>
    <t>MAYANA DIVINA FARIAS DA SILVA DIAS
Código 250765
Atendimento: 1565591
Durante a auditoria do processo transfusional, não foram identificados registros em prontuário MV referentes à evolução de enfermagem relacionada ao ato transfusional. E abertura de ficha de acompanhamento transfusional, impossibilitando a rastreabilidade do processo transfusional.</t>
  </si>
  <si>
    <t>PACIENTE EM USO DE ADORNO.</t>
  </si>
  <si>
    <t>NC 2869 / 2026</t>
  </si>
  <si>
    <t>Paciente admitida no Centro Cirúrgico, vinda do PAM (Pronto Atendimento Materno), para realização de cesariana.
Durante a conferência pré-operatória na sala de indução, foi identificado que a paciente encontrava-se com prótese capilar tipo lace (cabelo artificial), caracterizando adorno, item não permitido em ambiente cirúrgico conforme protocolo de segurança institucional. Ressalta-se que, devido ao procedimento cirúrgico, o uso do item representa risco adicional relacionado à segurança do ato anestésico-cirúrgico, incluindo risco de contaminação, e na utilização do bisturi elétrico (intercorrências).
Realizada orientação à paciente quanto à necessidade de retirada do item para prosseguimento do procedimento, sendo a lace removida no Centro Cirúrgico antes do encaminhamento à sala operatória, garantindo adequação às normas de segurança e controle de infecção.</t>
  </si>
  <si>
    <t>Envio indevido de cabo de bisturi com lâmina para o CME</t>
  </si>
  <si>
    <t>NC 2870 / 2026</t>
  </si>
  <si>
    <t>Informamos que hoje, dia 23/02/2026, às 17:00, foi encaminhado ao CME o cabo de bisturi da Caixa Pequena Cirurgia nº 03 contendo lâmina acoplada.
Ressaltamos que o envio de instrumentais perfurocortantes com lâmina acoplada não está em conformidade com as normas de segurança e processamento de materiais, oferecendo risco ocupacional à equipe e podendo ocasionar danos ao instrumental.
Solicitamos que, antes do encaminhamento ao CME, todos os materiais perfurocortantes sejam devidamente desmontados e que as lâminas sejam descartadas em recipiente apropriado, conforme protocolo institucional. Foi informado para supervisão da cme.
Pedimos atenção redobrada da equipe quanto à conferência dos instrumentais no pós-operatório, a fim de evitar recorrências e garantir a segurança dos profissionais envolvidos no processo.
Permanecemos à disposição para esclarecimentos.</t>
  </si>
  <si>
    <t>NC 2871 / 2026</t>
  </si>
  <si>
    <t>Prontuário de nº 166199 - Z.S
Realizado procedimento cirúrgico e instalado fixador externo, não foi identificado no sistema as imagens do Raio X pós operatório.</t>
  </si>
  <si>
    <t>Atestado sem assinatura da Coordenação ou Supervisão</t>
  </si>
  <si>
    <t>NC 2872 / 2026</t>
  </si>
  <si>
    <t>O setor recebeu atestado médico apresentado por colaborador, porém o documento foi entregue sem a devida ciência e assinatura da supervisão e/ou coordenação, conforme fluxo interno estabelecido pela instituição</t>
  </si>
  <si>
    <t>Ambiente Não Conforme</t>
  </si>
  <si>
    <t>NC 2873 / 2026</t>
  </si>
  <si>
    <t>Durante visita de rotina no setor de Pediatria, foi constatado que a porta da copa do setor, encontrava-se aberta, situação já observada em outras visitas. A não conformidade é registrada, pois, conforme orientações da Agência Nacional de Vigilância Sanitária (ANVISA), os ambientes de apoio assistencial devem manter controle de acesso e condições higiênico-sanitárias adequadas, a fim de prevenir contaminação cruzada, entrada de vetores e riscos à segurança dos pacientes. Solicita-se que a porta permaneça fechada, reforçando o cumprimento das normas de biossegurança e controle de infecção. Notifico tal inconformidade para melhorias do processo.</t>
  </si>
  <si>
    <t>Relatório Mensal de Ocorrências Transfusionais- Janeiro</t>
  </si>
  <si>
    <t>NC 2874 / 2026</t>
  </si>
  <si>
    <t>A Agência Transfusional de Parauapebas informa que, conforme as normativas vigentes é obrigatório a entrega do Relatório Mensal de Ocorrências Transfusionais.
O relatório deve ser entregue até o dia 01 de cada mês, podendo ser entregue;
- Por e-mail: gerenciacirurgica.hgp@aselc.org.br ou na sala da gerência de cirúrgica</t>
  </si>
  <si>
    <t>NC 2875 / 2026</t>
  </si>
  <si>
    <t>Relatório Mensal de Ocorrências Transfusionais-Janeiro</t>
  </si>
  <si>
    <t>NC 2876 / 2026</t>
  </si>
  <si>
    <t>NC 2877 / 2026</t>
  </si>
  <si>
    <t>NC 2878 / 2026</t>
  </si>
  <si>
    <t>NC 2879 / 2026</t>
  </si>
  <si>
    <t>NC 2880 / 2026</t>
  </si>
  <si>
    <t>No dia 24/02/2026 paciente do leito 07, pela manhã durante o banho a mesma acabou saindo o tubo, extubação acidental. 
Foi evidenciado que o cuff estava seco.</t>
  </si>
  <si>
    <t>23/03/2026</t>
  </si>
  <si>
    <t xml:space="preserve">USO DE ADORNO NA UTI </t>
  </si>
  <si>
    <t>NC 2881 / 2026</t>
  </si>
  <si>
    <t>NO DIA 23/02/2026 MÉDICA PLANTONISTA DA TARDE NA UTI ESTAVA EM USO DE ANEL</t>
  </si>
  <si>
    <t>ASSINATURA COM CANETA PRETA</t>
  </si>
  <si>
    <t>NC 2882 / 2026</t>
  </si>
  <si>
    <t>Thaissa Mota Costa</t>
  </si>
  <si>
    <t>Tenho encontrado documentos assinados com caneta da cor preta, e o município não aceita, apenas com caneta azul.</t>
  </si>
  <si>
    <t>ausencia de opme</t>
  </si>
  <si>
    <t>NC 2883 / 2026</t>
  </si>
  <si>
    <t>Venho por meio desta notificar a não conformidade ocorrida no dia 25/02/2026, às 08:00 horas, referente à ausência de fios de Kirschner  2.0.
Na referida data e horário, o material não foi encaminhado previamente ao CME para esterilização, impossibilitando o processamento adequado. No momento da solicitação no Centro Cirúrgico, constatou-se que não havia material esterilizado disponível, tampouco material disponível para esterilização imediata.
Tal ocorrência impactou diretamente o fluxo assistencial e a programação cirúrgica, podendo gerar riscos à segurança do paciente e atrasos nos procedimentos.</t>
  </si>
  <si>
    <t>Ausência de Fios de Kirschner para Esterilização em 25/02/2026</t>
  </si>
  <si>
    <t>NC 2884 / 2026</t>
  </si>
  <si>
    <t>Venho por meio desta formalizar notificação referente ao ocorrido na data de 25/02/2026, às 08:00.
Fomos informados, em cima da hora, que não havia disponibilidade dos fios de Kirschner 1.5, 2.0 e 3.0 na CME para esterilização e posterior encaminhamento ao Centro Cirúrgico, o que impacta diretamente na organização e na segurança do procedimento cirúrgico programado.
Ressalto a importância do alinhamento prévio e da conferência dos materiais necessários, a fim de evitar intercorrências e possíveis atrasos nas cirurgias.</t>
  </si>
  <si>
    <t xml:space="preserve">USO DE ADORNOS EM ÁREAS ASSISTENCIAIS </t>
  </si>
  <si>
    <t>NC 2885 / 2026</t>
  </si>
  <si>
    <t>Foi observado o uso de alianças e outros adornos pela equipe médica durante a assistência aos pacientes na Clínica Médica.
Ressaltamos que o uso de adornos:
Compromete a técnica adequada de higienização das mãos;
Favorece a colonização e a permanência de microrganismos;
Aumenta o risco de Infecções Relacionadas à Assistência à Saúde (IRAS);
Coloca em risco a segurança do paciente e do profissional.
Conforme preconizado pelas normas institucionais e pela NR-32, é proibido o uso de anéis, alianças, pulseiras, relógios e quaisquer adornos durante a assistência direta ao paciente.
Solicitamos a colaboração imediata de todos os profissionais para o cumprimento desta normativa, reforçando nosso compromisso com a segurança e a qualidade da assistência prestada.</t>
  </si>
  <si>
    <t>USO DE ADORNOS EM ÁREAS ASSISTENCIAIS</t>
  </si>
  <si>
    <t>NC 2886 / 2026</t>
  </si>
  <si>
    <t>Foi observado o uso de adornos  durante a assistência aos pacientes no Centro Cirurgico (uso de anéis, pulseiras, brincos, cordões) 
Ressaltamos que o uso de adornos:
Compromete a técnica adequada de higienização das mãos;
Favorece a colonização e a permanência de microrganismos;
Aumenta o risco de Infecções Relacionadas à Assistência à Saúde (IRAS);
Coloca em risco a segurança do paciente e do profissional.
Conforme preconizado pelas normas institucionais e pela NR-32, é proibido o uso de anéis, alianças, pulseiras, relógios e quaisquer adornos durante a assistência direta ao paciente.
Solicitamos a colaboração imediata de todos os profissionais para o cumprimento desta normativa, reforçando nosso compromisso com a segurança e a qualidade da assistência prestada.</t>
  </si>
  <si>
    <t>NC 2887 / 2026</t>
  </si>
  <si>
    <t>Foi observado o uso de alianças e outros adornos durante a assistência aos pacientes na Clínica Cirurgica pela equipe médica.
Ressaltamos que o uso de adornos:
Compromete a técnica adequada de higienização das mãos;
Favorece a colonização e a permanência de microrganismos;
Aumenta o risco de Infecções Relacionadas à Assistência à Saúde (IRAS);
Coloca em risco a segurança do paciente e do profissional.
Conforme preconizado pelas normas institucionais e pela NR-32, é proibido o uso de anéis, alianças, pulseiras, relógios e quaisquer adornos durante a assistência direta ao paciente.
Solicitamos a colaboração imediata de todos os profissionais para o cumprimento desta normativa, reforçando nosso compromisso com a segurança e a qualidade da assistência prestada.</t>
  </si>
  <si>
    <t xml:space="preserve">Caixa de perfurocortante ultrapassando o limite de seguraça. </t>
  </si>
  <si>
    <t>NC 2888 / 2026</t>
  </si>
  <si>
    <t>Horlean Mesquita Fonseca</t>
  </si>
  <si>
    <t>No dia 25/02/2026 no centro cirúrgico na sala de operação nº 04, ao receber plantão encontro caixa de perfurocortante ultrapassando o limite de segurança, perfurando o material da caixa com um fio de Kirchner, podendo ocasionar um acidente de trabalho ao manusear a mesma, notifico para melhoria do processo.</t>
  </si>
  <si>
    <t>NC 2889 / 2026</t>
  </si>
  <si>
    <t>O setor do CME vem, por meio desta, registrar ocorrência referente ao plantão noturno do dia 25/02/2026, quando foi recebida do Centro Cirúrgico uma Caixa de Pequena Cirurgia nº 02 contendo uma pinça Kocher com avaria. Segue foto em anexo.</t>
  </si>
  <si>
    <t>Atraso na Entrega de Material ao Pronto Socorro.</t>
  </si>
  <si>
    <t>NC 2890 / 2026</t>
  </si>
  <si>
    <t>Notificação referente ao atraso na entrega de material solicitado pelo setor do Pronto Socorro.
O pedido foi realizado em 25/02, porém não foi entregue dentro do prazo estabelecido, ocasionando impacto na demanda assistencial do setor. A entrega ocorreu somente no dia 26/02, após cobrança junto ao setor responsável.
Diante do ocorrido, solicitamos maior agilidade e o devido cumprimento do fluxo de entrega dos pedidos, a fim de evitar prejuízos à assistência e garantir a continuidade segura do atendimento aos pacientes.</t>
  </si>
  <si>
    <t>NC 2891 / 2026</t>
  </si>
  <si>
    <t>NC 2892 / 2026</t>
  </si>
  <si>
    <t>Não preenchimento correto do Formulário de uso de OPME, sendo que foi utilizado 03 unidades de Barra ( 02 Barra de 350 MM e 1 Barra de 150 MM ) e no formulário estava descrito somente as duas barra de 350 MM. (RX e gasto de uso de OPME em anexo) 
Data da cirurgia: 04/02/2026
Prontuário: 339671</t>
  </si>
  <si>
    <t>NC 2893 / 2026</t>
  </si>
  <si>
    <t>Não preenchimento correto do Formulário de uso de OPME, sendo que foi utilizado 01 unidade de placa semitubular 6 furos  e no formulário estava descrito placa semitubular 5 furos. (RX e gasto de uso de OPME em anexo)
Utilizados 20 unidades de parafusos ao total conforme numerações específicas e no gasto somente descrito 18 parafusos. (RX e gasto de uso de OPME em anexo)
Data da cirurgia: 24/02/2026
Prontuário: 177930</t>
  </si>
  <si>
    <t>estoque de material</t>
  </si>
  <si>
    <t>NC 2894 / 2026</t>
  </si>
  <si>
    <t>Informamos que no dia 26/02/2026 periodo da manhã, após realização de ronda nos setores, foi identificado que a UTI está mantendo estoque de kit de sutura em sua unidade.
Durante a verificação, foram encontrados:
08 (oito) kits de sutura pertencentes ao PS;
02 (dois) kits de sutura pertencentes à Clínica Ortopédica;
01 (um) kit de sutura pertencente à Clínica Cirúrgica.
Contudo, conforme padronização institucional, a UTI não possui previsão de uso rotineiro desse material, uma vez que o setor dispõe de caixas de procedimentos exclusivas, estruturadas para atender às demandas assistenciais necessárias.
Ressaltamos que:
Todos os setores possuem codificação específica e quantitativo previamente definido de materiais;
A UTI não possui codificação ativa para kit de sutura;
A manutenção de estoque não padronizado no setor está impactando diretamente o abastecimento dos demais setores, que encontram-se com quantitativo reduzido ou em falta do referido material.
Tal prática compromete o controle de estoque, o equilíbrio na distribuição de insumos e o cumprimento do fluxo institucional de dispensação.</t>
  </si>
  <si>
    <t>Armazenamento de Kit de Sutura de outro setor</t>
  </si>
  <si>
    <t>NC 2895 / 2026</t>
  </si>
  <si>
    <t>Informamos que, após realização de ronda nos setores, foi identificado que no arsenal da Clínica Médica havia kit(s) de sutura pertencente  á Clínica Ortopédica.
Ressaltamos que, no momento da verificação, a Clínica Ortopédica encontrava-se necessitando do referido material, sendo constatado desabastecimento no setor de origem.
Conforme padronização institucional:
Cada setor possui codificação própria para seus materiais;
Os quantitativos são definidos de acordo com o perfil assistencial e consumo médio;
Não é permitido manter em estoque materiais codificados para outro setor.
A manutenção de materiais com codificação diversa compromete o controle de estoque, a rastreabilidade, o planejamento de reposição e impacta diretamente o atendimento assistencial do setor responsável pelo item.</t>
  </si>
  <si>
    <t>Armazenamento indevido de Kit de Sutura de outro setor</t>
  </si>
  <si>
    <t>NC 2896 / 2026</t>
  </si>
  <si>
    <t>Informamos que, após realização de ronda nos setores, foi identificado que no arsenal da Clínica Cirúrgica havia kit(s) de sutura pertencente(s) ao PS (Pronto-Socorro).
Ressaltamos que cada setor possui codificação própria e quantitativo previamente definido, conforme perfil assistencial e consumo médio, não sendo permitido manter em estoque materiais codificados para outro setor.
A manutenção de kits do PS na Clínica Cirúrgica compromete o controle de estoque, a rastreabilidade dos materiais e pode gerar desabastecimento no setor de origem, impactando diretamente o atendimento assistencial.</t>
  </si>
  <si>
    <t>Descrição cirúrgica</t>
  </si>
  <si>
    <t>NC 2897 / 2026</t>
  </si>
  <si>
    <t>O médico M.M.M realizou a descrição cirúrgica na evolução médica do paciente L.N. da N., prontuário nº 192481.
O prontuário refere-se à competência de dezembro, cujo faturamento estava previsto para ocorrer no mesmo mês. No entanto, será faturado apenas em fevereiro, em razão de pendência relacionada ao médico.</t>
  </si>
  <si>
    <t>NC 2898 / 2026</t>
  </si>
  <si>
    <t>O médico L.B.L.F. realizou a descrição cirúrgica na evolução médica do paciente A.R.V.M., prontuário nº 334717.
O prontuário refere-se à competência de janeiro, cujo faturamento estava previsto para ocorrer no mesmo mês. No entanto, será faturado apenas em fevereiro, em razão de pendência relacionada ao médico.</t>
  </si>
  <si>
    <t>NC 2899 / 2026</t>
  </si>
  <si>
    <t>material incompieto.</t>
  </si>
  <si>
    <t>NC 2900 / 2026</t>
  </si>
  <si>
    <t>Informamos que, no dia de hoje, às 16:23, foi entregue no expurgo um espaçador proveniente do setor de Pediatria, em condição incompleta.
Ressaltamos a importância de que todos os materiais sejam encaminhados devidamente completos e conforme o protocolo estabelecido, a fim de evitar prejuízos ao processamento, riscos assistenciais e retrabalho da equipe.</t>
  </si>
  <si>
    <t>NC 2901 / 2026</t>
  </si>
  <si>
    <t>Não preenchimento correto pela equipe cirúrgica do Formulário de uso de OPME, sendo que foi utilizado 18 parafusos (RX e gasto em Anexo) e no formulário de gasto estava descrito 15 unidades de parafusos (gasto de uso de OPME em Anexo) . 
Data da cirurgia: 26/02/2026
Prontuário: 342911</t>
  </si>
  <si>
    <t>NC 2902 / 2026</t>
  </si>
  <si>
    <t>INADEQUAÇÃO NA ASSISTÊNCIA AO ÓBITO</t>
  </si>
  <si>
    <t>NC 2903 / 2026</t>
  </si>
  <si>
    <t>No dia 22/02/2026 (domingo), às 07h09, houve acionamento da equipe de Psicologia e Serviço Social para atendimento de demanda de óbito na Sala Vermelha do Pronto-Socorro. A equipe chegou ao local por volta das 07h20. Ao adentrarmos a Sala Vermelha, constatou-se que o médico plantonista já havia realizado a comunicação do óbito aos familiares presentes, bem como efetuado a entrega da Declaração de Óbito (DO). Ao ser informado sobre o protocolo institucional vigente para demandas de óbito ? o qual preconiza o acionamento prévio da equipe multiprofissional (Psicologia e Serviço Social) para condução conjunta do processo de comunicação e acolhimento aos familiares ? o profissional médico justificou ter realizado a comunicação em razão do horário do falecimento, ocorrido às 06h40, inferindo possível demora na chegada da equipe. Entretanto, destaca-se que havia plantonista do turno noturno em exercício no período correspondente ao horário do óbito e que não houve acionamento da equipe de Psicologia e Serviço Social no momento da ocorrência, conforme preconizado em protocolo institucional. Após os esclarecimentos, nos dirigimos (serviço social e psicologia) aos familiares, que se encontravam acomodados em frente ao consultório no Pronto-Socorro, conduzindo-os à sala do Serviço Social para realização de acolhimento em ambiente reservado. Foi realizado atendimento com escuta qualificada, oferta de suporte emocional e orientações acerca dos trâmites burocráticos subsequentes ao óbito.</t>
  </si>
  <si>
    <t>Notificação de Não Conformidade - Envio de Material Incompleto</t>
  </si>
  <si>
    <t>NC 2904 / 2026</t>
  </si>
  <si>
    <t>No dia 27/02/2026 às 16h30, a UTI Adulto encaminhou ao CME uma máscara de Venturi incompleta, caracterizando não conformidade no envio do material. Durante a conferência, foi identificado que o dispositivo não continha todos os seus componentes obrigatórios, impossibilitando o processamento adequado e comprometendo o fluxo seguro de reprocessamento.</t>
  </si>
  <si>
    <t xml:space="preserve"> falta de insumos identificada nas maletas de parto normal destinadas ao setor de Centro de Parto Normal (CPN).</t>
  </si>
  <si>
    <t>NC 2905 / 2026</t>
  </si>
  <si>
    <t>Susanny Vieira De Castro</t>
  </si>
  <si>
    <t>Venho por meio desta notificar a Farmácia Hospitalar acerca da falta de insumos identificada nas maletas de parto normal destinadas ao setor de Centro de Parto Normal (CPN).
Durante conferência de rotina das maletas, foram constatadas ausências de materiais essenciais para a assistência segura ao parto e ao recém-nascido. Tal situação pode comprometer a agilidade do atendimento e a segurança da assistência prestada, que vem sendo recorrente.
Solicitamos, com urgência:
	?	Reposição imediata dos insumos faltantes;
	?	Revisão do checklist de montagem das maletas antes da liberação ao setor;
	?	Alinhamento do fluxo de conferência para evitar recorrência da situação.
Ressaltamos que o adequado abastecimento das maletas é fundamental para garantir assistência segura, contínua e de qualidade às pacientes.</t>
  </si>
  <si>
    <t>NC 2906 / 2026</t>
  </si>
  <si>
    <t>Material Perfurocortante Encaminhado Indevidamente ao CME</t>
  </si>
  <si>
    <t>NC 2907 / 2026</t>
  </si>
  <si>
    <t>01/03/2026</t>
  </si>
  <si>
    <t>No dia 01/02/2026, às 15h20, foi encaminhada ao Centro de Material e Esterilização (CME) uma caixa de cateterismo umbilical contendo agulha acondicionada em porta-agulha, em desacordo com as normas institucionais de segurança e fluxo de processamento de materiais. caso esse que ja foi comunicado para a supervisão.</t>
  </si>
  <si>
    <t>Etiquetas dos itens de OPME não inseridas no Gasto de OPME</t>
  </si>
  <si>
    <t>NC 2908 / 2026</t>
  </si>
  <si>
    <t>Equipe do centro cirúrgico não preencheu e não anexou etiquetas no formulário de Registro de Consumo de OPME. (gasto feito dia 02/03/2026 pela equipe de OPME e inserido em anexo) 
Data da Cirurgia: 22/12/2025
Prontuário: 203052</t>
  </si>
  <si>
    <t xml:space="preserve">nao conformida de paciente </t>
  </si>
  <si>
    <t>NC 2909 / 2026</t>
  </si>
  <si>
    <t>No dia 02/03/2026 recebo paciente L.S.O proveniente do pam para procedimento cirurgico de cesariana. Paciente veio com cabelo molhado para procedimento de caráter eletivo circunstancia essa que compromete diretamente a segurança do paciente. Realizo esta notificação para melhoria do processo.</t>
  </si>
  <si>
    <t>PERDA DE PRONTUARIO</t>
  </si>
  <si>
    <t>NC 2910 / 2026</t>
  </si>
  <si>
    <t>PRONTUÁRIO: 248874
NO DIA 03/03 FUI INFORMADA QUE TINHA UM PRONTUARIO A TEMPOS DENTRO DO CENTRO CIRURGICO, O PACIENTE FICOU POR POUCO TEMPO E TEVE ALTA POR LÁ MESMO, PRONTUARIO NÃO SERÁ FATURADO, PROVAVELMENTE O MESMO NÃO PODERÁ SER FATURADO POR CONTA DO TEMPO.</t>
  </si>
  <si>
    <t>NC 2911 / 2026</t>
  </si>
  <si>
    <t>Mal uso de aspirador portátil.</t>
  </si>
  <si>
    <t>NC 2912 / 2026</t>
  </si>
  <si>
    <t>A engenharia clinica foi ao Centro Cirúrgico realizar o atendimento da OS de numero 202605517 e foi constatado  o mal uso do equipamento no qual o usuário aspirou diretamente no aparelho sem a conexão de frasco, aspirando secreção para dentro do equipamento,  onde muitas vezes o equipamento pode se deteriorar internamente sem possibilidade de conserto.</t>
  </si>
  <si>
    <t xml:space="preserve">Mal uso de aspirador portátil. </t>
  </si>
  <si>
    <t>NC 2913 / 2026</t>
  </si>
  <si>
    <t>A engenharia clinica foi a UTI realizar o atendimento da OS de numero 202605209, onde o aspirador se encontrava sem sucção,  ao ser realizado o atendimento foi constatado o mal uso do equipamento no qual o usuário aspirou diretamente no aparelho sem a conexão de frasco, aspirando secreção para dentro do equipamento,  onde muitas vezes o equipamento pode se deteriorar internamente sem possibilidade de conserto.</t>
  </si>
  <si>
    <t>ALTAS PENDENTES NO SISTEMA MV MÉDICA E HOSPITALAR FEVEREIRO 2026</t>
  </si>
  <si>
    <t>NC 2914 / 2026</t>
  </si>
  <si>
    <t>Comunico a identificação de não conformidade referente ao registro de altas hospitalares do mês de fevereiro de 2026, as quais permaneceram pendentes no sistema até o mês de março de 2026 (em anexo). As altas foram finalizadas pelo NIR.
Tal ocorrência caracteriza descumprimento do protocolo institucional de alta, impactando diretamente os indicadores assistenciais e gerenciais, incluindo giro de leito, taxa de ocupação e paciente-dia hospitalar. Além disso, compromete a prestação de contas ao município, o faturamento dos prontuários e o fluxo operacional das equipes de apoio, como Nutrição, SAME, Faturamento e Qualidade.
Att
Janaina</t>
  </si>
  <si>
    <t xml:space="preserve">MOTIVO DE ALTA INADEQUADO </t>
  </si>
  <si>
    <t>NC 2915 / 2026</t>
  </si>
  <si>
    <t>Informo o lançamento  do motivo de alta inadequado da paciente  MDSODS, atenimento1584281. Por favor, orientar o médicos do PS.</t>
  </si>
  <si>
    <t xml:space="preserve">Não Conformidade No Processamento De Material no CME </t>
  </si>
  <si>
    <t>NC 2916 / 2026</t>
  </si>
  <si>
    <t>Foi identificado que a mangueira do perfurador Drill utilizado pela especialidade da bucomaxilofacial vinha sendo esterilizada sem a tampa de proteção, peça esta essencial para o correto processamento do equipamento. Ressalta-se que a referida tampa se encontrava extraviada, e mesmo assim o material continuou sendo encaminhado para esterilização sem a devida regularização da pendência.
No dia 02/03/2026, ao abrir a caixa cirúrgica no Centro Cirúrgico, a equipe constatou que o perfurador já se encontrava sem a tampa da mangueira. A supervisora do CME foi comunicada imediatamente acerca da ausência da peça.
No dia 03/03/2026, durante procedimento cirúrgico, o perfurador apresentou defeito de funcionamento, sendo necessária a substituição imediata do equipamento. No momento da troca, o fornecedor questionou o fato da mangueira estar sendo processada sem a tampa de proteção, informando que o processo de esterilização realizado de forma inadequada pode ter ocasionado dano interno à mangueira, culminando no defeito apresentado.
A mangueira do perfurador foi substituída pelo fornecedor, e o equipamento devolvido ao CME para novo processamento.
Na ocasião, o fornecedor repassou novamente as orientações técnicas corretas quanto ao processamento adequado do perfurador Drill, reforçando a necessidade do uso da tampa de proteção durante todas as etapas de limpeza, preparo e esterilização, conforme recomendações do fabricante.</t>
  </si>
  <si>
    <t>Liberação de Transportadora sem Aval do Almoxarifado</t>
  </si>
  <si>
    <t>NC 2917 / 2026</t>
  </si>
  <si>
    <t>Informo que houve a liberação pelo agente de portaria no dia 04/03 as 10:48 em desacordo com o fluxo estabelecido para recebimento e conferência de mercadorias. Solicito que as próximas liberações ocorram somente após validação formal do setor responsável. transportadora foi liberada sem a devida autorização do Almoxarifado,</t>
  </si>
  <si>
    <t>material recebido no expurgo danificado.</t>
  </si>
  <si>
    <t>NC 2918 / 2026</t>
  </si>
  <si>
    <t>Informo que foi recebida no setor de Expurgo, às 11:00 horas do dia 04/03/2026, uma peça da caixa de fresa apresentando avaria (quebrada).</t>
  </si>
  <si>
    <t>Avaliações de eficácia de treinamentos - Pronto Socorro</t>
  </si>
  <si>
    <t>NC 2919 / 2026</t>
  </si>
  <si>
    <t>As avaliações de eficácia são realizadas após a finalização dos treinamentos, com o objetivo de verificar a compreensão dos conteúdos ministrados e, principalmente, a aplicação prática dos processos assistenciais no ambiente de trabalho.
O setor possuía 5 ações de avaliação de eficácia em aberto, todas previstas para execução até 15/02/2026, com monitoramento estimado até 04/03/2026. Entretanto, nenhuma das avaliações foi realizada conforme o cronograma estabelecido.
As ações pendentes são descritas a seguir:
1. Treinamento: Cuidados de Enfermagem para Pacientes com Traumatismo Cranioencefálico
Objetivo: Aprimorar as práticas de enfermagem no atendimento a pacientes com traumatismo cranioencefálico, com foco em protocolos e condutas específicas, visando maior segurança assistencial.
Método de Avaliação: Monitoramento do número de casos de PCR relacionados ao cuidado no período de 1 mês.
Estratégia: Avaliação in loco.
Status: Não realizada.
2. Treinamento: Transição de Cuidados com Paciente Internado no Pronto Socorro
Objetivo: Capacitar a equipe de enfermagem para reduzir falhas de comunicação entre os profissionais durante a transição do cuidado.
Método de Avaliação: Observação da redução de notificações relacionadas à falha de comunicação.
Estratégia: Avaliação in loco.
Status: Não realizada.
3. Treinamento: Alinhamento de Fluxo de Pacientes pelo Painel Gestor
Objetivo: Capacitar a equipe de enfermagem para realização do fluxo correto e em tempo hábil dos pacientes do Pronto Socorro Adulto.
Método de Avaliação: Observação prática da continuidade do cuidado e do fluxo adequado dos pacientes no período de 2 meses.
Estratégia: Avaliação in loco.
Status: Não realizada.
4. Treinamento: Papel da Equipe de Enfermagem no Atendimento ao Paciente com Dor Torácica (IAM)
Objetivo: Desenvolver a capacidade da equipe em realizar intervenções rápidas e eficazes no atendimento ao paciente com dor torácica, garantindo abordagem segura e oportuna.
Método de Avaliação: Observação prática da realização do eletrocardiograma em tempo hábil no período de 1 mês.
Estratégia: Avaliação in loco.
Status: Não realizada.
A não execução das avaliações de eficácia compromete o monitoramento dos resultados dos treinamentos realizados, impossibilitando verificar se houve impacto real na assistência e na segurança do paciente.</t>
  </si>
  <si>
    <t>não conformidade de paciente</t>
  </si>
  <si>
    <t>NC 2920 / 2026</t>
  </si>
  <si>
    <t>Eder Ena Caetano De Sousa</t>
  </si>
  <si>
    <t>No dia 04/03/2026 paciente F.M.S proveniente da clc leito 11 chegou ao centro cir para procedimento de frat de femur o mesmo informa que estava na enfermaria desde a noite anterior sujo de fezes e não foi realizado seu banho até vir para o centro, porém, paciente chega em sala sujo de fezes fato que compromete diretamente a segurança do paciente aumentando risco de infecção no procedimento cir. realizo esta notificação para melhoria do do setor e segurança do paciente.</t>
  </si>
  <si>
    <t xml:space="preserve">Não realização de avaliação de eficácia - </t>
  </si>
  <si>
    <t>NC 2921 / 2026</t>
  </si>
  <si>
    <t>As avaliações de eficácia são realizadas após a finalização dos treinamentos, com o objetivo de verificar a compreensão dos conteúdos ministrados e, principalmente, a aplicação prática dos processos assistenciais no ambiente de trabalho. 
Ação prevista e não realizada: POP- Atendimento ao Paciente de Pronto Socorro, Pronto Atendimento Materno e Ambulatório.</t>
  </si>
  <si>
    <t>NC 2922 / 2026</t>
  </si>
  <si>
    <t>NC 2923 / 2026</t>
  </si>
  <si>
    <t xml:space="preserve">inconformidade na data de alta  </t>
  </si>
  <si>
    <t>NC 2924 / 2026</t>
  </si>
  <si>
    <t>Informo que ao  iniciar o faturamento do prontuário de numero, 336916, percebi que o mesmo encontra- se em desacordo na alta. pois o físico esta dia 16/01/2026 e no sistema MV, 21/01/2026.</t>
  </si>
  <si>
    <t>Solicitação de exame no setor de SPP</t>
  </si>
  <si>
    <t>NC 2925 / 2026</t>
  </si>
  <si>
    <t>A paciente N.S. da C., do prontuário 312842 internada no dia 09/02 e com alta em 12/02, compareceu ao setor SPP para solicitar o exame que havia sido realizado em outro hospital.
Conforme relato da paciente, o exame foi recebido pela equipe de enfermagem no momento da admissão na UTI e, posteriormente, ela foi encaminhada à clínica médica. No entanto, o CD do exame não foi encaminhado junto com o prontuário da paciente, permanecendo na UTI.
O setor SPP realizou a localização e a entrega do referido exame à paciente.
Diante disso, reforçamos que, quando o paciente trouxer exames realizados em outro hospital durante a internação, é necessário que esses materiais sejam devolvidos ao paciente no momento da alta.
Segue em anexo para conhecimento de todos.</t>
  </si>
  <si>
    <t>NOTIFICAÇÃO INTERNA - FALHA NA PASSAGEM DE CASO E DOCUMENTAÇÃO</t>
  </si>
  <si>
    <t>NC 2926 / 2026</t>
  </si>
  <si>
    <t>NOTIFICAÇÃO INTERNA - FALHA NA PASSAGEM DE CASO E DOCUMENTAÇÃO
Venho por meio desta notificar ocorrência relacionada à admissão de paciente proveniente do CPN enviado por enfermeira Raiza e Dulcirene. A paciente foi recebida no setor sob minha responsabilidade, porém sem a documentação referente à laqueadura tubária, documento este que deveria acompanhar o prontuário por se tratar de procedimento previamente autorizado e oriundo da Unidade Básica de Saúde.
Durante a admissão, não foi repassada informação sobre pendência documental. Posteriormente, ao ser verificada a ausência do documento, não foi possível localizá-lo, não havendo definição clara sobre seu paradeiro.
Ressalto que, além da ausência da documentação, tem sido recorrente a passagem de caso incompleta, com omissão de informações relevantes para a continuidade da assistência, o que compromete a segurança da paciente e gera retrabalho, incluindo necessidade de contato médico para regularização de pendências.
A presente notificação tem como objetivo reforçar a importância da passagem de plantão completa, clara e responsável, bem como da conferência e envio integral da documentação obrigatória no momento da transferência da paciente entre setores.
Coloco-me à disposição para esclarecimentos.</t>
  </si>
  <si>
    <t>Notificação Interna - Centro Cirúrgico</t>
  </si>
  <si>
    <t>NC 2927 / 2026</t>
  </si>
  <si>
    <t>Notificação Interna - Centro Cirúrgico
Venho por meio desta notificar recorrência no envio de pacientes provenientes do Centro Cirúrgico sem documentação completa em prontuário. Na data de hoje, o paciente foi encaminhado ao cgo2 sem a Declaração de Nascido Vivo (DNV), documento indispensável para seguimento adequado da assistência. Ressalto que situações semelhantes já ocorreram anteriormente. A ausência de documentação gera transtornos assistenciais, ocasionando retrabalho, atraso nos processos e necessidade de mobilização da equipe para regularização posterior, o que poderia ser evitado com conferência prévia no setor de origem.
Solicito, por gentileza, que sejam reforçadas as orientações quanto à conferência do prontuário e documentação obrigatória antes do encaminhamento do paciente aos setores, a fim de evitar recorrência da situação.
Permaneço à disposição para alinhamentos necessários.
Atenciosamente,
Enfermeira lizi, do cgo2</t>
  </si>
  <si>
    <t xml:space="preserve">Dificuldade em coleta de exame </t>
  </si>
  <si>
    <t>NC 2928 / 2026</t>
  </si>
  <si>
    <t>Bom dia, durante o período noturno do dia 01/03, por volta das 03:00 entrei em contato com o laboratório solicitando que fossem entregues frascos de coleta de urina ao nosso setor, pois estávamos sem, e uma paciente internada aguarda a coleta do baar. Informo que não era uma urgência e que ao momento da rotina poderia ser entregue, solicitam que fosse buscar no pam ou que fôssemos buscar pessoalmente lá, porém, estávamos com baixo número de pessoal, devido remanejamento para setores em alta demanda. Causando assim, um atraso na coleta/entrega/resultado do exame da paciente que já estava preparada para a coleta.</t>
  </si>
  <si>
    <t>recusa de paciente para leito regulado.</t>
  </si>
  <si>
    <t>NC 2929 / 2026</t>
  </si>
  <si>
    <t>Emerson Batista Silva</t>
  </si>
  <si>
    <t>ÁS 20:57H RN REGULADO PELO NIR DO PS PARA LEITO DE PEDIATRIA, ÁS 21H ACIONO ENFERMEIRA ADRIANA REFERENTE A TRASNFERENCIA, PASSO O CASO, ÁS 21:20H A ENFERMEIRA ME RETORNA PORÉM VEM PESSOALMENTE AVALIAR RN EM PRONTO SOCORRO, RN AFEBRIL, NORMOCORADO, NORMOGLICEMICO, EUPINEICO EM AA, ACEITANDO BEM ALEITAMENTO MATERNO, DE AVP, APRESENTANDO SECREÇÃO PURULENTA EM OLHO, E COM HISTÓRICO DE SANGRAMENTO OCULAR (SIC). (NÃO PRESENCIEI ESSE SANRAMENTE). ENFERMEIRA SOLICITA PULSEIRA DE INTERNAÇÃO, PORÉM O NIR AINDA NÃO TERIA ENTREGUE PARA EQUIPE DO PS,  EM SEGUIDA ELA AUTORIZA ENCAMINHAR. ENCAMINHO RN COM MAQUEIRO E TECNICA BRENDA, LOGO EM SEGUIDA RECEBO UMA MENSAGEM QUE A ENFERMEIRA ADRIANA FOI DE ENCONTRA  A EQUIPE DE TRANFERENCIA E MANDA VOLTAR AO PS, SE RECUSANDO RECEBER RN AO LEITO REGULADO. RN RETORNA AO PS, SOU ACIONADO QUE EU TERIA QUE ENCAMINHAR RN EM ATE 10 MIN PARA O LEITO, SIGO PARA UCI, PARA TENTAR FORMALIZAR O OCORRIDO, UCI NOS RECEBE ATENTAMENTE, AVALIA RN E ENCAMINHAM LOGO EM SEGUIDA PARA LEITO DE PEDIATRIA. FORMALIZO O OCORRIDO POIS ISSO VAI DE CONTRA AS ORIENTAÇÕES DE FLUXO, PREJUDICANDO SERIAMENTE A ASSISTÊNCIA DO RN.</t>
  </si>
  <si>
    <t>Não conformidade em alta medica.</t>
  </si>
  <si>
    <t>NC 2930 / 2026</t>
  </si>
  <si>
    <t xml:space="preserve">Coordenação de Internação / NIR - Núcleo Interno de Regulação </t>
  </si>
  <si>
    <t>Comunico a identificação de não conformidade referente ao registro do motivo de alta medica do paciente E.O.S atendimento 1584281. No sistema, o motivo da alta foi registrado como "Alta Administrativa (Alta ADM)", porém o correto seria "Alta por Transferência". A alta foi finalizada pelo NIR ( segue em anexo a correção ).
Tal ocorrência caracteriza descumprimento do protocolo institucional de alta , impactando diretamente os indicadores assistenciais e gerenciais, incluindo rotatividade de leito, taxa de ocupação e paciente - dia hospitalar. Além disso compromete a prestação de compras ao município, o faturamento dos prontuários e o fluxo operacional das equipes de apoio, como nutrição, SAME, faturamento e qualidade.
[fig:vfs:1523]</t>
  </si>
  <si>
    <t>Demora em alta hospitalar devido pendencia de prescrição de enfermagem.</t>
  </si>
  <si>
    <t>NC 2931 / 2026</t>
  </si>
  <si>
    <t>Comunico a identificação de não conformidade referente  a demora em realizar a alta hospitalar do paciente F. P. R. atendimento 1586653, devido a pendência de prescrição de enfermagem no sistema. ( segue em anexo).
Tal ocorrência caracteriza descumprimento do protocolo institucional de alta , impactando diretamente os indicadores assistenciais e gerenciais, incluindo rotatividade de leito, taxa de ocupação e paciente - dia hospitalar. Além disso compromete a prestação de compras ao município, o faturamento dos prontuários e o fluxo operacional das equipes de apoio, como nutrição, SAME, faturamento e qualidade.</t>
  </si>
  <si>
    <t xml:space="preserve"> Notificação sobre envio de documentos em xerox e preenchimento de laudo anestésico.</t>
  </si>
  <si>
    <t>NC 2932 / 2026</t>
  </si>
  <si>
    <t>Boa tarde. Venho por meio desta reforçar a necessidade do envio exclusivamente de documentos originais para composição do prontuário do paciente.
Temos recebido documentos importantes, como ficha anestésica, AIH e outros formulários em cópia (xerox), sendo que é obrigatório que esses documentos sejam encaminhados em sua via original para arquivamento adequado no prontuário.
Ressalto ainda que as altas médicas, em sua grande maioria, estão sendo encaminhadas em xerox para o prontuário, enquanto a via original está sendo entregue ao paciente. Informamos que o procedimento correto é que a via original permaneça anexada ao prontuário, e, caso necessário, seja fornecida cópia ao paciente. O envio apenas da cópia compromete a validade documental e pode gerar pendências em auditorias.
Aproveito para informar também que o laudo anestésico está sendo preenchido com caneta preta, o que não é permitido, pois pode ser facilmente confundido com cópia xerográfica. O correto é que seja preenchido com caneta azul, garantindo a identificação do documento original.
Solicito, por gentileza, a colaboração de todos para que os documentos sejam encaminhados corretamente, evitando retrabalho, pendências e transtornos ao setor.
Atenciosamente,</t>
  </si>
  <si>
    <t>Material Perfurocortante na CME</t>
  </si>
  <si>
    <t>NC 2933 / 2026</t>
  </si>
  <si>
    <t>Hoje, dia 05/02/2026, às 15:17, foi identificado no material proveniente da clínica médica um cabo de bisturi contendo uma lâmina acoplada. A presença desse material perfurocortante de forma inadequada representa risco de acidente e exposição para as colaboradoras da CME, colocando em perigo a integridade física das profissionais responsáveis pelo processamento dos materiais.</t>
  </si>
  <si>
    <t>EQUIPE D FISIOTERAPIA TIRANDO 3 HORAS DE REPOUSO EM NOTURNO</t>
  </si>
  <si>
    <t>NC 2934 / 2026</t>
  </si>
  <si>
    <t>Lucas Oliveira Gama</t>
  </si>
  <si>
    <t>Foi observado que a equipe de fisioterapia permanece realizando repouso de 3 horas durante o plantão. Entretanto, conforme instituído em reunião com a gerência do setor Materno Infantil, o período de repouso estabelecido é de 2 horas.
Ressalta-se que a equipe de enfermagem vem cumprindo o período de 2 horas de repouso conforme determinado, assim como a equipe de fisioterapia dos plantões noturnos
Contudo, verifica-se que parte da equipe de fisioterapia continua realizando 3 horas de repouso, em desacordo com o que foi definido. Solicita-se alinhamento e cumprimento do período de repouso estabelecido pela gerência</t>
  </si>
  <si>
    <t>USO DE APRELHO CELULAR POR EQUIPE MULTI NA UCI NEONATAL</t>
  </si>
  <si>
    <t>NC 2935 / 2026</t>
  </si>
  <si>
    <t>Durante o plantão noturno, foi identificado que um fisioterapeuta estava manuseando aparelho celular no leito de um recém-nascido na UCI Neonatal
Ressalta-se que o uso de aparelhos celulares em áreas assistenciais, especialmente em leitos de pacientes, deve seguir rigorosamente as normas institucionais de biossegurança e controle de infecção
Diante do ocorrido, solicita-se atenção e cumprimento das normas estabelecidas pela instituição, visando garantir a segurança do paciente e a qualidade da assistência prestada</t>
  </si>
  <si>
    <t>NÃO DISPENSÃO DE MATERIAIS SOLICITADOS EM INICIO DE PLANTÃO</t>
  </si>
  <si>
    <t>NC 2936 / 2026</t>
  </si>
  <si>
    <t>Foi observado, de forma recorrente, demora na dispensação de materiais e insumos solicitados para a UCIN pela farmácia satélite
Tal situação tem impactado na agilidade do atendimento e na assistência prestada no setor
Solicita-se avaliação e alinhamento do fluxo de dispensação dos materiais e insumos, a fim de evitar atrasos e garantir o adequado funcionamento do serviço</t>
  </si>
  <si>
    <t>FALTA DE PRIVTIVO PARA EQUIPE DE SETOR FECHAO - UCI NEONATAL</t>
  </si>
  <si>
    <t>NC 2937 / 2026</t>
  </si>
  <si>
    <t>Informado pela equipe do plantão noturno da UCI que a lavanderia não realizou a dispensação de privativos no início do plantão, relatando ausência de peças nos tamanhos G, GG e XG.
No momento, a equipe segue sem privativos. Foi informado pela lavanderia que a dispensação dos mesmos ocorreria apenas às 21h.
Solicita-se verificação e regularização da situação, a fim de garantir condições adequadas de trabalho à equipe assistencial</t>
  </si>
  <si>
    <t>RUIDOS EM SALAO DA UCI NEONATAL - SORRISOS ALTOS DENTRO DO SALAO COM RNS INTERNADOS</t>
  </si>
  <si>
    <t>NC 2938 / 2026</t>
  </si>
  <si>
    <t>Observa-se, de forma recorrente, a presença de ruídos no salão da UCI Neonatal por parte da equipe multiprofissional, incluindo conversas em tom elevado e risadas. Considerando que os recém-nascidos internados necessitam de um ambiente tranquilo, tais ruídos podem gerar estresse e interferir no cuidado e no bem-estar dos pacientes.
Solicita-se maior atenção da equipe quanto à manutenção de um ambiente silencioso e adequado no setor, visando a segurança e o conforto dos neonatos internados</t>
  </si>
  <si>
    <t>FALTA DE MATERIAL EM ESTOQUE EM SISTEMA QUANDO SOLICITADO</t>
  </si>
  <si>
    <t>NC 2939 / 2026</t>
  </si>
  <si>
    <t>Segue de forma recorrente a falta de material em estoque no sistema MV no momento da solicitação. Tal situação tem dificultado a assistência e o andamento adequado das atividades da equipe, sendo necessária verificação e regularização do abastecimento para evitar prejuízos no atendimento</t>
  </si>
  <si>
    <t>RUIDOS ACOMETIDOS POR EQUIPE MULTI EM NOTURNO NO SALÃO DA UCI NEONATAL</t>
  </si>
  <si>
    <t>NC 2940 / 2026</t>
  </si>
  <si>
    <t>Comunica-se que tem sido observado, de forma recorrente, a presença de ruídos no salão da UCI Neonatal por parte da equipe multiprofissional, incluindo conversas em tom elevado e risadas durante o período de trabalho.
Considerando que os recém-nascidos internados necessitam de um ambiente calmo, silencioso e com estímulos controlados, tais ruídos podem ocasionar estresse, interferir no repouso e impactar negativamente no cuidado e no bem-estar dos pacientes.
Diante do exposto, solicita-se maior atenção e colaboração de toda a equipe quanto à manutenção de um ambiente silencioso e adequado no setor, contribuindo para a segurança, conforto e recuperação dos neonatos internados.</t>
  </si>
  <si>
    <t xml:space="preserve">PALAVRAS INAPROPRIADAS POR EQUIPE DA PARTE MULTI DURANTE O PLANTÃO </t>
  </si>
  <si>
    <t>NC 2941 / 2026</t>
  </si>
  <si>
    <t>Comunica-se que a equipe segue apresentando ruídos e utilização de palavras inapropriadas na sala de prescrição e no salão da UCI Neonatal.
Ressalta-se que já foram realizadas orientações durante o plantão quanto à proibição de tais condutas e sobre a necessidade de manter postura profissional adequada no ambiente de trabalho, principalmente em um setor que presta assistência a recém-nascidos que necessitam de ambiente calmo e controlado.
Diante da recorrência do fato, reforça-se a necessidade de maior atenção e comprometimento da equipe quanto à postura profissional, manutenção do silêncio e respeito ao ambiente assistencial, visando garantir a segurança, o conforto e o bem-estar dos neonatos internados</t>
  </si>
  <si>
    <t>REPOUSO DE 4 HORAS EM NOTURNO POR FISIOTERAPEUTA NESSE NOTURNO DE HOJE - UCI NEONATAL</t>
  </si>
  <si>
    <t>NC 2942 / 2026</t>
  </si>
  <si>
    <t>Foi observado que o fisioterapeuta do plantão noturno retirou 4 horas de repouso, no período das 02:00 às 06:00. Contudo, conforme alinhamento prévio com a gerência do materno infantil, o tempo estabelecido para repouso durante o plantão noturno é de 2 horas.
Ressalta-se que a equipe de enfermagem segue cumprindo o período de 2 horas de repouso, conforme orientação estabelecida ja em reunião com toda a equipe da uci neonatal
SOLICITIO ALINHAMENTO E ADEQUAÇÃO A ORIENTAÇÃO INSTITUCIONAL PREVIAMENTE JA DEFINIDA POR GERENCIA DO MATERNO INFANTIL
EQUIPE DE ENFERMAGEM CIENTE SOBRE O HORARIO DE 04 HORAS DE REPOUSO POR PARTE DO FISIOTERAPEUTA DO NOTURNO DE HOJE ----- NOITE DO DIA 05.03.2026</t>
  </si>
  <si>
    <t>SOLICITAÇÃO FORA DO CRONOGRAMA!</t>
  </si>
  <si>
    <t>NC 2943 / 2026</t>
  </si>
  <si>
    <t>João Vitor Pereira Rios</t>
  </si>
  <si>
    <t>Informo que no dia 05/03/2026 teve a solicitação de numero 2665193, fora do cronograma de solicitações.</t>
  </si>
  <si>
    <t>Desempenho Profissional da Equipe de Maqueiros</t>
  </si>
  <si>
    <t>NC 2944 / 2026</t>
  </si>
  <si>
    <t>Realizo a presente notificação de não conformidade referente ao desempenho profissional de colaboradores da função de maqueiro no Pronto-Socorro, sendo identificadas situações de ausência do setor, baixa resolutividade nas demandas assistenciais, respostas inadequadas aos enfermeiros quando solicitados e desorganização de macas e cadeiras de rodas utilizadas no fluxo assistencial. Observam-se ainda falhas no apoio à assistência, principalmente no transporte de pacientes para realização de exames, ocasionando impacto direto na segurança do paciente, atraso no fluxo assistencial e comprometimento da organização do setor. Ressalta-se que tais condutas configuram descumprimento de deveres profissionais previstos na Consolidação das Leis do Trabalho - CLT (Decreto-Lei nº 5.452/1943), Art. 482, relacionados à desídia no desempenho das funções, indisciplina e insubordinação no ambiente de trabalho. Diante do exposto, registra-se a presente notificação para ciência e adoção das providências cabíveis, visando garantir a organização do setor, a segurança do paciente e o adequado funcionamento do fluxo assistencial.</t>
  </si>
  <si>
    <t>Setor de Transporte</t>
  </si>
  <si>
    <t xml:space="preserve">Não realização da avaliação de eficácia: Segregação de resíduos hospitalares. </t>
  </si>
  <si>
    <t>NC 2945 / 2026</t>
  </si>
  <si>
    <t>As avaliações de eficácia são realizadas após a finalização dos treinamentos, com o objetivo de verificar a compreensão dos conteúdos ministrados e, principalmente, a aplicação prática dos processos assistenciais no ambiente de trabalho.
Ação não realizada: Avaliar a eficácia do Treinamento: Segregação de resíduos hospitalares. 
Forma de avaliar prevista em cronograma PAT: Através do checklist diário realizado em todos os setores no período de 2 meses.</t>
  </si>
  <si>
    <t>Não realização da avaliações de eficácia: Cuidados com cateter venoso central, Comunicação não violenta e Eletrocardiograma</t>
  </si>
  <si>
    <t>NC 2946 / 2026</t>
  </si>
  <si>
    <t>As avaliações de eficácia são realizadas após a finalização dos treinamentos, com o objetivo de verificar a compreensão dos conteúdos ministrados e, principalmente, a aplicação prática dos processos assistenciais no ambiente de trabalho.
Ações não realizadas: Cuidados com cateter venoso central, Comunicação não violenta e Eletrocardiograma.</t>
  </si>
  <si>
    <t xml:space="preserve">Notificação: Laudo anestésico </t>
  </si>
  <si>
    <t>NC 2947 / 2026</t>
  </si>
  <si>
    <t>Maria Eduarda Marques da Silva</t>
  </si>
  <si>
    <t>Venho por meio desta notificar formalmente que os laudos anestésicos estão sendo preenchidos com caneta preta, prática essa que não é permitida para esse tipo de documento.
Conforme orientação já estabelecida, os laudos anestésicos devem ser preenchidos exclusivamente com caneta azul, a fim de garantir a identificação do documento original, evitando que o mesmo seja confundido com cópias (xerox). Ressalta-se que documentos que aparentem ser cópias não são aceitos pelo município, podendo ocasionar pendências administrativas, devolução de prontuários e prejuízos ao serviço.
Destaca-se ainda que essa situação vem ocorrendo com frequência, o que não deve acontecer, considerando que se trata de um documento oficial que compõe o prontuário do paciente e possui validade legal.
Diante do exposto, reforça-se que não deve, em hipótese alguma, ser utilizado caneta preta no preenchimento dos laudos anestésicos, devendo ser utilizada exclusivamente caneta azul, conforme as normas estabelecidas.
Solicita-se atenção e cumprimento rigoroso dessa orientação, a fim de evitar irregularidades na documentação e possíveis transtornos administrativos.</t>
  </si>
  <si>
    <t>Registro de não conformidade - Ausência de evolução de atendimento</t>
  </si>
  <si>
    <t>NC 2948 / 2026</t>
  </si>
  <si>
    <t>Venho por meio deste informar que, conforme verificado durante o processo de faturamento, no prontuário da paciente L.S.P, nº 341470, não foi localizada evolução de atendimento do recém-nascido (RN).
A ausência dessa informação gera inconsistência no registro assistencial e pode impactar o processo de conferência e faturamento do atendimento.</t>
  </si>
  <si>
    <t xml:space="preserve">DATA DA ALTA  DIVERGENTE </t>
  </si>
  <si>
    <t>NC 2949 / 2026</t>
  </si>
  <si>
    <t>FOI OBSERSERVADO QUE TIPO DE ALTA DO PRONTUARIO FISICO NAO CONFERE COM O MOTIVO DA ALTA DENTRO DO SISTEMA(MV).
SEGUE OS NUMEROS DE PROTUARIO 
PROTUARIO:333209
PROTUARIO:339240
PEDIMOS QUE FIQUEM MAS ATENTOS,POIS ISSO TEM ACORRIDO COM FREQUENCIA .</t>
  </si>
  <si>
    <t>NC 2950 / 2026</t>
  </si>
  <si>
    <t>Informo que houve a liberação pelo agente de portaria no dia 06/03 as 16:55 em desacordo com o fluxo estabelecido para recebimento e conferência de mercadorias. Solicito que as próximas liberações ocorram somente após validação formal do setor responsável. transportadora foi liberada sem a devida autorização do Almoxarifado,</t>
  </si>
  <si>
    <t>NC 2951 / 2026</t>
  </si>
  <si>
    <t>Acionamento de Maqueiros Centro Cirurgico</t>
  </si>
  <si>
    <t>NC 2952 / 2026</t>
  </si>
  <si>
    <t>07/03/2026</t>
  </si>
  <si>
    <t>No dia 06/03, às 16h00 e, a enfermeira Larissa realizou solicitação de maqueiro para o Centro Cirúrgico, por meio de ramal e as 16:35h via  WhatsApp (Imagem em anexo) . O retorno da equipe de maqueiros ocorreu às 17h00, com chegada do profissional ao setor às 17h12.
Notifico para alinhamento da comunicação entre as equipes, considerando que uma das principais reclamações da equipe de enfermagem em relação ao serviço de maqueiros refere-se à ausência de retorno após o acionamento. Conforme relatado pela equipe, compreende-se que há alta demanda de solicitações, porém a falta de um posicionamento sobre o tempo estimado para atendimento gera dificuldades no fluxo assistencial.
[fig:vfs:1550]</t>
  </si>
  <si>
    <t>Impossibilidade de Reparo em Maca Cirúrgica por Ausência de Componente Patrimonial</t>
  </si>
  <si>
    <t>NC 2953 / 2026</t>
  </si>
  <si>
    <t>Durante o atendimento de uma Ordem de Serviço registrada via NEOVERO para reparo em uma maca cirúrgica, constatou-se que a manutenção não pôde ser realizada, uma vez que o equipamento encontrava-se sem o amortecedor, componente indispensável para a execução do reparo.
A situação foi comunicada ao responsável pelo setor, que informou não ter conhecimento do paradeiro do referido componente. Ressaltamos que qualquer intervenção, manutenção ou reparo em bens patrimoniais desta unidade deve ser realizado exclusivamente pelo setor de Patrimônio, conforme os procedimentos estabelecidos.</t>
  </si>
  <si>
    <t>Movimentação de Bem Patrimonial sem Comunicação ao Setor de Patrimônio - PAM</t>
  </si>
  <si>
    <t>NC 2954 / 2026</t>
  </si>
  <si>
    <t>Foi identificada uma mesa de escritório (Pat. nº 202018) no subsolo, próxima ao elevador. Após verificação no sistema patrimonial, constatou-se que o bem pertence ao Pronto Atendimento Materno (PAM), especificamente à sala Multiprofissional. Ressalta-se que a movimentação do referido bem foi realizada sem o conhecimento do setor de Patrimônio. Reforçamos a importância de seguir o fluxo estabelecido para movimentação interna de bens, sendo necessário comunicar previamente o setor de Patrimônio sempre que houver necessidade de transferência ou remanejamento de equipamentos.</t>
  </si>
  <si>
    <t xml:space="preserve">ALTA DIVERGENTE </t>
  </si>
  <si>
    <t>NC 2955 / 2026</t>
  </si>
  <si>
    <t>FOI INDENTIFICADO QUE O PRONTUARIO DA PACIENTE M.D.S.T.O ESTA COM DATA  DA ALTA DIVERGENTE COM ALTA DENTRO DO DISTEMA (MV)
PEDIMOS QUE FIQUEM MAS ATENTOS.</t>
  </si>
  <si>
    <t>NC 2956 / 2026</t>
  </si>
  <si>
    <t>FOI OBSERVADO QUE O PROTUARIO DA PACIENTE L.M.A ESTA COM DATA DA ALTA  DIFERENTE DA DATA QUE CONSTA NO SISTEMA (MV).
SEGUE AS DATAS.
__==DATA DA ALTA DO PRONTUARIO FISICO  :10/01/2026 A 24/01/2026==__
__==DATA DA ALTA NO SISTEMA(MV) 10/01/2026 A 09/02/2026==__
PEDIMOS MAS ATENCAO POIS ISSO TEM OCORRIDO COM FREQUENCIA.</t>
  </si>
  <si>
    <t>DATA DA ALTA INCORRETA.</t>
  </si>
  <si>
    <t>NC 2957 / 2026</t>
  </si>
  <si>
    <t>Informo que foi identificada divergência na data de alta do paciente registrada no prontuário em comparação com a data registrada no sistema. A informação presente no prontuário não está correspondendo ao registro no sistema institucional.
Solicita-se, por gentileza, a verificação do caso e a devida análise/correção, se necessário, para que os registros fiquem compatíveis.
DATA DA INTERNAÇÃO: 26/02/20226 
DATA DA ALTA: 28/02/2026
[fig:vfs:1552]</t>
  </si>
  <si>
    <t>AUSÊNCIA DO LAUDO DE ALTA  ADMINISTRATIVA NO PRONTUÁRIO</t>
  </si>
  <si>
    <t>NC 2958 / 2026</t>
  </si>
  <si>
    <t>Prontuário de nº 335177 paciente K.D.S.R. 
Houve a quebra do prontuário físico de 30 dias, porém, o médico responsável não fez a Alta Administrativa do prontuário de 30 dias.</t>
  </si>
  <si>
    <t>ENCAMINHAMENTO DE PACIENTE MENOR DE IDADE SEM RESPONSÁVEL LEGAL</t>
  </si>
  <si>
    <t>NC 2959 / 2026</t>
  </si>
  <si>
    <t>NO DIA 09/03/2026 POR VOLTA DE 12H:00MIN PACIENTE MENOR DE 15 ANOS C.N.J.R (N° PRONT: 344648, DN: 18/03/2010) DEU ENTRADA NO CENTRO CIRÚRGICO PROVENIENTE DO AMBULATÓRIO PARA PROCEDIMENTO CIRÚRGICO, ACOMPANHADO POR ADULTO NÃO IDENTIFICADO COMO RESPONSÁVEL LEGAL (VIZINHO). DURANTE ADMISSÃO NO SETOR, FOI IDENTIFICADA A AUSÊNCIA DO RESPONSÁVEL PARA ASSINATURA DOS TERMOS E AUTORIZAÇÃO DO PROCEDIMENTO CIRÚRGICO. ACINADO SERVIÇO SOCIAL PARA CONTATO COM GENITOR, QUE POSTERIORMENTE COMPARECEU À UNIDADE PARA ASSINATURA DOS TERMOS NECESSÁRIOS POSSIBILITANDO SEGUIMENTO DO PROCEDIMENTO.
SITUAÇÃO OCASIONOU ATRASO NO FLUXO ASSISTENCIAL E EVEDENCIA NECESSIDADE DE REFORÇO QUANTO À OBRIGATORIEDADE DA PRESENÇA DO RESPONSÁVEL LEGAL PARA ENCAMINHAMENTO DE PACIENTES MENORES AO CENTRO CIRÚRGICO.</t>
  </si>
  <si>
    <t>Envio Indevido de Agulha 40/12 da Clínica Médica para a CME</t>
  </si>
  <si>
    <t>NC 2960 / 2026</t>
  </si>
  <si>
    <t>No dia 09/02/2026, às 16:00 horas, foi recebido na CME uma bacia proveniente da Clínica Médica contendo uma agulha 40/12, o que representa risco à integridade física e à saúde das colaboradoras que realizam o manuseio e processamento dos materiais. Ressalta-se que o envio de materiais perfurocortantes de forma inadequada caracteriza descumprimento das normas de biossegurança e do fluxo correto de descarte e encaminhamento de materiais, configurando assim uma notificação de não conformidade que deve ser registrada para conhecimento e adoção das medidas corretivas necessárias.</t>
  </si>
  <si>
    <t>DATA DA ALTA DIVERGENTE DA AUTORIZAÇÃO</t>
  </si>
  <si>
    <t>NC 2961 / 2026</t>
  </si>
  <si>
    <t>Prontuário nº: 320315 (D. M. C.), encontra-se com a data da Alta Médica (Resumo de Alta) divergente da data da Autorização do SISREG.
E não possui Evoluções Médicas no MV referente ao dia 07/02/2026 (dia de sua transferência para outro estabelecimento).</t>
  </si>
  <si>
    <t>NC 2962 / 2026</t>
  </si>
  <si>
    <t>AUSENCIA DO RAIO X PÓS OPERATÓRIO - ORTOPEDIA</t>
  </si>
  <si>
    <t>NC 2963 / 2026</t>
  </si>
  <si>
    <t>Paciente F.R.P.C de prontuário nº330709 realizou procedimento cirúrgico com colocação de OPME. 
Não realizaram o exame Raio X no pós operatório do paciente, consequentemente será impossibilitado de faturar os OPME.05</t>
  </si>
  <si>
    <t>Ausência de Registro de Alta médica e Hospitalar</t>
  </si>
  <si>
    <t>NC 2964 / 2026</t>
  </si>
  <si>
    <t>Comunico a identificação de não conformidade referente ao registro de alta médica e hospitalar do paciente J. D., atendimento nº 1586610. Foi constatada ausência de registro de alta médica e hospitalar no sistema, referente ao paciente acima informado. O mesmo deixou a unidade hospitalar no dia 03/03/2026 acompanhado do serviço social. A alta medica e hospitalar foi realizada no sistema pelo NIR em 09/03/2026 (segue documento em anexo).
Tal ocorrência caracteriza descumprimento do protocolo institucional de alta, impactando diretamente os indicadores assistenciais e gerenciais, incluindo rotatividade de leito, taxa de ocupação e paciente - dia hospitalar. Além disso compromete a prestação de compras ao município, o faturamento dos prontuários e o fluxo operacional das equipes de apoio, como nutrição, SAME, faturamento e qualidade.</t>
  </si>
  <si>
    <t>ERRO MÉDICO EM EVOLUÇÃO MÉDICA - RN</t>
  </si>
  <si>
    <t>NC 2965 / 2026</t>
  </si>
  <si>
    <t>Paciente A.M.C.P nº prontuário 224114 realizou parto normal e consta na evolução médica pediatra evidências de parto cesárea.</t>
  </si>
  <si>
    <t>FALTA DE JUSTIFICATIVA EM MOTIVO DE ALTA</t>
  </si>
  <si>
    <t>NC 2966 / 2026</t>
  </si>
  <si>
    <t>Comunico a identificação de não conformidade referente ao motivo de alta do paciente H.S.D., atendimento nº 1594672, apesar da alta estar com o motivo correto o mesmo não consta justificativa. Ressaltamos que, quando for utilizada a opção de alta por outros motivos, é obrigatório realizar a devida justificativa, descrevendo claramente a razão da escolha, a fim de garantir a correta informação e registro no prontuário/sistema. (segue documento em anexo).</t>
  </si>
  <si>
    <t>DATA DE ALTA DIVERGENTE</t>
  </si>
  <si>
    <t>NC 2967 / 2026</t>
  </si>
  <si>
    <t>No momento da fatura do prontuário,322965 de A.R.S.S, foi observado que a data de alta esta divergente, no físico esta 15/02/2026, e no sistema MV, 20/02/2026, Porem acarretando diárias inexistente  na conta do paciente.</t>
  </si>
  <si>
    <t>NC 2968 / 2026</t>
  </si>
  <si>
    <t>Não preenchimento correto do Formulário de uso de OPME, sendo que foi utilizado 15 parafusos ao total (RX em anexo) e no formulário estava descrito 16 parafusos ao total (gasto em anexo) e não visualizado no RX parafuso esponjoso como estra descrito no gasto de Uso de OPME. 
Data da cirurgia: 06/03/2026
Prontuário: 344190</t>
  </si>
  <si>
    <t>NC 2969 / 2026</t>
  </si>
  <si>
    <t>Informo que houve a liberação pelo agente de portaria no dia 12/03 as 09:21h e 14:14h em desacordo com o fluxo estabelecido para recebimento e conferência de mercadorias. Solicito que as próximas liberações ocorram somente após validação formal do setor responsável. transportadora foi liberada sem a devida autorização do Almoxarifado</t>
  </si>
  <si>
    <t xml:space="preserve">TIPO DE ALTA DIVERGENTE </t>
  </si>
  <si>
    <t>NC 2970 / 2026</t>
  </si>
  <si>
    <t>INFORMO QUE OS PRONTUARIOS  FISICO A SEGUIR  DA MATERNIDADE ESTAO COM MOTIVO DA ALTA DIVERGENTE COM O DO SISTEMA (MV)
UMA VEZ QUE TEM QUE SER 61 (ALTA DA MAE/ PUEPURA E DO RN) E NAO 12.(ALTA MELHORADA )
AIH:1526103799253   AIH:1526103800144   AIH:1526103795645
AIH:1526103800320   AIH:1526103799870   AIH:1526103796822
AIH:1526103797031   AIH:1526103796679   AIH1526103796866
AIH::1526103797438  AIH:1526103799209</t>
  </si>
  <si>
    <t>Sugestão de disponibilização de micro-ondas no refeitório dos colaboradores</t>
  </si>
  <si>
    <t>NC 2971 / 2026</t>
  </si>
  <si>
    <t>À Direção/Setor responsável,
Venho, por meio desta, apresentar uma sugestão visando a melhoria das condições de alimentação dos colaboradores desta instituição.
Considerando que o hospital conta atualmente com aproximadamente 450 profissionais de enfermagem, observa-se que muitos colaboradores permanecem longos períodos em jornada de trabalho, necessitando realizar suas refeições no ambiente institucional.
Diante disso, sugere-se a disponibilização de um forno micro-ondas no refeitório dos colaboradores, com a finalidade de possibilitar que os profissionais possam aquecer refeições trazidas de casa. Essa medida contribuirá para maior conforto durante o período de alimentação, além de proporcionar uma alternativa quando a refeição ofertada não atende às preferências individuais.
Acredita-se que essa iniciativa poderá promover maior bem-estar aos colaboradores, refletindo positivamente no ambiente de trabalho e na qualidade da assistência prestada.
Sem mais para o momento, coloco-me à disposição para quaisquer esclarecimentos.</t>
  </si>
  <si>
    <t>Diretoria Administrativa/ Financeira</t>
  </si>
  <si>
    <t xml:space="preserve">AUTORIZAÇÃO DE PROCEDIMENTO </t>
  </si>
  <si>
    <t>NC 2972 / 2026</t>
  </si>
  <si>
    <t>Consta no prontuário do paciente ==229610== / ==M.F.P.L== a realização de 02 procedimentos cirúrgicos. 
A 2ª Autorização está marcada com a data da 1ª cirurgia, o mesmo foi solicitado e enviado ao DIRCA o 1º Laudo Cirúrgico, o correto seria o 2º Laudo Cirúrgico. 
Dessa forma, após essa falha o DIRCA autorizou o que foi enviado.</t>
  </si>
  <si>
    <t>DATA DA ALTA  ERRADA</t>
  </si>
  <si>
    <t>NC 2973 / 2026</t>
  </si>
  <si>
    <t>Informamos que foi identificado prontuário com data de alta registrada incorretamente, apresentando divergência em relação à data registrada no sistema.
Solicitamos a verificação do prontuário e a correção da informação, a fim de garantir a conformidade e a precisão dos registros.
isso esta acontecendo com muita frequência. solicito uma solução, para não esta acontecendo mais ! 
[fig:vfs:1562]</t>
  </si>
  <si>
    <t>Não realização de reprogramação de PAT conforme POP - LNT e PAT</t>
  </si>
  <si>
    <t>NC 2974 / 2026</t>
  </si>
  <si>
    <t>O treinamento de Fluxos e indicadores  para o mês de fevereiro, no entanto, não foi realizado. Conforme POP - LNT e PAT, em caso de alteração da programação, o responsável deverá preencher o formulário FOR.HGP.NEP.009 - Formulário de Alteração PAT, com pelo menos 5 dias úteis de antecedência ao treinamento, justificando o motivo e indicando a nova data de realização.
Notifico para melhoria e solicito nova data para o treinamento.</t>
  </si>
  <si>
    <t>Núcleo de Gestão do Atendimento e Humanização</t>
  </si>
  <si>
    <t>NC 2975 / 2026</t>
  </si>
  <si>
    <t>O treinamento de Identificação de Sinais e Sintomas Em Urgências Obstétricas estava previsto para o mês de fevereiro, no entanto, não foi realizado. Conforme POP - LNT e PAT, em caso de alteração da programação, o responsável deverá preencher o formulário FOR.HGP.NEP.009 - Formulário de Alteração PAT, com pelo menos 5 dias úteis de antecedência ao treinamento, justificando o motivo e indicando a nova data de realização.
Notifico para melhoria e solicito nova data para o treinamento</t>
  </si>
  <si>
    <t>NC 2976 / 2026</t>
  </si>
  <si>
    <t>O treinamento de NR-32 - Segurança e Saúde nos Serviços de Saúde estava previsto para o mês de fevereiro, no entanto, não foi realizado. Conforme POP - LNT e PAT, em caso de alteração da programação, o responsável deverá preencher o formulário FOR.HGP.NEP.009 - Formulário de Alteração PAT, com pelo menos 5 dias úteis de antecedência ao treinamento, justificando o motivo e indicando a nova data de realização.
Notifico para melhoria e solicito nova data para o treinamento</t>
  </si>
  <si>
    <t>Pendência em alta hospitalar</t>
  </si>
  <si>
    <t>NC 2977 / 2026</t>
  </si>
  <si>
    <t>Comunico a identificação de não conformidade referente ao registro de alta hospitalar do paciente S.J.S, atendimento nº 1592997. Foi constatada ausência de registro de alta hospitalar no sistema, referente ao paciente acima informado. Devido prescrição nº4759773 em aberto. Tal ocorrência caracteriza descumprimento do protocolo institucional de alta, impactando diretamente os indicadores assistenciais e gerenciais, incluindo rotatividade de leito, taxa de ocupação e paciente - dia hospitalar.</t>
  </si>
  <si>
    <t>NC 2978 / 2026</t>
  </si>
  <si>
    <t>Comunico a identificação de não conformidade referente ao registro de alta hospitalar do paciente K.S.S, atendimento nº 1595060.Foi constatada a ausência de registro de alta hospitalar no sistema para a paciente mencionada. Verificou-se que o recém-nascido (RN) de puérpera permaneceu internado na unidade para tratamento clínico, enquanto a mãe já possuía alta médica. Ressalta-se que, nessas situações, o protocolo institucional de alta deve ser seguido normalmente, sendo necessária apenas a comunicação ao setor responsável (NIR) para bloqueio do leito e internação do RN em leito virtual. Esse procedimento é fundamental para evitar impacto no protocolo institucional de alta hospitalar.(segue documento em anexo).</t>
  </si>
  <si>
    <t>Demora em finalização de alta hospitalar.</t>
  </si>
  <si>
    <t>NC 2979 / 2026</t>
  </si>
  <si>
    <t>Comunico a identificação de não conformidade referente ao registro de alta hospitalar do paciente M.T.S. , atendimento nº 1595242, Foi constatada a demora em registro de alta hospitalar no sistema para a paciente mencionada. Verificou-se que o recém-nascido (RN) de puérpera permaneceu internado na unidade para tratamento clínico, enquanto a mãe já possuía alta médica desde do dia 09/03/2026, sendo alta finalizada no dia 12/03/2026. Ressalta-se que, nessas situações, o protocolo institucional de alta deve ser seguido normalmente, sendo necessária apenas a comunicação ao setor responsável (NIR) para bloqueio do leito e internação do RN em leito virtual. Esse procedimento é fundamental para evitar impacto no protocolo institucional de alta hospitalar, como os indicadores assistenciais e gerenciais, incluindo rotatividade de leito, taxa de ocupação e paciente - dia hospitalar.</t>
  </si>
  <si>
    <t xml:space="preserve">Não preenchimento do Formulário de - Uso de OPME </t>
  </si>
  <si>
    <t>NC 2980 / 2026</t>
  </si>
  <si>
    <t>Não preenchimento do formulário de Uso de OPME e envio para setor do OPME - Segue em anexo Gasto de sala cirúrgica. 
Data da cirurgia: 23/01/2026
Prontuário: 181175</t>
  </si>
  <si>
    <t>Demora em alta hospitalar</t>
  </si>
  <si>
    <t>NC 2981 / 2026</t>
  </si>
  <si>
    <t>Comunico a identificação de não conformidade referente ao registro de alta hospitalar do paciente com atendimento nº 1598559, Foi constatada a demora em registro de alta hospitalar no sistema para o paciente mencionado, (alta medica realizada 11/03/2026 hr:14:56 - alta hospitalar 12/03/2026 hr:11:15).  Tal ocorrência caracteriza descumprimento do protocolo institucional de alta, impactando diretamente os indicadores assistenciais e gerenciais, incluindo rotatividade de leito, taxa de ocupação e paciente - dia hospitalar.</t>
  </si>
  <si>
    <t>Não preenchimento do Formulário de - Uso de OPME</t>
  </si>
  <si>
    <t>NC 2982 / 2026</t>
  </si>
  <si>
    <t>Não preenchimento do formulário de Uso de OPME e envio para setor do OPME - Segue em anexo Gasto de sala cirúrgica.
Data da cirurgia: 28/01/2026
Prontuário: 172825</t>
  </si>
  <si>
    <t>pendência de alta hospitalar</t>
  </si>
  <si>
    <t>NC 2983 / 2026</t>
  </si>
  <si>
    <t>Comunico a identificação de não conformidade referente ao registro de alta hospitalar do paciente D.R.A com atendimento nº 1565502, Foi constatada a demora em registro de alta hospitalar no sistema para o paciente mencionado, (alta medica realizada 11/03/2026 hr:13:44 - alta hospitalar ainda não consta em sistema ate o presente momento 12/03/2026 hr:14:51).  Tal ocorrência caracteriza descumprimento do protocolo institucional de alta, impactando diretamente os indicadores assistenciais e gerenciais, incluindo rotatividade de leito, taxa de ocupação e paciente - dia hospitalar.</t>
  </si>
  <si>
    <t>Solicitação de notas fiscais de OPME em procedimento que não utilizou OPME</t>
  </si>
  <si>
    <t>NC 2984 / 2026</t>
  </si>
  <si>
    <t>Solicitação de notas fiscais de OPME em procedimento que não utilizou OPME - Segue em anexo as descrições cirúrgicas. 
Prontuário: 325950 / 222540 / 310690</t>
  </si>
  <si>
    <t>Pendência em alta hospitlar</t>
  </si>
  <si>
    <t>NC 2985 / 2026</t>
  </si>
  <si>
    <t>Comunico a identificação de não conformidade referente ao registro de alta hospitalar da puérpera e de seu recém-nascido (RN) A.C.O.S., atendimento nº 1597283. Foi constatada demora no registro da alta hospitalar no sistema para os pacientes mencionados. A alta médica da mãe ocorreu em 11/03/2026, às 10:34. Contudo, a puérpera permaneceu na unidade aguardando a alta do RN, que ocorreu no mesmo dia, às 17:33. Entretanto, a finalização do registro de alta hospitalar no sistema foi realizada apenas em 12/03/2026, conforme documento em anexo. Tal ocorrência caracteriza descumprimento do protocolo institucional de alta, impactando diretamente os indicadores assistenciais e gerenciais, incluindo rotatividade de leito, taxa de ocupação e paciente - dia hospitalar.</t>
  </si>
  <si>
    <t>ALTA ADMINISTRATIVA INCORRETA</t>
  </si>
  <si>
    <t>NC 2986 / 2026</t>
  </si>
  <si>
    <t>Paciente P.H.A.M de nº prontuário 339735 permaneceu internada no período total de 04/02/26 - 07/02/2026. 
Houve uma quebra no sistema, com alta ADM em um período curto de 04/02 - 06/02 e 06/02 - 07/02. Sendo assim, ficando impossibilitado de faturar a conta toda, o mesmo será faturado somente uma parte no sistema.</t>
  </si>
  <si>
    <t>NÃO CONFORMIDADE - DESCUMPRIMENTO DE NORMAS E CONDUTA INSTITUCIONAIS</t>
  </si>
  <si>
    <t>NC 2987 / 2026</t>
  </si>
  <si>
    <t>Por meio desta, registramos uma notificação referente à conduta apresentada durante a ação em comemoração ao Dia das Mulheres, realizada no dia 06 de março de 2025, nas dependências desta instituição. Na ocasião, foi observado que a colaboradora L.R.R.B., do setor Centro Cirúrgico, compareceu ao local da ação utilizando vestimenta considerada inadequada para o ambiente de trabalho e sem o uso do crachá de identificação, item obrigatório para todos os colaboradores durante o expediente. Além disso, a colaboradora adotou postura considerada ríspida ao solicitar uma muda de plantas que estavam sendo distribuídas durante a ação, o que acabou gerando desconforto entre os presentes e organizadores.
Reforçamos que é esperado de todos os colaboradores postura profissional, cordialidade e o cumprimento das normas institucionais, incluindo o uso adequado do crachá, vestimentas apropriadas e comportamento respeitoso no ambiente de trabalho e em ações institucionais. Esta notificação possui caráter orientativo e preventivo, visando alinhar condutas e evitar reincidências. 
Anexo: Registro fotográfico da colaboradora no momento da ocorrência.</t>
  </si>
  <si>
    <t>Não conformidade no preparo pré-operatório</t>
  </si>
  <si>
    <t>NC 2988 / 2026</t>
  </si>
  <si>
    <t>Paciente admitido no período noturno para realização de procedimento cirúrgico eletivo. Durante avaliação no período diurno, foi identificado que o paciente encontrava-se sem preparo cirúrgico realizado e sem uso de bata cirúrgica, conforme rotina institucional.
Ressalta-se que o colaborador do plantão noturno, Tec. de Enfermagem Wília, devido solicitação superior, permaneceu no setor no período diurno  até o meio dia e realizou as providências necessárias para encaminhamento do paciente ao Centro Cirúrgico.
Entretanto, no momento do encaminhamento, foi observado que o paciente seguiu para o Centro Cirúrgico sem acesso venoso periférico, situação que pode aumentar riscos assistenciais, como atraso no início do procedimento, dificuldade para administração imediata de medicações e fluidoterapia, além de possíveis intercorrências no período pré-operatório.
Ocorrência registrada para conhecimento da equipe e reforço da importância do cumprimento do protocolo de preparo pré-operatório, visando maior segurança ao paciente.</t>
  </si>
  <si>
    <t>Não conformidade na orientação sobre ingestão oral em paciente em uso de sonda</t>
  </si>
  <si>
    <t>NC 2989 / 2026</t>
  </si>
  <si>
    <t>DEMORA PARA BUSCAR PACIENTE NO CENTRO CIRURGICO</t>
  </si>
  <si>
    <t>NC 2990 / 2026</t>
  </si>
  <si>
    <t>Sinalizo que houve demora na busca de paciente em pós-operatório no setor centro cirúrgico para centro obstétrico. O paciente permaneceu aguardando por período prolongado após liberação, o que ocasionou atraso na demanda do setor, acionado as 19:32hs, 20:hs, 20:41hs sem sucesso, somente as 21:06hs foi possível encaminhar paciente.</t>
  </si>
  <si>
    <t>NC 2991 / 2026</t>
  </si>
  <si>
    <t>Informo que houve a liberação pelo agente de portaria no dia 11/03 as 10:04 em desacordo com o fluxo estabelecido para recebimento e conferência de mercadorias. Solicito que as próximas liberações ocorram somente após validação formal do setor responsável. ocorreu a liberação de três transportadora ao mesmo tempo sem a devida autorização do Almoxarifado,</t>
  </si>
  <si>
    <t>NC 2992 / 2026</t>
  </si>
  <si>
    <t>Informo que houve a liberação pelo agente de portaria no dia 12/03 as 14:14h e 09:21h em desacordo com o fluxo estabelecido para recebimento e conferência de mercadorias. Solicito que as próximas liberações ocorram somente após validação formal do setor responsável. transportadora foi liberada sem a devida autorização do Almoxarifado,</t>
  </si>
  <si>
    <t>NC 2993 / 2026</t>
  </si>
  <si>
    <t>Paciente J.C.L proveniente do cgo veio para o centro cirurgico para procedimento de laqueadura tubaria. no momento de verificar avp da paciente identificado que a mesma estava com J 22, fato que interfere diretamente na qualidade da assistencia prestada a paciente. Recomenda-se semppre prioridade para J 18 ou 20. Realizo esta notificação para melhoria da assistencia e segurança do paciente.</t>
  </si>
  <si>
    <t>sem atendimento cme.</t>
  </si>
  <si>
    <t>NC 2994 / 2026</t>
  </si>
  <si>
    <t>Fania Jardelly Ferreira da Silva</t>
  </si>
  <si>
    <t>Sinalizo que na data do dia 13-03-2026, conforme o horário estipulado do setor CME, das 02:00 as 04:00hs da madrugada, ao tentar fazer a retirada de materiais, não foi  o atendimento no setor, ausência de colaboradores.
notifico para melhoria do setor.</t>
  </si>
  <si>
    <t>Notificação de erro na data de alta do prontuário no sistema</t>
  </si>
  <si>
    <t>NC 2995 / 2026</t>
  </si>
  <si>
    <t>Venho por meio desta informar que foi identificado um erro na data de alta registrada no prontuário no sistema.
Solicito, por gentileza, a verificação e correção da informação, para que os dados do prontuário fiquem corretos no sistema.
isso vem acontecendo com muitas frequência.
data do prontuário: 21/02/2026 data da alta: 22/02/2025
data do sistema:
[fig:vfs:1567]</t>
  </si>
  <si>
    <t>Mapa de dietas CPN sem registros</t>
  </si>
  <si>
    <t>NC 2996 / 2026</t>
  </si>
  <si>
    <t>Coordenação de Hotelaria  / SND - Serviço de Nutrição Dietética</t>
  </si>
  <si>
    <t>Ao imprimir mapa de dieta do CPN 16/03/2026, o mesmo encontra-se sem registros de pacientes, ligo para o setor e afirmam ter duas pacientes. Solicito ajuste de fluxo, impressão do mapa almoço é as 10h30 
[fig:vfs:1568]</t>
  </si>
  <si>
    <t xml:space="preserve">DATA DA ALTA DIVERGENTE </t>
  </si>
  <si>
    <t>NC 2997 / 2026</t>
  </si>
  <si>
    <t>PROTUARIO FISICO RECEBIDO NO SETOR DE FATURAMENTO ,POREM COM DATA DA ALTA DIVERGENTE DENTRO DO DISTEMA (MV).
PEDIMOS MAS ATENCAO .</t>
  </si>
  <si>
    <t>AUSÊNCIA DA DNV NO PRONTUÁRIO DO PACIENTE</t>
  </si>
  <si>
    <t>NC 2998 / 2026</t>
  </si>
  <si>
    <t>Prezados!
Identificamos, durante a conferência técnica dos documentos, que o prontuário do paciente [E.M.S] encontra-se incompleto devido à ausência da DNV (Declaração de Nascido Vivo).
Ressaltamos que a DNV é um documento de preenchimento obrigatório e essencial para a composição do prontuário, além de ser indispensável para o faturamento e para o cumprimento das normas do CNES e demais órgãos reguladores.
Contamos com a colaboração de todos para evitarmos glosas ou inconsistências no CNES. Obrigado!
Atenciosamente,</t>
  </si>
  <si>
    <t xml:space="preserve">Falta do uso do dosímetro e avental de chumbo na Sala 6 por parte do médico no Centro Cirúrgico </t>
  </si>
  <si>
    <t>NC 2999 / 2026</t>
  </si>
  <si>
    <t>Setor: Centro Cirúrgico
Equipamento Envolvido: Arco Cirúrgico (Intensificador de Imagem)
Notificante: Nadja Espínola - Vice Presidente da Comissão Radioproteção Hospitalar-CRH
2. Descrição da Não Conformidade
Durante acompanhamento de procedimento cirúrgico com utilização de arco cirúrgico, foi identificado que a equipe médica encontrava-se sem utilização de dosímetro individual e sem uso de avental plumbífero (chumbo) durante exposição à radiação ionizante.
? Local: Sala Cirúrgica 06
? Horário: 08:03
? Data: 17/03/2026
?? Procedimento: Cirurgia de mão - fratura de rádio
Tal situação configura falha grave nos protocolos de radioproteção, expondo os profissionais a radiação ionizante sem monitoramento e sem proteção adequada.</t>
  </si>
  <si>
    <t xml:space="preserve">Solicitação de Procedimentos e Produtos Hemoterápicos </t>
  </si>
  <si>
    <t>NC 3000 / 2026</t>
  </si>
  <si>
    <t xml:space="preserve">Gerência Ambulatorial e de Apoio Diagnóstico  / Agência Transfusional </t>
  </si>
  <si>
    <t>Talita Ribeiro Muza Nogueira Barcelos</t>
  </si>
  <si>
    <t>Boa tarde , 
Venho através desse, informar que , durante as avaliações realizadas no setor , foram identificadas inconstâncias recorrentes no preenchimento da ficha de __Solicitação de Procedimentos e Produtos Hemoterápicos .__
Tenho identificado que diversos pedidos estão chegando com informações incorretas ou incompletas , o que pode comprometer a análise e a liberação adequada . 
Dentre as principais pendências , destacamos :
- Ausência de peso do paciente 
- Falta do número do cartão SUS 
-Termo de consentimento não assinado 
-Assinatura médica em local inadequado 
- Falta data e horário  da Solicitação .
- Informações incorretas ou incompletas sobre antecedentes transfusionais .
Reforço a importância do correto e completo preenchimento de todos os campos obrigatórios, a fim de evitar atrasos no atendimento e garantir a segurança do paciente .</t>
  </si>
  <si>
    <t>NOTIFICAÇÃO DE INCONSISTÊNCIA CRONOLÓGICA</t>
  </si>
  <si>
    <t>NC 3001 / 2026</t>
  </si>
  <si>
    <t>Identificamos uma divergência crítica durante a conferência do prontuário do paciente [E.F.G], referente ao período de fevereiro de 2026.
As informações registradas apresentam o seguinte conflito:
? Dados no Sistema: Internação em 02/02/2026 e Alta em 20/02/2026.
? Prontuário Físico: Evoluções presentes apenas dos dias 02/02/2026 a 03/02/2026.
Solicitamos que a equipe responsável sempre verifique quando houver esses erros no lançamento da alta no sistema ou se há folhas de evolução pendentes de anexação ao prontuário físico.
Atenciosamente,</t>
  </si>
  <si>
    <t>DATA DA ALTA ERRADA.</t>
  </si>
  <si>
    <t>NC 3002 / 2026</t>
  </si>
  <si>
    <t>Informo que foi identificado erro na data de alta registrada no sistema referente a prontuário
alta do sistema:
[fig:vfs:1577]
alta da AIH: data da interação : 20/01/2026
data da alta: 31/01/2026</t>
  </si>
  <si>
    <t>Solicitação de Material Médico Hospitalar (Cirúrgica)</t>
  </si>
  <si>
    <t>NC 3003 / 2026</t>
  </si>
  <si>
    <t>No dia 13/03/2026, foi realizada a requisição de material médico-hospitalar para a Clínica Cirúrgica, durante o plantão diurno, com a finalidade de atender à demanda do setor. No momento da entrega das requisições à Farmácia, a equipe de enfermagem informou tratar-se de solicitações de caráter urgente.
Entretanto, após análise das requisições realizadas no período noturno, verificou-se que estavam sendo solicitados, em sua maioria, apenas materiais para curativos. Tal prática diverge do que foi previamente alinhado entre a Gerência de Enfermagem e a Farmácia. 
Conforme estabelecido, as solicitações de materiais devem ser realizadas no período noturno, para que a entrega ocorra durante o plantão diurno, evitando impactos na produção das fitas de medicamentos destinadas ao período de 24 horas. Ressalta-se que apenas materiais de caráter não programado ou emergencial devem ser solicitados durante o período diurno.
No entanto, essa diretriz não vem sendo cumprida, uma vez que as solicitações estão sendo realizadas no período noturno com pedido de entrega para o mesmo período.
Entrado em contato com a supervisão do setor, e verificando  também  as requisições do momento, e após a analise foi autorizado a liberação dos materiais.
Por fim, reforça-se que todos os materiais necessários para curativos, seringas, eletrodos e punções programadas devem ser requisitados no período noturno, conforme orientação previamente estabelecida.</t>
  </si>
  <si>
    <t>Reparo do teto Depósito 2, CAF</t>
  </si>
  <si>
    <t>NC 3004 / 2026</t>
  </si>
  <si>
    <t>Foi realizado chamado via sistema NEOVERO, referente às requisições nº 103913 (03/01/2026), referente ao mês de Janeiro e nº 114819 (17/03/2026), deste mês, para reparo no telhado do depósito 2(CAF).
No mês de fevereiro, foi realizada uma visita técnica para análise do telhado. Inicialmente, foi informado que seria necessário um dia de chuva para identificar os pontos exatos que necessitavam de reparo. Após essa verificação, foi apresentada a proposta de execução do serviço.
Na data de hoje, foi realizado novo contato com o serviço de manutenção, em razão da situação atual do depósito, onde há infiltração, ocasionando o molhamento das caixas de papelão contendo soluções armazenadas no local.
Como retorno, foi informado que uma equipe seria encaminhada para execução do serviço. No entanto, até o momento, o reparo não foi realizado.
Ressalta-se a necessidade urgente de manutenção no telhado, considerando o risco ao armazenamento adequado das soluções.</t>
  </si>
  <si>
    <t>DATA DA ALTA ERRADA</t>
  </si>
  <si>
    <t>NC 3005 / 2026</t>
  </si>
  <si>
    <t>alta registrada no prontuário do paciente não está compatível com as informações lançadas no sistema.
DATA DA INTERNAÇÃO: 21/02/2026
DATA DA ALTA: 22/02/2026
[fig:vfs:1578]</t>
  </si>
  <si>
    <t>Queda de porta de box em banheiro de colaboradores com colaboradora atingida</t>
  </si>
  <si>
    <t>NC 3006 / 2026</t>
  </si>
  <si>
    <t>__Descrição da ocorrência:__
Durante o limpeza do banheiro dos colaboradores, a porta do box desprendeu-se e caiu, atingindo uma colaboradora que se encontrava no local. O fato representa risco estrutural e de acidente ocupacional, exigindo apuração imediata das condições de segurança do ambiente.
__Conduta imediata:__
Colaboradora prontamente avaliada após o ocorrido. Setor responsável acionado para verificação da estrutura e adoção de medidas imediatas de segurança. 
__Risco identificado:__
Risco de acidente de trabalho relacionado à falha estrutural/manutenção inadequada do box do banheiro de colaboradores.</t>
  </si>
  <si>
    <t>Atraso na entrega de prontuários CENTRO CIRURGICO</t>
  </si>
  <si>
    <t>NC 3007 / 2026</t>
  </si>
  <si>
    <t>Prontuários referente ao mês de novembro de 2025 S. L. S. R .M 248453 estão sendo entregues agora no mês de Maço de 2026 pela equipe do centro cirúrgico os mesmo já vencidos , pois já passaram do prazo estimados para serem faturados, causando assim perca financeira ao hospital.
Gostaria que medidas cabíveis fossem tomadas referente a esta situação para melhorar na questão de entrega de prontuários que estão no centro cirúrgico evitando assim a perca financeira dos mesmo .</t>
  </si>
  <si>
    <t xml:space="preserve">Prontuário Vencido </t>
  </si>
  <si>
    <t>NC 3008 / 2026</t>
  </si>
  <si>
    <t>Josiene Borges de Oliveira</t>
  </si>
  <si>
    <t>Recebi um prontuário referente ao mês de novembro de 2025 da paciente: L.S.R.M, Nº 248453, entregue pelo o centro cirúrgico que  já se encontra vencido, o mesmo com perca financeira ao hospital por não ter sido entregue  com antecedência para a equipe responsável pela organização dos mesmos. Gostaria que medidas cabíveis fossem tomadas para que não aconteça mais esse tipo de situação, evitando assim perca no faturamento desses prontuários.</t>
  </si>
  <si>
    <t>FALTA DE IMPRESSORAS</t>
  </si>
  <si>
    <t>NC 3009 / 2026</t>
  </si>
  <si>
    <t>Falta de impressoras em alguns setores do hospital tem causado grades impactos para os médicos , equipe multe e equipe de organização dos prontuários.
Devido a falta de impressoras especificamente no setor CGO II E PEDIATRIA , os prontuários assim que os pacientes recebem alta, estão sendo entregues pelos enfermeiros, aos responsáveis pela organização dos prontuários, porem quase todos os prontuários estão faltando muitas partes importantes neles, devido a falta de impressora nos locais de trabalho atrasando assim, o trabalho da equipe e o faturamento dos mesmos.
gostaria que providencias fossem tomadas para melhor andamento das atividades dos setores e agilidade no faturamentos desses prontuários.</t>
  </si>
  <si>
    <t xml:space="preserve">Prontuário vencido por falta de documentação </t>
  </si>
  <si>
    <t>NC 3010 / 2026</t>
  </si>
  <si>
    <t>Bom dia! 
Prezados!
O prontuário do paciente por numero 282468, está com pendências que impedem o faturamento dos gastos do dia 29/12/2025. O médico responsável ainda não realizou a ficha descritiva e o gasto de sala do centro cirúrgico, Já solicitei a responsável pelo centro cirúrgico que resolva essas pendencias, mas ainda aguardo retorno. Após a resolução será necessário encaminhar ao Dirca para autorização e posterior envio ao faturamento.
Infelizmente, o prazo para faturamento 20/03/2026 é amanhã e o prontuário vencerá antes de todas as pendências serem resolvidas .
OBS: As partes cirúrgicas do dia 22/12/2025 estão ok.
Pergunto: é possível faturar apenas os procedimentos do dia 22/12/2025 que estão com a documentação completa, sem comprometer o faturamento do prontuário todo?</t>
  </si>
  <si>
    <t xml:space="preserve">SOLICITAÇÃO FORA DO CRONOGRAMA </t>
  </si>
  <si>
    <t>NC 3011 / 2026</t>
  </si>
  <si>
    <t>Informo que no dia 19/03/2026 teve a solicitação de numero 2686480, foi solicitado nutrição enteral fora do cronograma de solicitações.</t>
  </si>
  <si>
    <t>Demora em realização de alta hospitalar.</t>
  </si>
  <si>
    <t>NC 3012 / 2026</t>
  </si>
  <si>
    <t>Comunico a identificação de não conformidade referente ao registro de alta hospitalar dos pacientes a seguir:
 K.P.F com atendimento nº 1586208, (alta médica realizada 01/03/2026 hr:07:55 - alta hospitalar 02/03/2026 hr:17:07);
 G.S.S com atendimento nº 1585837, (alta médica realizada 01/03/2026 hr:07:55 - alta hospitalar 02/03/2026 hr:17:11);
 L.J.R.P com atendimento nº 1600296, , (alta médica realizada 15/03/2026 hr:09:09 - alta hospitalar 16/03/2026 hr:16:08); 
B.M.S com atendimento nº 1593100, (alta médica realizada 07/03/2026 hr:09:59 - alta hospitalar 09/03/2026 hr:10:12);
 K.O.F com atendimento nº 1586591, , (alta médica realizada 08/03/2026 hr:08:40- alta hospitalar 09/03/2026 hr:12:28); 
A.C.S.C com atendimento nº 1602825, (alta médica realizada 14/03/2026 hr:08:17- alta hospitalar 16/03/2026 hr:15:35);
L.B.R. com atendimento nº 1598786, (alta médica realizada 13/03/2026 hr:12:35- alta hospitalar 15/03/2026 hr:13:37);
N.V.S. com atendimento nº 1600237, (alta médica realizada 12/03/2026 hr:12:07- alta hospitalar 14/03/2026 hr:10:37);
A.M.S.S com atendimento nº 1600187, (alta médica realizada 13/03/2026 hr:09:12- alta hospitalar 14/03/2026 hr:10:37);
B.L.O.S com atendimento nº 1585993, (alta médica realizada 02/03/2026 hr:12:06- alta hospitalar 03/03/2026 hr:18:47);
I.S.B com atendimento nº 1594799, (alta médica realizada 09/03/2026 hr:12:12- alta hospitalar 10/03/2026 hr:17:50).
M.P.S.B com atendimento nº 1598582, (alta médica realizada 12/03/2026 hr: 11:38- alta hospitalar 13/03/2026 hr:15:31);
D.S.C com atendimento nº 1598751, (alta médica realizada 12/03/2026 hr:13:02- alta hospitalar 13/03/2026 hr:14:10 sendo finalizada pela gerência do NIR).
__Foi constatada a demora em registro de alta hospitalar no sistema para os pacientes mencionados. Tal ocorrência caracteriza descumprimento do protocolo institucional de alta, impactando diretamente os indicadores assistenciais e gerenciais, incluindo rotatividade de leito, taxa de ocupação e paciente - dia hospitalar.__</t>
  </si>
  <si>
    <t xml:space="preserve">Utilização de motivo de alta indevida. </t>
  </si>
  <si>
    <t>NC 3013 / 2026</t>
  </si>
  <si>
    <t>Comunico a identificação de não conformidade no registro de alta medica dos pacientes:
RN G.K.L.S. atendimento nº 1602992; RN M.T.S nº atendimento 1595243;
R.S.S.G. atendimento nº 1595341;
RN A.C.S.C. atendimento nº 1602836; RN M.R.L.S. atendimento nº 1589867.
Foi constatado que o motivo de alta registrado encontra-se incorreto. Ressalta-se que a opção "alta administrativa" não deve ser utilizada.</t>
  </si>
  <si>
    <t>Utilização indevida do motivo de alta medica.</t>
  </si>
  <si>
    <t>NC 3014 / 2026</t>
  </si>
  <si>
    <t>NC 3015 / 2026</t>
  </si>
  <si>
    <t>Comunico a identificação de não conformidade referente no registro de alta hospitalar dos pacientes:
 M.C.S.E com atendimento nº 1586264 (alta médica realizada 02/03/2026 hr:13:58- alta hospitalar 03/03/2026 hr:14:51). 
A.O.G com atendimento nº 1601534, (alta médica realizada 13/03/2026 hr:01:27- alta hospitalar 15/03/2026 hr:10:25); 
D.P.A. com atendimento nº 1603374, (alta médica realizada 14/03/2026 hr:14:42- alta hospitalar 16/03/2026 hr:09:39).
Foi constatada a demora no registro de alta hospitalar no sistema para os pacientes mencionados. Tal ocorrência caracteriza descumprimento do protocolo institucional de alta, impactando diretamente os indicadores assistenciais e gerenciais, incluindo rotatividade de leito, taxa de ocupação e paciente - dia hospitalar.</t>
  </si>
  <si>
    <t>NC 3016 / 2026</t>
  </si>
  <si>
    <t>Comunico a identificação de não conformidade referente no registro de alta hospitalar do paciente J.D.B com atendimento nº 1595459, (alta médica realizada 12/03/2026 hr:14:04- alta hospitalar 16/03/2026 hr:10:50).
Foi constatada a demora no registro de alta hospitalar no sistema para o paciente mencionado. Tal ocorrência caracteriza descumprimento do protocolo institucional de alta, impactando diretamente os indicadores assistenciais e gerenciais, incluindo rotatividade de leito, taxa de ocupação e paciente - dia hospitalar.</t>
  </si>
  <si>
    <t>NC 3017 / 2026</t>
  </si>
  <si>
    <t>Comunico a identificação de não conformidade referente ao registro de alta hospitalar dos pacientes:
E.J.S.N com atendimento nº 1600711, (alta médica realizada 12/03/2026 hr:11:49 - alta hospitalar 13/03/2026 hr:15:50);
G.K.C.S com atendimento nº 1593107, (alta médica realizada 07/03/2026 hr:15:29 - alta hospitalar 08/03/2026 hr:17:13).
Foi constatada a demora em registro de alta hospitalar no sistema para os paciente mencionados. Tal ocorrência caracteriza descumprimento do protocolo institucional de alta, impactando diretamente os indicadores assistenciais e gerenciais, incluindo rotatividade de leito, taxa de ocupação e paciente - dia hospitalar.</t>
  </si>
  <si>
    <t>Impossibilidade de execução de DDS por demanda assistencial e desinteresse da equipe</t>
  </si>
  <si>
    <t>NC 3018 / 2026</t>
  </si>
  <si>
    <t>O Núcleo de Vigilância Epidemiológica Hospitalar (NVEH) esteve presente na unidade durante o plantão noturno com o objetivo de realizar um Diálogo Diário de Segurança (DDS) junto às equipes do PAM e CPN.
No entanto, não foi possível realizar a atividade com as equipes do PAM no período noturno. A equipe do dia 18/03 encontrava-se desfalcada e com alta demanda assistencial, apresentando setor lotado. Apesar disso, os profissionais foram receptivos, informaram a situação do serviço e justificaram a impossibilidade de interrupção das atividades para participação no DDS.
Já no dia 19/03/2026, embora a rotina do setor permitisse a realização da atividade, a equipe não demonstrou interesse em participar do treinamento, não havendo adesão à proposta, inclusive com postura de desconsideração à presença da equipe do NVEH na unidade.
Ressalta-se a importância da participação das equipes nas ações educativas promovidas pelo NVEH, visando o fortalecimento das práticas assistenciais seguras e o cumprimento das diretrizes de vigilância epidemiológica hospitalar.
Considerando que o Núcleo de Vigilância Epidemiológica Hospitalar (NVEH) esteve presente na unidade no plantão noturno, com comunicação prévia para realização do Diálogo Diário de Segurança (DDS), e diante da impossibilidade de execução da atividade com parte da equipe assistencial, solicitamos o apoio da supervisão do setor para replicação do DDS junto às equipes do plantão noturno.
A medida visa garantir que todos os profissionais sejam contemplados com as orientações propostas, reforçando as práticas seguras e o alinhamento com as diretrizes institucionais de vigilância epidemiológica.</t>
  </si>
  <si>
    <t>NC 3019 / 2026</t>
  </si>
  <si>
    <t>AO FATURAR O PRONTUARIO  DE RN DE M.C.A  FOI INDENTIFICADO QUE MESMO FOI LANCADO DENTRO DO PROTUARIO DA MAE.
SENDO ASSIM FICA IMPOSSIBILIDADO DE SER FATURADO.</t>
  </si>
  <si>
    <t xml:space="preserve">IMPRESSORA DA CLINICA MÉDICA SEM TONER </t>
  </si>
  <si>
    <t>NC 3020 / 2026</t>
  </si>
  <si>
    <t>Aberto OS para troca de toner da impressora da clinica médica , porém até as 15:00h  troca não realizada, o que gera atraso nas demandas administrativas </t>
  </si>
  <si>
    <t xml:space="preserve">PRONTUARIO PENDENTES DE ASSINATURA MEDICA </t>
  </si>
  <si>
    <t>NC 3021 / 2026</t>
  </si>
  <si>
    <t>Jamilly Lorrany Oliveira Silva</t>
  </si>
  <si>
    <t>Venho por meio desta informar que os prontuários referentes ao mês de dezembro de 2025 encontram-se sem assinatura médica.
Ressalto que foram realizadas tentativas para coleta das devidas assinaturas, porém não foi possível obtê-las dentro do prazo estabelecido.
PACIENTES: 
A.R.D.S - 242664
J.D.M -190174
S.A.S - 324272
L.S.D.A - 318875
M.S.D.S - 302842
A.A.R.S - 192525
D.P.D.S - 332287
M.R.B.D.P - 192628
R.F.D.S - 171737
J.D.C.B - 192539
F.D.A.F.A - 190282
J.V.B.D.S - 211718
R.C.M -315096
K.M.D.O.Q - 272353
E.V.C.L - 333074
R.S.D.S - 243567
R.N.R - 187098
G.F.L - 298727
T.S..P.D.L - 332334
MEDICO
N.M
R.R.M.W 
A.R.V. M
J.F.M.S
G.D. N
R.T. M
P.H.D.D.M
L.L. S 
J. A.C.D.S
E.C.C
A.C.T
L.F.S.C 
W.E.C.M</t>
  </si>
  <si>
    <t xml:space="preserve">FALTA AUTORIZAÇÃO DIRCA </t>
  </si>
  <si>
    <t>NC 3022 / 2026</t>
  </si>
  <si>
    <t>Informo que os prontuários referentes ao mês de dezembro de 2025 encontram-se sem a devida autorização do DIRCA.
Ressalto que foram realizadas todas as tentativas possíveis para obtenção dos mesmos, porém não foi possível coletar todas dentro do prazo.
PACIENTES: 
B.D.O.R - 334843
R.P.B - 334670
R.P.L - 157372
M.V.D.S.S - 327924
J.R.V - 239716</t>
  </si>
  <si>
    <t xml:space="preserve">PENDENCIA DO DIRCA </t>
  </si>
  <si>
    <t>NC 3023 / 2026</t>
  </si>
  <si>
    <t>Informo que os prontuários referentes ao mês de novembro de 2025 encontram-se sem a devida autorização do DIRCA.
Ressalto que foram realizadas todas as tentativas possíveis para obtenção dos mesmo, porém não foi possível coletar todas dentro do prazo.
PACIENTES: 
G.V.D.S - 241607
A.S.E.S - 320389</t>
  </si>
  <si>
    <t xml:space="preserve">PRONTUARIO EXTRAVIADO </t>
  </si>
  <si>
    <t>NC 3024 / 2026</t>
  </si>
  <si>
    <t>Informo que o prontuário L.B.C - 327063, em questão encontra-se incompleto, estando disponível apenas parte do documento.
Foram realizadas buscas em todos os locais possíveis, bem como adotadas todas as medidas cabíveis para sua localização, porém, até o momento, não foi possível encontrar o prontuário completo.
Dessa forma, encaminho a parte disponível, permanecendo à disposição para quaisquer esclarecimentos e para continuidade das buscas, caso necessário.</t>
  </si>
  <si>
    <t xml:space="preserve">ESPAÇADORES SENDO LIBERADOS SEM A FITA DE CODIFICAÇÃO </t>
  </si>
  <si>
    <t>NC 3025 / 2026</t>
  </si>
  <si>
    <t>Informamos que estão sendo recebidos no setor espaçadores sem a fita de codificação amarela, item utilizado para identificação do material pertencente à unidade. A ausência dessa identificação pode ocasionar a liberação inadvertida desses equipamentos para outros setores, resultando em possível desabastecimento no setor de origem.
Solicitamos atenção quanto à conferência e padronização da identificação dos materiais antes do encaminhamento, a fim de evitar divergências no controle e garantir a disponibilidade adequada para assistência.</t>
  </si>
  <si>
    <t>Pendência devido fisioterapia deixa em aberto!</t>
  </si>
  <si>
    <t>NC 3026 / 2026</t>
  </si>
  <si>
    <t>Notifico a equipe de fisioterapia devido à pendência no fechamento da prescrição referente à sua área, o que ocasionou atraso no processo de alta do paciente.
Ressalta-se que o paciente recebeu alta médica no dia 19/03/2026 na clinica cirúrgica, porém sua saída no sistema ocorreu somente em 20/03/2026, em decorrência da referida pendência.
Tal situação compromete o fluxo da unidade, dificultando a admissão de novos pacientes e impactando a organização assistencial.</t>
  </si>
  <si>
    <t>Fisioterapia</t>
  </si>
  <si>
    <t>Recém-nascidos que permaneceram após a alta da mãe e não foram internados para serem encaminhados a UCI neo</t>
  </si>
  <si>
    <t>NC 3027 / 2026</t>
  </si>
  <si>
    <t>Jade Borges Amaro de Oliveira</t>
  </si>
  <si>
    <t>21/03/2026</t>
  </si>
  <si>
    <t>No dia 19/03/2026, após as altas no cgo2, fui até o setor e falei com as enfermeiras Lara e Nayara, sobre as altas das puérperas que os recém-nascidos (RN) permaneceram internados no berçário. Ambas me disseram que cobraram os médicos, mas não obtiveram retorno, sobre a internação do RN. O fluxo é se a mãe for de alta e o RN permanecer, ele precisa receber alta por outros motivos e ser internado para ser encaminhado a UCI neo. Tive bastante transtorno, porque permaneceram 4 RN's: - RN REIKATRINA PEREIRA DA SILVA; - RN FABIANA DA SILVA FERREIRA; - RN MILENNY TOCANTINS MENDES SOUSA; - RN LAYLA GEOVANNA FARIAS DIAS. Tive que regular as pacientes que estavam no centro cirúrgico e CPN para o PAM, pois, os 4 leitos que poderiam ser usados estavam com os RN's, sendo que na UCI possuía 07 leitos vagos.</t>
  </si>
  <si>
    <t>DEMORA NA LIBERAÇÃO DOS PAPEIS DE ALTA DOS PACIENTES DA CLINICA MEDICA E OBSERVAÇÃO.</t>
  </si>
  <si>
    <t>NC 3028 / 2026</t>
  </si>
  <si>
    <t>Luciano Santos Teixeira</t>
  </si>
  <si>
    <t>No dia de hoje conforme registro em foto do MV, o ultimo paciente a receber alta foi as 12:26H, o que ocorre ao passar visita no setor as 14:50H foi verificado que os médicos não se faziam mais presentes no setor e ao questionar os pacientes que ainda estavam todos em leito, relataram que aguardavam apenas os papeis de alta para irem embora. A situação é que o PS apresenta alta demanda de pacientes internados e até o momento às 15:05H não se pode regular devido os pacientes ainda estarem em leito.
[fig:vfs:1594]</t>
  </si>
  <si>
    <t>DEMORA PARA ENCAMINHAR PACIENTES PARA INTERNAÇÃO</t>
  </si>
  <si>
    <t>NC 3029 / 2026</t>
  </si>
  <si>
    <t>[fig:vfs:1595]</t>
  </si>
  <si>
    <t>DEMORA PARA RECEBER O PACIENTE</t>
  </si>
  <si>
    <t>NC 3030 / 2026</t>
  </si>
  <si>
    <t>Identificou-se uma demora excessiva para a chegada do paciente após a decisão clínica de internação. Paciente P.C. foi regulado às 14:54 para o leito de clinica medica, sendo recebido somente as 17:00H. O intervalo de tempo entre a solicitação da vaga e a efetiva transferência tem excedido os protocolos de segurança institucional, gerando uma sobrecarga na equipe de emergência e comprometendo a rotatividade dos leitos de criticidade. Dificultando assim nos seguintes itens:
Gargalos na comunicação entre as equipes assistenciais (origem e destino) para a passagem de caso.
Atrasos para regulação posterior de pacientes
[fig:vfs:1596]
[fig:vfs:1597]</t>
  </si>
  <si>
    <t>DEMORA NO RECEBIMENTO DO PACIENTE.</t>
  </si>
  <si>
    <t>NC 3031 / 2026</t>
  </si>
  <si>
    <t>Paciente recebeu alta as 9:31 da manhã, conforme foto em anexo e até as 16:00 da tarde paciente do PS ainda não havia chegado no leito.
Paciente Raimundo dos Santos.
[fig:vfs:1598]
[fig:vfs:1599]</t>
  </si>
  <si>
    <t>DEMORA PARA ENCAMINHAR O PACIENTE AO LEITO</t>
  </si>
  <si>
    <t>NC 3032 / 2026</t>
  </si>
  <si>
    <t>Assunto: Ausência de exames de raio-X pós-operatório em prontuários da clínica ortopédica</t>
  </si>
  <si>
    <t>NC 3033 / 2026</t>
  </si>
  <si>
    <t>Venho, por meio desta, informar que foram identificados 15 prontuários da clínica ortopédica que necessitam obrigatoriamente da inclusão de exames de raio-X pós-operatório, especialmente em casos que envolvem a utilização de OPME.
Entretanto, no momento, não está sendo possível anexar os referidos exames aos prontuários, tendo em vista que a impressora do setor encontra-se inoperante há aproximadamente uma semana, e sem previsão para substituição ou manutenção.
Diante do exposto, os prontuários permanecem temporariamente não conformes quanto à documentação obrigatória exigida.
Devido a isso, informo que os referidos prontuários serão encaminhados ao setor de faturamento sem a devida inclusão dos Raio-X pós operatório.
I.M.G.L :338303
P.J.S.S :168384
W.M.C :338698
W.S.M :250148
V.C.S : 337594
P.S.G : 337536
M.N.R : 195871
Y.T.C.S: 279812
M.L.S: 338366
R.S.S: 338109
G.M.G.S: 229759
W.S.S: 336261
D.M.P: 249053
J.R.M.S: 273391
A.O.S: 334343</t>
  </si>
  <si>
    <t>Não conformidade assistencial / falha no processo diagnóstico</t>
  </si>
  <si>
    <t>NC 3034 / 2026</t>
  </si>
  <si>
    <t>Paciente atendido com lesão em membro inferior esquerdo há aproximadamente 2 meses, associada a prurido e presença de secreção, quadro clínico sugestivo de Leishmaniose Tegumentar Americana (LTA).
Durante a avaliação médica, foi solicitada a realização de teste rápido para leishmaniose visceral, exame não indicado para investigação de lesões cutâneas, caracterizando inconformidade com os protocolos do Ministério da Saúde.
Destaca-se que, conforme preconizado, o diagnóstico de LTA deve ser realizado por meio de coleta de material da lesão (raspado/escarificação ou biópsia) para exame parasitológico.
A equipe de enfermagem, devidamente capacitada, realizou a notificação compulsória de forma inadequada, considerando a suspeita clínica do agravo.</t>
  </si>
  <si>
    <t>Notificação em ficha incorreta</t>
  </si>
  <si>
    <t>NC 3035 / 2026</t>
  </si>
  <si>
    <t>Paciente atendido com lesão em membro inferior esquerdo há aproximadamente 2 meses, associada a prurido e secreção, com quadro clínico sugestivo de Leishmaniose Tegumentar Americana (LTA).
Foi identificado que a equipe de enfermagem realizou a notificação compulsória utilizando ficha de Leishmaniose Visceral (LV), divergindo do quadro clínico apresentado. Ressalta-se que, para casos com manifestação cutânea, a notificação correta deve ser realizada em ficha correspondente à Leishmaniose Tegumentar Americana (LTA), conforme definição do agravo.</t>
  </si>
  <si>
    <t>Notificação compulsória em ficha incompleta / preenchimento inadequado</t>
  </si>
  <si>
    <t>NC 3036 / 2026</t>
  </si>
  <si>
    <t>Foi identificada notificação de violência interpessoal realizada pela profissional de enfermagem Diana em ficha de notificação incompleta. Observou-se que o formulário foi impresso apenas em um lado, sendo o verso da primeira folha utilizado para complementação de informações de forma manuscrita.
Tal prática compromete a padronização, legibilidade e integridade das informações, podendo impactar diretamente na qualidade dos dados inseridos no sistema de vigilância, além de dificultar a digitação e rastreabilidade da notificação.</t>
  </si>
  <si>
    <t>NC 3037 / 2026</t>
  </si>
  <si>
    <t>Postura intimidadora e assedio moral frente à equipe da UCI</t>
  </si>
  <si>
    <t>NC 3038 / 2026</t>
  </si>
  <si>
    <t>Na  data do dia 22.03.2026 recebemos a paciente A.C.S.D, filha da genitora J.C.S.M ,  a criança esta internada na UCI leito 7, a médica M.S.R.F, avaliou a paciente  e no seu processo de evolução do dia 22.03.26 referiu acionar o serviço social somente no dia seguinte dia 23.03.26, sendo que o serviço social funciona 24h  , a demanda , cuidados de higiene precários, tal prerrogativa não são atribuições privativas do serviço social, no entanto a ação pode estar associada a questões de vulnerabilidades sociais,  necessidade de orientação familiar, articulação com a rede de proteção, porém , ao tratar- se de demanda de suspeita de negligencia , os registros devem estar claros nas evoluções,  ressalto que todas as demandas de suspeitas de qualquer violação de direito são devidamente encaminhadas aos órgãos de proteção, o Serviço Social não tem perfil investigativo, entretanto realiza os encaminhamentos.   Hoje dia 23.03.26  ao ir de encontro da médica para a discussão do caso , a profissional recebeu a assistente social E.S.S.C de forma ríspida , confrontando a avaliação da técnica na frente de toda a equipe. Ressalto que a genitora já é beneficiaria dos programas socioassistenciais, tendo  somente essa renda para custear os mínimos essenciais  para a sobrevivência , reside de aluguel e o esposo realiza diárias como pedreiro. Saliento que ingressar nas equipes multiprofissionais exige compreensão do fazer profissional do outro, respeito  e discussão dos casos de forma mais humanitária, advirto ainda que a suspeita de negligência , dentro do contexto vivenciado pela família não seria intencional.  E o chamado que o serviço social recebeu no dia de hoje contendo como demanda  " investigação familiar "  é equivocado , pois , o assistente social não realiza investigação no sentido policial ou punitivo, mas atua atua com avaliação social, escuta qualificada e análise da realidade familiar, trabalha com garantia de direitos, não com julgamento ou fiscalização coercitiva.</t>
  </si>
  <si>
    <t>Prontuários com risco de perca financeira por falta de autorização DIRCA</t>
  </si>
  <si>
    <t>NC 3039 / 2026</t>
  </si>
  <si>
    <t>Os prontuários referentes ao mês de dezembro de 2025 estão sendo perdidos devido à demora na entrega das autorizações do DIRCA.
Como o prazo para faturamento já foi excedido, há uma grade perda financeira associada a esses prontuários.
prontuários afetados:
A. L. B  -  248672
E. C. A- 333322
I. S. R-  332345
T. S . N-  332540
S. S. B-  157104
M . S . N -  269733
M. P. O. M - 331022</t>
  </si>
  <si>
    <t>NÃO ORGANIZAÇAO, RISCO DE CONTAMINAÇÃO</t>
  </si>
  <si>
    <t>NC 3040 / 2026</t>
  </si>
  <si>
    <t>EM 23/03/2026 RECEBIDO PLANTÃO ÀS 19:00 EM BLOCO CIRURGICO, COM SALA DE BANHO DO RN, ONDE GERALMENTE É USADO PARA BANHO DE RN DE MÃE PORATADORA DE HIV. HAVIAM COMPRESAS SUJAS DE SANGUE EM CIMA DA PIA E ESCOVA DE DEGERMAÇÃO CONTAMINADAS TAMBEM COM SANGUE, E A CAIXA DE LUVAS QUE TAMBEM ESTAVA ENCIMA DA PIA, ESTAVA COM TODAS AS LUVAS UMIDAS E ACABEI TENDO CONTATO COM TAIS LUVAS AO TENTAR PEGAR UMA DELAS PRA TIRAR O MATERIAL SUJO DE CIMA DA PIA, E FOI ENTAO QUE PERCEBI QUE TOAS AS LUVAS ESTAVEM UMIDAS E PROVAVELMENTE CONTAMINADAS COM RESIDUOS DO BANHO DO RN. E HA INDICIOS DE QUE NESTE MESMO DIA A SALA HAVIA SIDO USADA POR RN DE MÃE PORTADORA DE AIDS.</t>
  </si>
  <si>
    <t>Material vencido</t>
  </si>
  <si>
    <t>NC 3041 / 2026</t>
  </si>
  <si>
    <t>Informamos que, durante a rotina de conferência realizada pela enfermeira do dia do CME, foi identificado no arsenal do Centro Cirúrgico uma caixa de craniotomo e um drill trépano com prazo de esterilização vencido há 1 (um) dia. O achado ocorreu no plantão diurno do dia 23/03/2026, sendo prontamente reconhecido como não conforme em relação aos protocolos de segurança e controle de materiais estéreis.</t>
  </si>
  <si>
    <t xml:space="preserve">PERDA DE PRONTUARIOS </t>
  </si>
  <si>
    <t>NC 3042 / 2026</t>
  </si>
  <si>
    <t>Os prontuários referentes ao mês de  dezembro de 2025 estão sendo perdidos devido à demora na entrega  das autorizações  do DIRCA.
Como o prazo para faturamento já foi excedido, há uma grande perda financeira associada a esses prontuários.
prontuários afetados :
M . P .O M  = 331022
M . S. N . B =  269733
I . L. C. S = 171540
S. S . B  =  157104
T. S . N = 332540
I . S . R = 332345
E. C . A = 333322
A. L . B = 248672
Sugiro as seguintes medidas para evitar a perda de mais prontuários:
Apressar a entrega das autorizações do DIRCA.
Implantar Medidas para evitar atrasos futuros, como:
Estabelecer um prazo limite para entrega das autorizações.
Designar um responsável  pela entrega das autorizações.
Monitorar o status das autorizações em tempo real.
Avaliar opções para recuperação dos prontuários, perdidos.</t>
  </si>
  <si>
    <t>ENCAMINHAMENTO INADEQUADO DE MATERIAL</t>
  </si>
  <si>
    <t>NC 3043 / 2026</t>
  </si>
  <si>
    <t>Informamos que, no dia 24/03/2026, às 09h, foi identificado o encaminhamento indevido ao expurgo de um kit de sutura contendo uma lâmina de bisturi nº 11, proveniente do setor do Ambulatório de Ortopedia.
Ressaltamos que o envio de materiais perfurocortantes ao expurgo sem a devida segregação e acondicionamento adequado representa risco ocupacional à equipe, além de não estar em conformidade com as normas de segurança e biossegurança vigentes.
Solicitamos, portanto, orientação e reforço junto à equipe quanto ao correto descarte de materiais perfurocortantes, que devem ser destinados exclusivamente aos coletores apropriados.</t>
  </si>
  <si>
    <t>PACIENTE ENCAMINHADA DO CC SEM TEGADERME</t>
  </si>
  <si>
    <t>NC 3044 / 2026</t>
  </si>
  <si>
    <t>NO PLANTÃO DIURNO NO DIA 24/03 POR VOLTAS DAS 9:24, RECEBO PACIENTE E.F.C.N (ATENDIMENTO 1612221, PRONTUÁRIO 241536)
DE ACESSO COM ESPARADRAPO, CONFORME A FOTO EM ANEXO
A ENF SUELEM ESTAVA NO SETOR NO MOMENTO, PEDIU QUE EU NOTIFICASSE</t>
  </si>
  <si>
    <t>PRONTUARIOS COM PENDENTES DE AUTORIZAÇÃO</t>
  </si>
  <si>
    <t>NC 3045 / 2026</t>
  </si>
  <si>
    <t>Os prontuários referentes ao mês de dezembro de 2025 estão sendo perdidos devido à demora na entrega das autorizações do DIRCA.
Como o prazo para faturamento já foi excedido, há uma grande perda financeira associada a esses prontuários.
prontuários afetados:
M . P .O M  = 331022
M . S. N . B =  269733
I . L. C. S = 171540
S. S . B  =  157104
T. S . N = 332540
I . S . R = 332345
E. C . A = 333322
A. L . B = 248672
D. X. R. = 273400
R. S. L. = 56812
K. E. = 332304
Sugiro as seguintes medidas para evitar a perda de mais prontuários:
Apressar a entrega das autorizações do DIRCA.
Implantar Medidas para evitar atrasos futuros, como:
Estabelecer um prazo limite para entrega das autorizações.
Designar um responsável pela entrega das autorizações.
Monitorar o status das autorizações em tempo real.
Avaliar opções para recuperação dos prontuários, perdidos.</t>
  </si>
  <si>
    <t>PRONTUARIOS PARADOS</t>
  </si>
  <si>
    <t>NC 3046 / 2026</t>
  </si>
  <si>
    <t>Os prontuários estão parados e pendentes de autorização do Dirca devido ao procedimento de laqueadura realizado pelas pacientes. O termo de consentimento para laqueadura deve ser feito 60 dias antes do procedimento cirúrgico, conforme estabelecido pela lei. No entanto, as pacientes realizaram as cirurgias de laqueadura fora do prazo de 60 dias, o que impede o Dirca de autorizar os procedimentos, pois não atendem aos prazos estabelecidos pela legislação.
L. R. S = 336201
C. R. S = 336201
V. G. C = 277993
R . P . S = 338777
Consequências
 Os prontuários estão parados e correm risco de perda financeira devido à falta de autorização.
 A não conformidade com os prazos legais impede a autorização e, consequentemente, o faturamento dos procedimentos.
Ações Necessárias
Avaliar as opções para obter a autorização retroativa ou regularizar a situação junto ao Dirca.
 Verificar se há alguma possibilidade de recurso ou exceção para esses casos.
Comunicar aos envolvidos e responsáveis sobre a situação e as ações necessárias para minimizar a perda financeira.</t>
  </si>
  <si>
    <t>FEEDBACK DE DIVERGÊNCIA DE DATAS</t>
  </si>
  <si>
    <t>NC 3047 / 2026</t>
  </si>
  <si>
    <t>Durante a conferência de rotina, identificamos uma divergência de datas no registro do paciente [V.R.D.S.L]:
? No Sistema: Registro de Internação em 01/01/2026.
? No Prontuário Físico: Evoluções médicas iniciam apenas em 13/01/2026.
Ambos os registros convergem na data de alta (16/01/2026).
Embora este caso específico não impossibilite o fechamento da conta atual, enviamos este informativo para fins de alinhamento e melhoria contínua. A exatidão entre a data sistêmica e o início efetivo da assistência no prontuário físico é fundamental para:
? Conformidade de Auditoria: Evitar questionamentos sobre diárias registradas sem evolução correspondente.
? Segurança de Dados: Manter a fidedignidade do histórico clínico do paciente.
? Indicadores de Gestão: Garantir que o tempo de permanência hospitalar seja calculado corretamente nos relatórios de produção.
Solicitamos atenção redobrada no momento da abertura da internação no sistema, certificando-se de que a data informada corresponde exatamente ao momento do acolhimento assistencial documentado.</t>
  </si>
  <si>
    <t>NC 3048 / 2026</t>
  </si>
  <si>
    <t>Raio-x pós operatório não realizado</t>
  </si>
  <si>
    <t>NC 3049 / 2026</t>
  </si>
  <si>
    <t>Prezados,
Informo que o prontuário referente ao mês 12 encontra-se vencido e ainda apresenta pendência em aberto.
Após análise, foi identificado que o exame de raio-X pós-operatório não foi solicitado e, consequentemente, não foi realizado. Destacamos que esse exame é parte fundamental do acompanhamento pós-cirúrgico, sendo necessário para a adequada avaliação do procedimento realizado.
Ressaltamos ainda que, considerando que o paciente fez uso de OPME (Órteses, Próteses e Materiais Especiais), é obrigatório que o exame de imagem pós-operatório seja devidamente realizado e anexado ao prontuário, conforme exigências de conformidade e auditoria.
Diante do exposto, solicitamos a verificação do caso e a regularização da pendência com a maior brevidade possível. No entanto, pedimos que o faturamento realize o recebimento do prontuário mesmo diante dessa pendência, para que não haja prejuízo ao fluxo do processo.
Permaneço à disposição para quaisquer esclarecimentos.
Atenciosamente.</t>
  </si>
  <si>
    <t>Prontuário vencido</t>
  </si>
  <si>
    <t>NC 3050 / 2026</t>
  </si>
  <si>
    <t>Boa tarde,
O prontuário da paciente nº 282468 apresenta pendências que impedem o faturamento dos gastos referentes ao dia 29/12/2025.
Informo que a ficha descritiva foi encaminhada ao DIRCA para geração da autorização do segundo procedimento cirúrgico, porém até o momento não houve retorno.
Ressalto que as partes cirúrgicas referentes ao dia 22/12/2025 estão devidamente autorizadas e aptas para faturamento.
Considerando que o prazo final para faturamento (24/03/2026) encerra-se hoje, o prontuário permanece impossibilitado de ser faturado.</t>
  </si>
  <si>
    <t xml:space="preserve">Conduta Inadequada </t>
  </si>
  <si>
    <t>NC 3051 / 2026</t>
  </si>
  <si>
    <t>Na data de 24/03/2026, no período diurno, às 06h15, ocorreu o óbito do Sr. G.A.F., na Clínica Médica, leito 24. No momento do ocorrido, os cuidados ao paciente estavam sendo prestados por um cuidador custeado pela família. Ressalta-se que os familiares se mantiveram presentes durante o período de internação do usuário; contudo, no momento do óbito, não havia nenhum familiar presente, estando estes a caminho da unidade para os trâmites relacionados ao óbito.
A médica A.C.B.R., ao iniciar o preenchimento da Declaração de Óbito, informou a necessidade de algumas informações, inclusive para assegurar a veracidade dos dados registrados no documento, evitando possíveis dificuldades posteriores da família junto ao cartório para o registro do óbito.
Entretanto, no caso em questão, a profissional médica solicitou que o Serviço Social realizasse a coleta dessas informações para subsidiar o preenchimento da Declaração de Óbito. A profissional foi orientada de que não é atribuição do Serviço Social coletar informações para o preenchimento da Declaração de Óbito, por se tratar de responsabilidade médica e estar fora das competências legais da profissão.
Diante da recusa, a médica não aguardou a chegada dos familiares, que estavam a caminho da unidade, e realizou o preenchimento da Declaração de Óbito de forma inadequada, registrando alguns campos como "ignorado" ou com informações equivocadas, especificamente nos itens 04, 06, 12, 13, 14, 38 e 39.
Mediante exposto  importante mencionar a questão de humanização como visão macro em todos os âmbitos , um preenchimento eficaz da Declaração de Óbito também está diretamente relacionado à humanização do atendimento à família.
Não é apenas uma questão técnica ou burocrática. Quando esse processo é feito com responsabilidade, cuidado e sensibilidade, ele contribui para um atendimento mais humano em um momento de luto.</t>
  </si>
  <si>
    <t>Uso de Ficha Desatualizada de SRAG no Pronto Socorro</t>
  </si>
  <si>
    <t>NC 3052 / 2026</t>
  </si>
  <si>
    <t>O Núcleo de Vigilância Epidemiológica Hospitalar (NVEH) vem, por meio desta, notificar a recorrência do uso de fichas desatualizadas de SRAG (Síndrome Respiratória Aguda Grave) no setor.
Ressaltamos que o NVEH já realizou as seguintes ações para garantir o uso correto das versões atualizadas:
Atualização e disponibilização das fichas impressas no setor;
Envio de pasta compactada (arquivo .zip) contendo os formulários atualizados para a área de trabalho dos computadores, facilitando o acesso pelos profissionais;
Orientações prévias quanto à utilização exclusiva dos documentos atualizados.
Entretanto, durante busca ativa realizada hoje no setor, foi identificado:
Pasta de notificações aberta no computador;
Página de internet aberta contendo ficha desatualizada de SRAG, evidenciando que os profissionais continuam realizando impressões diretamente da internet, desconsiderando os materiais oficiais disponibilizados pelo NVEH.
Tal prática compromete a qualidade das informações notificadas, podendo gerar inconsistências nos dados, retrabalho e prejuízos ao monitoramento epidemiológico.
Informo que foi realizada a organização da pasta física do NVEH no setor de triagem, contendo as fichas de notificação devidamente atualizadas e padronizadas para uso da equipe.
Além disso, foi efetuada a atualização da Lista Nacional de Notificações Compulsórias, a qual foi impressa e anexada à referida pasta, com o objetivo de facilitar a consulta e apoiar o correto preenchimento e encaminhamento das notificações pelos profissionais do setor.
A medida visa otimizar o fluxo de trabalho, garantir a utilização de documentos atualizados e fortalecer a qualidade das informações epidemiológicas.</t>
  </si>
  <si>
    <t>Ficha de Notificação Sem Identificação do Paciente</t>
  </si>
  <si>
    <t>NC 3053 / 2026</t>
  </si>
  <si>
    <t>O Núcleo de Vigilância Epidemiológica Hospitalar (NVEH) vem, por meio desta, notificar o recebimento de ficha de notificação sem identificação do paciente (ausência do nome).
Destacamos que a identificação completa do paciente é um dado essencial para:
Registro adequado no sistema de informação;
Acompanhamento clínico e epidemiológico do caso;
Evitar duplicidade de notificações;
Garantir a rastreabilidade e qualidade das informações.
A ausência dessa informação inviabiliza a continuidade do processo de notificação e pode comprometer as ações de vigilância em saúde.</t>
  </si>
  <si>
    <t>PRONTUARIO SEM TRIAGEM NEONATAL</t>
  </si>
  <si>
    <t>NC 3054 / 2026</t>
  </si>
  <si>
    <t>Gostaria de informar que, durante a organização dos prontuários, foi identificado a falta do documento triagem neonatal nos prontuários das  pacientes  L . C. A. 346085 e  L. S. A . B . 231970.
O documento de triagem Neonatal é um registro fundamental para acompanhamento  da saúde do recém-nascido e sua ausência pode comprometer a qualidade do atendimento e segurança do paciente. 
Devido a essa situação, o prontuário será encaminhado ao faturamento sem essa documentação para que seja faturado.</t>
  </si>
  <si>
    <t>OTIFICAÇÃO DE OCORRÊNCIA  QUEBRA DE FLUXO ASSISTENCIAL</t>
  </si>
  <si>
    <t>NC 3055 / 2026</t>
  </si>
  <si>
    <t>OTIFICAÇÃO DE OCORRÊNCIA QUEBRA DE FLUXO ASSISTENCIAL
Venho por meio desta registrar ocorrência relacionada à transferência de paciente proveniente do PAN. Na data do dia 03/02, a enfermeira Michele realizou a transferência de uma paciente para este setor sem comunicação prévia e sem autorização da enfermeira responsável pelo plantão. A paciente chegou acompanhada por técnica de enfermagem, porém não houve aviso antecipado nem passagem formal do caso antes da subida. Ressalto que esse tipo de conduta não está em conformidade com o fluxo institucional de transferência interna, que preconiza comunicação prévia, passagem de caso e autorização do setor receptor antes da remoção do paciente. Destaco ainda que, no momento da chegada, este setor poderia estar em intercorrência ou impossibilitado de receber a paciente, o que configura risco potencial à segurança assistencial e à organização do serviço. Solicito que a situação seja avaliada e que o fluxo de transferência entre os setores seja reforçado junto à equipe, a fim de evitar recorrência e garantir segurança ao paciente e respaldo profissional às equipes envolvidas.
Sem mais, permaneço à disposição para esclarecimentos.</t>
  </si>
  <si>
    <t>Encaminhamento de prontuários ao faturamento</t>
  </si>
  <si>
    <t>NC 3056 / 2026</t>
  </si>
  <si>
    <t>Encaminhamento de Prontuários ao Faturamento
Conforme orientação da supervisão, estou encaminhando esses prontuários ao faturamento sem autorização do Dirca. De acordo com as informações repassadas, os prontuários que atendem aos seguintes critérios podem ser faturados sem a autorização do Dirca:
Pacientes que ingressaram para parto Cesária e realizaram laqueadura em seguida;
Pacientes que ingressaram para parto normal e evoluíram para cesariana.
Nesses casos, basta realizar a mudança de procedimento e os prontuários podem ser faturados. Estou encaminhando todos os prontuários que atendem a esses critérios ao faturamento para evitar perda financeira.
Agradeço a atenção e colaboração.
T. S .A  - 187669
R. A .L  - 336155
E. G. S - 260528
J. R . S . -340775
L. F. S - 342968
S.N.S  -  341624
A. S. G. D - 286436
I. J . M - 307864
M. M . C - 340853
L. C. A - 346085
L. S. A . B - 231970</t>
  </si>
  <si>
    <t>Encaminhamento de Prontuários ao Faturamento</t>
  </si>
  <si>
    <t>NC 3057 / 2026</t>
  </si>
  <si>
    <t>PRONTUARIOS SEM RAIO-X PÓS CIRURGIA</t>
  </si>
  <si>
    <t>NC 3058 / 2026</t>
  </si>
  <si>
    <t>PRONTUARIOS SEM RAIO-X PÓS CIRURGIA.
PRONTUARIOS :
1-182064
2-343913
3-269582</t>
  </si>
  <si>
    <t>DEMORA PARA ENCAMINHAR PACIENTE AO LEITO DA PEDIATRIA</t>
  </si>
  <si>
    <t>NC 3059 / 2026</t>
  </si>
  <si>
    <t>PACIENTE: RAVI SANTOS REIS.
[fig:vfs:1609]
[fig:vfs:1610]</t>
  </si>
  <si>
    <t>DEMORA PARA RECEBER PACIENTE DO PRONTO SOCORRO1</t>
  </si>
  <si>
    <t>NC 3060 / 2026</t>
  </si>
  <si>
    <t>PACIENTE: RAVI SANTOS REIS.
[fig:vfs:1610]
[fig:vfs:1609]</t>
  </si>
  <si>
    <t>NC 3061 / 2026</t>
  </si>
  <si>
    <t xml:space="preserve">Desabastecimento </t>
  </si>
  <si>
    <t>NC 3062 / 2026</t>
  </si>
  <si>
    <t>Solicitado capa de vídeo para uso em realização de AVC em paciente da uti, porém não havia disponível na farmácia satélite da uti.</t>
  </si>
  <si>
    <t xml:space="preserve">Dispositivos e curativo sem identificação. </t>
  </si>
  <si>
    <t>NC 3063 / 2026</t>
  </si>
  <si>
    <t>Paciente V.L. veio encaminhada do cc para uti em po, no noturno do plantão do dia 24/03/2026, a mesma veio sem identificação no curativo da FO, sem identificação no curativo do acesso venoso central, sem identificação na sonda enteral da paciente.</t>
  </si>
  <si>
    <t xml:space="preserve">Quebra de fluxometro da uti </t>
  </si>
  <si>
    <t>NC 3064 / 2026</t>
  </si>
  <si>
    <t>Paciente foi encaminhado ao cc em uso de cilindro de oxigênio da uti.
Ao retornar do centro cirúrgico o fluxometro havia sido quebrado no centro cirúrgico.</t>
  </si>
  <si>
    <t xml:space="preserve">Desabastecimento de papel toalha </t>
  </si>
  <si>
    <t>NC 3065 / 2026</t>
  </si>
  <si>
    <t>No dia 24/03/26 a uti ficou sem abastecimento de papel toalha durante parte da manhã e toda a tarde, ficando sem papel pra secar as mãos após higienização com água e sabão.</t>
  </si>
  <si>
    <t xml:space="preserve">Desabastecimento de lençol </t>
  </si>
  <si>
    <t>NC 3066 / 2026</t>
  </si>
  <si>
    <t>No dia 25/03/2026 os lençóis para banho na uti foram enviados somente após as 10 da manhã. Prejudicando a realização dos banhos no leito antes da visita.</t>
  </si>
  <si>
    <t>SRP - Setor de Processamento de Roupas</t>
  </si>
  <si>
    <t>Envio de lençóis para uti</t>
  </si>
  <si>
    <t>NC 3067 / 2026</t>
  </si>
  <si>
    <t>Sinalizo que no dia 24/03/2026 durante o período da manhã foram enviados para uti somente tecido verdes, campos para os banhos na uti, não vieram lençóis. Dificultando a correta organização do leito dos pacientes.</t>
  </si>
  <si>
    <t xml:space="preserve">Envio de paciente sem tec em enfermagem </t>
  </si>
  <si>
    <t>NC 3068 / 2026</t>
  </si>
  <si>
    <t>Paciente M.D.R.D.F veio encaminhada da clínica ortopédica para realização de hemodiálise, porém sem o acompanhamento de técnico em enfermagem para seguir acompanhando a paciente durante o procedimento no anexo da uti conforme acordado.</t>
  </si>
  <si>
    <t>NC 3069 / 2026</t>
  </si>
  <si>
    <t xml:space="preserve">Não recebimento de amostra de aspirado traqueal </t>
  </si>
  <si>
    <t>NC 3070 / 2026</t>
  </si>
  <si>
    <t>Realizado coleta de amostra de aspirado traqueal, para envio pela vigilância sanitária para análises do paciente  do leito 06 da uti. No entanto durante a madrugada a tec de laboratório se recusou receber a amostra solicitando o pedido médico. 
Porém o pedido médico e demais documentações já estavam de posse da biomédica, e havia sido acordado para o recebimento desta amostra durante a noite ou madrugada do dia seguinte. 
Somente no dia seguinte depois das 8h que a amostra foi recolhida, e acabou perdendo o carro para envio do material para Marabá.</t>
  </si>
  <si>
    <t>INCONSISTÊNCIA EM DADOS CADASTRAIS DE PACIENTE</t>
  </si>
  <si>
    <t>NC 3071 / 2026</t>
  </si>
  <si>
    <t>O Núcleo de Vigilância Epidemiológica Hospitalar (NVEH) vem, por meio desta, notificar a identificação de inconsistência nos dados cadastrais de paciente em ficha de notificação compulsória.
Foi verificado que o sobrenome da paciente foi registrado de forma incorreta na ficha de notificação, constando como HELOISA RIBEIRO BARBOSA, enquanto no prontuário institucional o nome correto é HELOISA RIBEIRO COSTA.
Tal divergência dificultou a localização do prontuário pela equipe do NVEH, impactando diretamente no processo de auditoria da ficha de notificação, além de comprometer a qualidade e a confiabilidade das informações registradas nos sistemas de vigilância.
Diante do exposto, reforçamos a importância da conferência rigorosa dos dados de identificação do paciente no momento do preenchimento das fichas de notificação, garantindo a fidedignidade das informações e a rastreabilidade dos casos.
Solicitamos que a equipe seja orientada quanto à necessidade de atenção redobrada no preenchimento correto dos dados cadastrais, a fim de evitar recorrência de situações semelhantes.</t>
  </si>
  <si>
    <t>INCONSISTÊNCIA EM FICHA DE NOTIFICAÇÃO COMPULSÓRIA (DENGUE)</t>
  </si>
  <si>
    <t>NC 3072 / 2026</t>
  </si>
  <si>
    <t>O Núcleo de Vigilância Epidemiológica Hospitalar (NVEH) vem, por meio desta, notificar a identificação de inconformidade em ficha de notificação compulsória de Dengue, proveniente deste setor.
Foi verificado que a referida ficha apresenta preenchimento incompleto, especificamente nos seguintes campos:
Campo 31;
Observações adicionais;
Nome, função e assinatura do profissional notificador.
Ressaltamos que, além do preenchimento completo de todos os campos obrigatórios, a identificação e assinatura do profissional são indispensáveis para a validação da notificação e garantia da rastreabilidade das informações.
A ausência dessas informações compromete a qualidade dos dados, dificulta o processo de investigação epidemiológica e pode impactar no monitoramento adequado dos casos.
Diante do exposto, solicitamos que a equipe seja orientada quanto à importância do correto e completo preenchimento das fichas de notificação compulsória, a fim de evitar recorrências.</t>
  </si>
  <si>
    <t>Corpo Estranho</t>
  </si>
  <si>
    <t>NC 3073 / 2026</t>
  </si>
  <si>
    <t>Durante a abertura de um material estéril no Centro Cirúrgico, foi identificado que na extensão de silicone apresentava um corpo estranho (pedaço de objeto). A presença de corpo estranho em material estéril representa risco de contaminação, podendo comprometer a segurança do paciente, além de indicar falha no processo de limpeza.</t>
  </si>
  <si>
    <t xml:space="preserve">Comunicação inadequada de boletim médico na UTI </t>
  </si>
  <si>
    <t>NC 3074 / 2026</t>
  </si>
  <si>
    <t>Na presente data, foram registradas, durante atendimentos psicológicos, manifestação de insatisfação por parte de quatro famílias de pacientes internados na UTI, referentes aos leitos 3, 6, 9 e 10, acerca da comunicação do boletim médico realizado no dia 25/03/2026.
De acordo com os relatos, os familiares descreveram a abordagem durante o boletim com as seguintes percepções:
"Parecia estar com pressa";
"Comunicou de forma grosseira";
"Entendo que tem gravidade, não pode mentir, porém existem formas";
"Não passou segurança nenhuma".
Os familiares também verbalizaram que saíram do momento de comunicação "assustados" e "desesperados", indicando impacto emocional significativo decorrente da forma como as informações foram transmitidas.</t>
  </si>
  <si>
    <t xml:space="preserve">Caixa de perfurocortante sem suporte adequado </t>
  </si>
  <si>
    <t>NC 3075 / 2026</t>
  </si>
  <si>
    <t>Foi identificado no anexo da UTI o armazenamento inadequado de uma caixa de perfurocortantes (descarbox), a qual se encontra apoiada sobre  MDF, sem suporte apropriado e fixação adequada. A condição observada compromete a estabilidade do recipiente, aumentando o risco de queda, tombamento, vazamento de perfurocortantes.
__Recomendação: __Providenciar suporte adequado e regulamentado para o acondicionamento da caixa de descarte, bem como realocá-la para local exclusivo, seguro e compatível com as normas de biossegurança, evitando sua permanência sobre superfícies improvisadas.</t>
  </si>
  <si>
    <t>Falhas no Registro e Armazenamento de Ponto Eletrônico</t>
  </si>
  <si>
    <t>NC 3076 / 2026</t>
  </si>
  <si>
    <t>Informo que o relógio de ponto apresentou falhas no dia 26/03/2026. Durante o registro, ao realizar a leitura biométrica, foi identificado que o sistema exibiu o nome de outro profissional, divergente do colaborador que efetuava a marcação, situação esta que não é isolada e já aconteceu outras vezes. Ressalto ainda que, embora o equipamento esteja emitindo o comprovante de registro no momento da batida, foi observado que tais marcações não estão sendo devidamente registradas ou armazenadas no sistema eletrônico, o que compromete a rastreabilidade e a confiabilidade das informações. Tal inconsistência pode gerar prejuízos aos colaboradores, uma vez que o comprovante físico ou digital, isoladamente, pode não ser suficiente caso não haja correspondência no sistema oficial de controle de jornada. Diante do exposto, solicito avaliação técnica do equipamento e do sistema, com a devida correção das falhas, garantindo a integridade, autenticidade e armazenamento adequado dos registros.
Base Legal:
De acordo com a Portaria nº 671/2021 do Ministério do Trabalho e Previdência, o sistema de registro eletrônico de ponto deve assegurar a integridade, autenticidade e disponibilidade dos dados, sendo vedada qualquer prática que implique perda ou inconsistência das informações registradas. Além disso, os dados devem ser armazenados de forma segura e passíveis de auditoria, garantindo a fiel apuração da jornada de trabalho.</t>
  </si>
  <si>
    <t xml:space="preserve">Preenchimento de Notificação com falta de dados. </t>
  </si>
  <si>
    <t>NC 3077 / 2026</t>
  </si>
  <si>
    <t>Ficha de notificação de LV preenchida recentemente apresentando dados insuficientes, incompletos e rasuras. Todas as informações solicitadas na notificação são de suma importância e devem ser registradas com precisão, contribuindo para a qualidade dos dados, vigilância epidemiológica e segurança do paciente.
Solicitamos maior atenção no preenchimento das notificações. Por se tratar de um documento oficial, as informações dos pacientes são encaminhadas ao Ministério da Saúde, sendo, portanto, indispensável que todos os campos sejam preenchidos de forma correta, legível e completa.
Notifico para melhoria do processo.</t>
  </si>
  <si>
    <t>Paciente JOSE BEZERRA SILVA</t>
  </si>
  <si>
    <t>NC 3078 / 2026</t>
  </si>
  <si>
    <t>Paciente encaminhado da clínica médica para a sala vermelha do pronto socorro  sem comunicação prévia ou posterior com o NIR para regulação.</t>
  </si>
  <si>
    <t>DEMORA PARA ENCAMINHAR PACIENTE.</t>
  </si>
  <si>
    <t>NC 3079 / 2026</t>
  </si>
  <si>
    <t>29/03/2026</t>
  </si>
  <si>
    <t>DE ACORDO COM DIRETORIA TECNICA PACIENTES PEDIATRICOS SAO PRIORIDADE, CONFORME ARQUIVOS ANEXADOS PACIENTE ''==HEITOR GAEL DE SOUSA RIBEIRO=='' CHEGOU 2 HORAS DEPOIS EM LEITO SEM JUSTIFICATIVA.
[fig:vfs:1620]
[fig:vfs:1621]
[fig:vfs:1622]
[fig:vfs:1623]
[fig:vfs:1624]
[fig:vfs:1625]</t>
  </si>
  <si>
    <t>CORPO ESTRANHO</t>
  </si>
  <si>
    <t>NC 3080 / 2026</t>
  </si>
  <si>
    <t>Ao retirar uma marmita no centro cirúrgico dia 28/03/2026 e iniciar a refeição, durante a mastigação foi identificado um objeto estranho no alimento. O ocorrido foi constatado no momento do consumo, gerando preocupação quanto à qualidade e segurança do alimento fornecido.</t>
  </si>
  <si>
    <t>NC 3081 / 2026</t>
  </si>
  <si>
    <t>MONITORAMENTO, REINTERNAÇÃO/REOPERAÇÃO EM ATÉ 30 DIAS</t>
  </si>
  <si>
    <t>NC 3082 / 2026</t>
  </si>
  <si>
    <t>PACIENTE CARLA ADRIANA, DN: 15/11, 35 ANOS, ADMTIDA NESTE SETOR, PORVENIENTE DO PRONTO SOCORRO, NO LEITO 05 DE ORTOPEDIA, HD: POT COLECISTECTOMIA, NEGA COMORBIDADES E ALERGIAS MEDICAMENTOSAS. AVALIADA FO, QUE SEGUNDO RELATOS DA PACIENTE APRESENTA-SE SECRETIVA, REFERE ALGIA EM REGIÃO ABDOMINAL (FERIDA OPERATÓRIA). REALIZADO EXAME FISICO BEIRA LEITO.</t>
  </si>
  <si>
    <t>retirada de bem patrimonial sem aviso previo e autorização</t>
  </si>
  <si>
    <t>NC 3083 / 2026</t>
  </si>
  <si>
    <t>Informo que, no dia 28/03, foi realizada a retirada da central de ar do almoxarifado anexo sem a devida autorização da coordenação ou supervisão do setor.
Ressalto que tal ação compromete as condições adequadas de armazenamento, uma vez que o almoxarifado opera com controle de temperatura, colocando em risco a integridade dos materiais ali armazenados.</t>
  </si>
  <si>
    <t>Triagem sem enfermeiro por longos periodo do noturno</t>
  </si>
  <si>
    <t>NC 3084 / 2026</t>
  </si>
  <si>
    <t>Durante o período noturno, a recepção tem enfrentado dificuldades significativas no fluxo de atendimento, em razão da ausência prolongada de profissional de enfermagem responsável pela triagem.
Essa situação tem gerado insatisfação por parte da população, que permanece aguardando por longos períodos sem atendimento, resultando em pressão constante sobre a equipe de recepção.
Diante da ausência da equipe de enfermagem, A recepcionistas, precisam se ausentar de seu posto de trabalho para buscar apoio.</t>
  </si>
  <si>
    <t>SEM ENFERMEIRA NO SETOR</t>
  </si>
  <si>
    <t>NC 3085 / 2026</t>
  </si>
  <si>
    <t>NC 3086 / 2026</t>
  </si>
  <si>
    <t>Informo que, no dia 31/03, foi recebida a solicitação Nº 2706481, contendo os seguintes itens:
3822 - Glicosímetro para teste de glicemia (02 unidade);
A solicitação foi registrada com a justificativa de extravio.
Os itens foram devidamente atendidos pelo setor, e esta comunicação tem a finalidade de notificar as áreas responsáveis para as devidas tratativas e providências cabíveis.</t>
  </si>
  <si>
    <t>Não conformidade em notificação compulsória</t>
  </si>
  <si>
    <t>NC 3087 / 2026</t>
  </si>
  <si>
    <t>Informamos a identificação de não conformidade em notificação compulsória encaminhada a este Núcleo. Foram observadas as seguintes inconsistências:
Impressão da ficha de notificação de forma incompleta;
Assinatura do profissional realizada em local inapropriado;
Presença de informações incompletas em campos obrigatórios.
Ressaltamos que a notificação compulsória é um documento oficial, sendo suas informações encaminhadas aos sistemas do Ministério da Saúde. Dessa forma, é imprescindível que o preenchimento seja realizado de maneira completa, legível e nos campos corretos, garantindo a qualidade dos dados, rastreabilidade dos casos e segurança das informações.
Solicitamos maior atenção no preenchimento e conferência das fichas antes do envio, a fim de evitar inconsistências que possam comprometer a vigilância epidemiológica e o acompanhamento adequado dos casos.
Permanecemos à disposição para orientações e esclarecimentos.</t>
  </si>
  <si>
    <t>NC 3088 / 2026</t>
  </si>
  <si>
    <t>Informamos a identificação de não conformidade em notificação compulsória encaminhada a este Núcleo. Foram observadas as seguintes inconsistências:
Assinatura do profissional realizada em local inapropriado;
Presença de informações incompletas em campos obrigatórios.
Ressaltamos que a notificação compulsória é um documento oficial, sendo suas informações encaminhadas aos sistemas do Ministério da Saúde. Dessa forma, é imprescindível que o preenchimento seja realizado de maneira completa, legível e nos campos corretos, garantindo a qualidade dos dados, rastreabilidade dos casos e segurança das informações.
Solicitamos maior atenção no preenchimento e conferência das fichas antes do envio, a fim de evitar inconsistências que possam comprometer a vigilância epidemiológica e o acompanhamento adequado dos casos.
Permanecemos à disposição para orientações e esclarecimentos.</t>
  </si>
  <si>
    <t>NC 3089 / 2026</t>
  </si>
  <si>
    <t>Informamos a identificação de não conformidade em notificação compulsória encaminhada a este Núcleo. Foram observadas as seguintes inconsistências:
Ausência de assinatura do profissional notificador;
Campos obrigatórios sem preenchimento.
Ressaltamos que a notificação compulsória é um documento oficial, cujas informações são encaminhadas aos sistemas do Ministério da Saúde. Dessa forma, é indispensável que todos os campos sejam devidamente preenchidos e que a ficha contenha a identificação e assinatura do profissional responsável, garantindo a validade do documento e a confiabilidade das informações.</t>
  </si>
  <si>
    <t xml:space="preserve">Ficha desatualizada </t>
  </si>
  <si>
    <t>NC 3090 / 2026</t>
  </si>
  <si>
    <t>Informamos a identificação de não conformidade referente ao uso de ficha de notificação desatualizada para registro de agravo de notificação compulsória.
Ressaltamos que o Núcleo de Vigilância Epidemiológica Hospitalar (NVEH) já realizou treinamento com as equipes, disponibilizou fichas atualizadas impressas nos setores e encaminhou pasta digital (arquivo zipado) para inserção nos computadores das unidades, visando padronizar e facilitar o acesso aos documentos corretos.
Destacamos que a utilização de fichas desatualizadas compromete a qualidade das informações, podendo gerar inconsistências nos sistemas oficiais e prejuízos à vigilância epidemiológica.
Reforçamos que a notificação compulsória é um documento oficial, sendo imprescindível a utilização da versão vigente da ficha, devidamente preenchida em todos os campos obrigatórios.
Solicitamos maior atenção das equipes quanto à utilização dos formulários atualizados e à conferência antes do envio.</t>
  </si>
  <si>
    <t>NC 3091 / 2026</t>
  </si>
  <si>
    <t>Informo que no dia 31/03/2026 teve a solicitação de numero 2705616, fora do cronograma de solicitações, Informo para tratativa.</t>
  </si>
  <si>
    <t>Notificação de inconsistência no registro de ponto</t>
  </si>
  <si>
    <t>NC 3092 / 2026</t>
  </si>
  <si>
    <t>Informo a ocorrência de inconsistência no sistema de registro de ponto eletrônico.
Ao realizar o registro de entrada, foi emitido comprovante em nome de outra profissional, Fabiana Conceição dos Santos. Em seguida, ao efetuar nova tentativa, o comprovante foi emitido corretamente com meu nome.
Situações como essa podem justificar divergências identificadas nos saldos de horas dos profissionais, resultando em horas extras positivas para alguns e negativas para outros ao final do período de apuração de 3 meses.
Solicitamos verificação do sistema de ponto, bem como análise dos registros, a fim de corrigir possíveis inconsistências e evitar prejuízos aos profissionais.</t>
  </si>
  <si>
    <t xml:space="preserve">Falta de assinaturas Enfermagem </t>
  </si>
  <si>
    <t>NC 3093 / 2026</t>
  </si>
  <si>
    <t>Prezados,
Devido à falta de impressora no local de trabalho, as enfermeiras não puderam imprimir e assinar as evoluções de enfermagem referentes aos dias [26/03- 27/03 - 28/03 - 30/03]. As evoluções foram salvas no sistema, mas não puderam ser assinadas. Agora que a impressora está funcionando novamente, as evoluções em questão estão sem assinatura, pois as enfermeiras responsáveis não se encontram no local de trabalho.
Por esse motivo, as evoluções serão encaminhadas ao prontuário e ao faturamento sem as devidas assinaturas, com a justificativa de que a falta de impressora impediu a assinatura no momento adequado.</t>
  </si>
  <si>
    <t>Falha na dupla checagem e controle de psicotrópicos no carrinho de emergência/ risco à segurança do paciente.</t>
  </si>
  <si>
    <t>NC 3094 / 2026</t>
  </si>
  <si>
    <t>Durante a conferência do carrinho de emergência da Sala Vermelha, realizada em 02/04/2026, foram identificadas não conformidades no processo de dupla checagem entre a equipe de enfermagem (auxiliar/enfermeiro) e a farmácia. Evidenciou-se a ausência de medicamentos essenciais ao atendimento de pacientes críticos, sendo constatada a falta de 01 ampola de Etomidato e 01 ampola de Midazolam, ambos classificados como medicamentos psicotrópicos de controle especial.
O evento ocorreu durante a rotina de conferência do carrinho de emergência no Pronto Socorro, envolvendo diretamente a equipe de enfermagem responsável pela checagem e a equipe da farmácia, evidenciando falha no processo integrado de reposição e controle.
Ressalta-se que a não conformidade apresenta caráter recorrente, indicando fragilidade no fluxo atualmente instituído, o qual não tem se mostrado efetivo. Observa-se que a dupla checagem não vem sendo realizada de forma sistemática no momento da reposição, além do carrinho de emergência ser submetido à conferência completa (medicamentos e insumos) apenas mensalmente.
Tal prática eleva significativamente o risco de inconsistências, uma vez que as reposições ocorrem de forma pontual, sem conferência global do conteúdo do carrinho, favorecendo extravios, divergências de estoque e potenciais falhas assistenciais em situações críticas.
A análise inicial evidencia fragilidade no processo de rastreabilidade e no controle de medicamentos, especialmente os psicotrópicos, configurando risco assistencial elevado, com impacto direto na segurança do paciente.
Diante do exposto, foi realizado alinhamento imediato com a supervisão do setor, com orientação quanto às não conformidades identificadas. Como proposta de melhoria, sugiro a reestruturação do fluxo de conferência, estabelecendo que a dupla checagem seja obrigatoriamente realizada entre o profissional farmacêutico e o enfermeiro responsável, visando maior segurança, controle e rastreabilidade dos medicamentos.
Adicionalmente, recomenda-se que, sempre que o carrinho de emergência for aberto, seja realizada a conferência completa de todos os itens (medicamentos e insumos), e não apenas reposição pontual, garantindo maior acurácia no controle de estoque e redução de riscos assistenciais.
Por fim, solicita-se a implementação de melhorias no processo por ambas as equipes (enfermagem e farmácia), incluindo a revisão e padronização do protocolo institucional, definição clara de responsabilidades, reforço das boas práticas de dupla checagem e adoção de mecanismos mais rigorosos de controle, com vistas à mitigação de riscos, prevenção de extravios e garantia da segurança do paciente e da instituição.</t>
  </si>
  <si>
    <t>curativo sem identificação</t>
  </si>
  <si>
    <t>NC 3095 / 2026</t>
  </si>
  <si>
    <t>SINALIZO QUE RECEBI PACIENTE R.C.N. EM POI, CURATIVO OCLUSIVO EM FO SEM IDENTIFICAÇÃO DO PLANTÃO DIURNO.
QUESTIONO COM O COLEGA, O MESMO RELATA QUE RECEBEU PACIENTE SEM IDENTIFICAÇÃO.
NOTIFICO PARA MELHORIA DO PROCESSO.</t>
  </si>
  <si>
    <t xml:space="preserve">ENTREGA DE PEDIDO FORA DE HORARIO </t>
  </si>
  <si>
    <t>NC 3096 / 2026</t>
  </si>
  <si>
    <t>Daniela de Paula de Sousa Morais</t>
  </si>
  <si>
    <t>Durante o plantão noturno do dia 04/04/2026, o enfermeiro de plantão fez os pedidos de insumos das clinicas cirúrgica (13 pedidos) e ortopedia (4 pedidos) entre as 19:15 e 19:25 da noite, esses pedidos eram para ser entregues ate as 22:00h da noite na farmácia, para serem separados e deixados prontos pelo plantão noturno para o plantão diurno entregar, porem o pedido só foi entregue para a farmácia as 07:20 da manhã do dia 05/04/2026, sendo totalmente fora do horário acordado, pois é rotina inteiramente da noite realizar essa separação de insumos para não impactar e causar transtornos na rotina do dia, notifico para melhoria desse processo.</t>
  </si>
  <si>
    <t>PRONTUARIO SEM ATENDIMENTO PEDIATRICO</t>
  </si>
  <si>
    <t>NC 3097 / 2026</t>
  </si>
  <si>
    <t>FOI INDETIFICADO QUE AO FATURAR O PRONTUARIO DE E.D.J.P O MESMO ESTA SEM A FICHA DE ATENDIMENTO PEDIATRICO DO RN.</t>
  </si>
  <si>
    <t>Encaminhar ao NEP alteração de treinamentos programados no PAT com nova data a ser realizado através de formulário padrão.</t>
  </si>
  <si>
    <t>NC 3098 / 2026</t>
  </si>
  <si>
    <t>O treinamento de Práticas de Coleta, anteriormente programado para os dias 09 e 10/04, não foi realizado conforme previsto.</t>
  </si>
  <si>
    <t xml:space="preserve">Encaminhar listas de presença das atividades de Educação Permanente realizadas ao NEP devidamente assinadas e em conformidade; sem rasuras, assinatura legível, </t>
  </si>
  <si>
    <t>NC 3099 / 2026</t>
  </si>
  <si>
    <t>A lista de presença do treinamento foi entregue conforme a data prevista para realização. Foram encaminhados ao setor os recursos necessários (cadeiras e televisão); no entanto, a lista não foi devolvida.
Dessa forma, na ausência da devida evidência, torna-se impossível classificar o treinamento como realizado, considerando que o principal meio de comprovação foi extraviado.</t>
  </si>
  <si>
    <t>NC 3100 / 2026</t>
  </si>
  <si>
    <t>O treinamento de Notificações, anteriormente programado para os dias 19 e 20/04, não foi realizado conforme previsto.
A responsável indicou como facilitador o setor do NSP; no entanto, na ausência de alinhamento prévio quanto à disponibilidade para condução do treinamento, compete ao responsável pelo planejamento realizar a devida articulação e definir uma nova data para sua execução.</t>
  </si>
  <si>
    <t>EVENTO RELACIONADO À SEGURANÇA DO PACIENTE</t>
  </si>
  <si>
    <t>NC 3101 / 2026</t>
  </si>
  <si>
    <t>PACIENTE NÃO REALIZOU O EXAME POR FALTA DE PREPARO</t>
  </si>
  <si>
    <t>NC 3102 / 2026</t>
  </si>
  <si>
    <t>PACIENTE F.D.S.D., ATENDIMENTO Nº 1611228, NÃO REALIZOU O EXAME PREVIAMENTE AGENDADO DEVIDO À FALTA DE ORIENTAÇÃO SOBRE O PREPARO NECESSÁRIO. DIANTE DISSO, FAZ-SE NECESSÁRIA A REMARCAÇÃO DO EXAME.</t>
  </si>
  <si>
    <t>notificação compulsória de violência interpessoal realizada em ficha desatualizada</t>
  </si>
  <si>
    <t>NC 3103 / 2026</t>
  </si>
  <si>
    <t>Foi identificada notificação compulsória de violência interpessoal realizada em ficha desatualizada, em desacordo com o modelo vigente preconizado pelo Ministério da Saúde.
Ressalta-se que o uso de instrumento desatualizado compromete a qualidade, completude e padronização das informações, podendo impactar diretamente na vigilância epidemiológica e no adequado encaminhamento do caso.</t>
  </si>
  <si>
    <t>Notificação compulsória de violência interpessoal com preenchimento incompleto,</t>
  </si>
  <si>
    <t>NC 3104 / 2026</t>
  </si>
  <si>
    <t>Foi identificada notificação compulsória de violência interpessoal com preenchimento incompleto, apresentando ausência de informações em campos obrigatórios da ficha.
Os seguintes campos não foram preenchidos: 3, 8, 25, 55, 59, 60, 64, 65, 66, 67, além de ausência de registro em observações adicionais.
Ressalta-se que a incompletude das informações compromete a qualidade dos dados epidemiológicos, dificultando a análise adequada do caso, o monitoramento e a tomada de decisões pelos órgãos de vigilância em saúde.</t>
  </si>
  <si>
    <t>Notificação compulsória de acidente de trabalho com preenchimento incompleto</t>
  </si>
  <si>
    <t>NC 3105 / 2026</t>
  </si>
  <si>
    <t>Foi identificada notificação compulsória de acidente de trabalho com preenchimento incompleto, apresentando ausência de informações em campos obrigatórios da ficha.
Os seguintes campos não foram preenchidos: 46 e 50,51, 55, 58, 59 e 63.
Ressalta-se que a incompletude desses dados compromete a qualidade das informações epidemiológicas, podendo interferir na análise do caso, no monitoramento dos agravos relacionados ao trabalho e na implementação de medidas preventivas adequadas.</t>
  </si>
  <si>
    <t>Notificação compulsória de acidente de trabalho com material biológico</t>
  </si>
  <si>
    <t>NC 3106 / 2026</t>
  </si>
  <si>
    <t>Foi identificada notificação compulsória de acidente de trabalho com material biológico com preenchimento incompleto, apresentando ausência de informações em campos obrigatórios da ficha.
Os seguintes campos não foram preenchidos: 4, 23, 40, 41, 43 e 51.
Ressalta-se que a incompletude dessas informações compromete a qualidade e a confiabilidade dos dados epidemiológicos, podendo impactar na investigação do acidente, no acompanhamento adequado do trabalhador exposto e na adoção de medidas de prevenção.</t>
  </si>
  <si>
    <t>NC 3107 / 2026</t>
  </si>
  <si>
    <t>Foi identificada notificação compulsória de acidente de trabalho com material biológico com preenchimento inadequado, apresentando ausência de informações em campos obrigatórios da ficha.
Os seguintes campos não foram preenchidos: 4, 17, 35, 37, 40, 41, 42, 43 e 45.
Adicionalmente, foi observado que o campo 47 foi preenchido de forma incorreta, apenas com marcação em "X", sem detalhamento da informação solicitada.</t>
  </si>
  <si>
    <t>notificação compulsória de sífilis</t>
  </si>
  <si>
    <t>NC 3108 / 2026</t>
  </si>
  <si>
    <t>Venho por meio desta registrar ocorrência referente ao encaminhamento de paciente proveniente do Centro Cirúrgico pela enfermeira Elizete para o leito 08 do cgo, A. S. A. S com prontuário de número 1627460, a qual deu entrada no setor sem a devida notificação compulsória de sífilis devidamente preenchida e anexada ao prontuário. 
Ressalta-se que, conforme protocolos institucionais e diretrizes de vigilância em saúde, pacientes com diagnóstico de sífilis devem ser encaminhados aos setores de destino acompanhados da respectiva notificação, devidamente registrada ainda na unidade de origem, garantindo a continuidade da assistência, rastreabilidade dos casos e cumprimento das exigências legais.
A ausência desta notificação no momento da admissão ocasionou impacto direto na organização do serviço, uma vez que a equipe assistencial do setor receptor necessitou interromper suas atividades para regularização da pendência, o que pode comprometer o fluxo de trabalho e a segurança assistencial.
Diante do exposto, solicita-se maior atenção quanto ao cumprimento dos protocolos institucionais no momento da transferência de pacientes, a fim de evitar recorrências e garantir a qualidade e segurança da assistência prestada.
Sem mais, coloco-me à disposição para quaisquer esclarecimentos.</t>
  </si>
  <si>
    <t xml:space="preserve">Ausência de solicitação do raio-X pós operatório após procedimento com utilização de OPME    </t>
  </si>
  <si>
    <t>NC 3109 / 2026</t>
  </si>
  <si>
    <t>Paciente submetido a procedimento com utilização de OPME, sem solicitação de exame de raio-X no pós-operatório pelo médico responsável.
Informo que, em razão da ausência do referido exame de imagem, o prontuário encontra-se incompleto quanto à devida anexação.
Dessa forma, o mesmo será encaminhado ao faturamento nas condições atuais.
Solicito a devida verificação, a fim de prevenir recorrências.
PACIENTE: A.F.B
PRONTUARIO: 317400</t>
  </si>
  <si>
    <t>Uso de caneta preta em registros médicos</t>
  </si>
  <si>
    <t>NC 3110 / 2026</t>
  </si>
  <si>
    <t>Foi identificado que parte das evoluções médicas e do registro cirúrgico do prontuário foram assinadas com caneta preta.
Ressalto que, conforme padronização institucional, é obrigatório o uso de caneta azul para preenchimento e assinatura de documentos em prontuário, a fim de evitar possíveis divergências ou confusão com cópias (xerox).
Informo que, devido ao prazo de vencimento do prontuário estar próximo, o mesmo será encaminhado ao faturamento nas condições atuais, solicito a devida aceitação.
Peço, por gentileza, a adequação às normas estabelecidas, a fim de prevenir recorrências.
Paciente: A.F.B
Prontuário: 317400</t>
  </si>
  <si>
    <t>Notificação - maqueiro</t>
  </si>
  <si>
    <t>NC 3111 / 2026</t>
  </si>
  <si>
    <t>Venho, por meio desta, registrar ocorrência relacionada à demora no atendimento da equipe de maqueiros do dia 30/03/26, plantão noturno, situação esta que gerou prejuízo ao fluxo assistencial do plantão e impacto direto na dinâmica de trabalho da equipe de enfermagem.
Na presente data, foi solicitado pela enfermeira do CPM o apoio do maqueiro por três vezes para realização do transporte de uma paciente. Diante da ausência de atendimento em tempo oportuno, foi necessário designar uma técnica de enfermagem para realizar a busca da paciente no referido setor. A profissional desceu às 22h30 e somente retornou ao setor às 23h20, permanecendo aproximadamente 40 a 50 minutos aguardando a disponibilidade do maqueiro para viabilizar o transporte.
Ressalta-se que, durante esse intervalo prolongado de espera, houve comprometimento do andamento das atividades assistenciais da unidade, uma vez que a técnica permaneceu fora do setor por período considerável, reduzindo momentaneamente o quantitativo da equipe disponível para atendimento das demais demandas do plantão.
Ainda durante essa intercorrência, fez-se necessária a solicitação para que outra técnica de enfermagem se dirigisse ao Centro Cirúrgico para buscar outro paciente. Na ocasião, o maqueiro foi acionado por aquele setor e compareceu de forma imediata, possibilitando o retorno rápido da profissional com o paciente. Tal situação evidencia diferença no tempo de resposta entre as solicitações, ao passo que a primeira técnica, enviada anteriormente ao CPM, permaneceu aguardando por tempo excessivo, sem o devido suporte.
Diante do exposto, registro a presente notificação com a finalidade de dar ciência à situação ocorrida e solicitar maior agilidade, organização e equidade no atendimento às solicitações de transporte, a fim de evitar novos atrasos que comprometam a assistência, sobrecarreguem a equipe de enfermagem e prejudiquem o fluxo do serviço.
Sem mais.</t>
  </si>
  <si>
    <t>Equipe de maqueiro</t>
  </si>
  <si>
    <t>NC 3112 / 2026</t>
  </si>
  <si>
    <t>Venho, por meio desta, registrar ocorrência referente à falha no atendimento da equipe de maqueiros durante o plantão noturno do dia 26/03/26, situação que ocasionou prejuízo assistencial relevante.
Durante o referido plantão, havia uma paciente em puerpério que necessitava ser conduzida à UCI para amamentação de seu recém-nascido. Diante dessa necessidade, foram realizadas múltiplas solicitações à equipe de maqueiros, sendo três solicitações por esta enfermeira e mais duas pela enfermeira plantonista que se fazia presente no turno, totalizando cinco acionamentos ao longo do período noturno.
Entretanto, não houve comparecimento do maqueiro em nenhum momento durante o plantão, impossibilitando a condução da paciente até a UCI e, consequentemente, prejudicando o vínculo materno-infantil e o processo de amamentação, que são de extrema importância nesse período.
Ressalta-se que a equipe de maqueiros somente compareceu ao setor no período da manhã, fora do tempo oportuno para a demanda apresentada.
Salienta-se ainda que essa não se trata de situação isolada, havendo recorrência de atrasos e ausência de resposta às solicitações, o que tem gerado impacto negativo no fluxo assistencial, sobrecarga da equipe de enfermagem e risco à qualidade da assistência prestada aos pacientes.
Diante do exposto, solicita-se maior comprometimento, prontidão e organização da equipe de maqueiros, com vistas a garantir atendimento em tempo hábil às demandas assistenciais, especialmente aquelas de caráter prioritário.
Sem mais.
Enfermeira Lisiane</t>
  </si>
  <si>
    <t>Prontuário incompleto por ausência de raio-X pós-operatório em procedimento com OPME</t>
  </si>
  <si>
    <t>NC 3113 / 2026</t>
  </si>
  <si>
    <t>Paciente submetido a procedimento com utilização de OPME, sem solicitação de exame de raio-X no pós-operatório pelo médico responsável.
Informo que, em razão da ausência do referido exame de imagem, o prontuário encontra-se incompleto quanto à devida anexação.
Dessa forma, o mesmo será encaminhado ao faturamento nas condições atuais.
Solicito a devida verificação, a fim de prevenir recorrências.
Paciente: S.S.S
Prontuário: 341214</t>
  </si>
  <si>
    <t>DESCRIÇÃO DO OCORRIDO NO CC - NIR</t>
  </si>
  <si>
    <t>NC 3114 / 2026</t>
  </si>
  <si>
    <t>Plantão do dia 26/03/2026 - Quinta - feira, recebido contato da enfermeira do Centro Cirúrgico (Elizete) informando sobre duas pacientes: Leidiane Gonçalves Carvalho e Janiele Ribeiro de Castro. Foi solicitado pela enfermeira notificante o encaminhamento da paciente Leidiane Gonçalves Carvalho, uma vez que, em consulta ao NIR-MATERNO  E CENSO, a paciente Janiele Ribeiro de Castro não constava como regulada para a unidade no momento. Foi também solicitado esclarecimento quanto ao leito de destino da paciente Janiele. Entretanto, ao invés da paciente previamente solicitada, foi encaminhada para a unidade a paciente Janiele Ribeiro de Castro, sem autorização prévia da enfermeira responsável pelo setor. Ao dar entrada na unidade, constatou-se que a referida paciente não possuía leito disponível, gerando inconsistência na regulação. Posteriormente, foi informado que a paciente estaria regulada para o leito 10 desde o período da tarde (aproximadamente 15h), porém o referido leito encontrava-se ocupado. Diante da situação, foi necessário contato com a enfermeira do NIR, sendo realizada reavaliação e nova regulação da paciente para o leito 22. Até a regularização, houve necessidade de adequação improvisada de leito para acomodação da paciente. Ressalta-se ainda que não houve comunicação prévia à equipe da unidade sobre a regulação da paciente no período diurno, ocasionando falha no planejamento assistencial e gestão de leitos. Solicito, por gentileza, que reforçe a comunicação efetiva entre Centro Cirúrgico, NIR e unidades assistenciais quanto à regulação de pacientes; Garantir que pacientes sejam encaminhados apenas após confirmação de leito disponível e alinhamento com a unidade de destino; Padronizar comunicação em grupo institucional (ex: linha materno-infantil) para pacientes regulados no período diurno; Reforçar a importância do cumprimento das solicitações da unidade de destino quanto ao paciente a ser encaminhado e revisar fluxo de regulação para evitar alocação em leitos já ocupados. Reforço ainda que técnica relatou que a enfermeira ELIZETE o tratou com postura inadequada caracterizada por comunicaçaõ não cordial e abordagem considerada derespeitosa. ressalta-se a importancia de comunicação respeitavel para não gerar ou causar desconforto para a equipe.
Atenciosamente 
Enfermeira Lisiane Paixão</t>
  </si>
  <si>
    <t>equipe de enfermagem cgo</t>
  </si>
  <si>
    <t>NC 3115 / 2026</t>
  </si>
  <si>
    <t>no dia 29/03 as 6:09 RECEBO UM RN DO CGO RN DE D.L.G.M PRESCRIÇÃO 348095, FOI ENCAMINHADO PRA UCI COM CASO DE HIPOGLICEMIA?, SEM COMUNICAÇÃO PREVEA DE ENFERMEIRO PARA ENFERMEIRO. ME PASSANDO SOMENTE O CASO DO RN NAB PORTA DA UCI, ASSIM ATRASANDO O MEU RECEBIMENTO DO RN PARA TRIAGEM NEONATAL NA ADMISSÃO. SEM SABER GRAVIDADE DO CASO PARA PODER PREPARAR O LEITO ADEQUADO. GRACAS A DEUS RN CHEGOU ESTAVEL.</t>
  </si>
  <si>
    <t xml:space="preserve">ASSINATURA MÉDICA COM CANETA PRETA </t>
  </si>
  <si>
    <t>NC 3116 / 2026</t>
  </si>
  <si>
    <t>Venho por meio desta notificar que foi identificado o uso de caneta preta na assinatura de documentos originais de pacientes, prática que está em desacordo com a orientação previamente repassada, a qual determina o uso de caneta azul para assinaturas em prontuários e documentos oficiais.
Ressaltamos que tais documentos não são cópias, sendo, portanto, imprescindível a padronização para garantir a autenticidade, rastreabilidade e conformidade com as normas institucionais.
Informamos que essa orientação já foi comunicada anteriormente, e solicitamos, a partir desta notificação, a adequação imediata ao padrão estabelecido, a fim de evitar inconsistências e possíveis não conformidades em auditorias.</t>
  </si>
  <si>
    <t>NC 3117 / 2026</t>
  </si>
  <si>
    <t>REGISTRO DE ACIDENTE DE TRABALHO EM EVOLUÇÃO MÉDICA</t>
  </si>
  <si>
    <t>NC 3118 / 2026</t>
  </si>
  <si>
    <t>Prezados(as) Médicos(as),
O Núcleo de Vigilância Epidemiológica Hospitalar (NVEH) solicita a colaboração de todos quanto ao registro em prontuário das informações relacionadas à ocorrência de acidente de trabalho durante a assistência ao paciente.
É fundamental que, nas evoluções médicas, seja descrito de forma clara se o agravo apresentado possui relação com acidente de trabalho, incluindo, quando possível, informações como: tipo de acidente, circunstância e vínculo ocupacional.
Essa prática é essencial para:
Facilitar a identificação oportuna dos casos pelo NVEH;
Permitir a busca ativa e o encaminhamento para notificação quando não realizada no momento do atendimento;
Contribuir para a redução de subnotificações;
Fortalecer as ações de vigilância em saúde do trabalhador.
Ressaltamos que a notificação adequada desses eventos é obrigatória e de grande importância para o monitoramento epidemiológico e implementação de medidas preventivas.
Contamos com o apoio e comprometimento de todos.
Atenciosamente,
Núcleo de Vigilância Epidemiológica Hospitalar (NVEH)</t>
  </si>
  <si>
    <t>Falha no Controle de Acesso com Ocupação Indevida de Leito e Comportamento Inadequado em Área Assistencial.</t>
  </si>
  <si>
    <t>NC 3119 / 2026</t>
  </si>
  <si>
    <t>Informo que no plantão na data de 07/04/2026, fui comunicado acerca da presença de um indivíduo acomodado em leito do setor UCP, no Pronto-Socorro, sem que houvesse registro prévio de atendimento no sistema institucional (MV).
Após verificação, constatou-se que o referido indivíduo adentrou à unidade sem a devida triagem e abertura de ficha, conseguindo acesso às dependências assistenciais e ocupando leito, o que evidencia falha no controle de acesso por parte da portaria/segurança.
Durante sua permanência no setor, apresentou comportamento inadequado e incompatível com o ambiente assistencial, incluindo a prática de atos obscenos e masturbação em área comum, ocasionando desconforto, constrangimento e potencial risco à integridade dos demais pacientes e colaboradores.
A equipe assistencial realizou abordagem verbal, orientando-o a se retirar do local; contudo, houve resistência, com recusas reiteradas ao cumprimento das orientações.
Diante do exposto, registro a presente notificação com o objetivo de evidenciar a não conformidade no fluxo de controle de acesso à unidade, ressaltando a necessidade de revisão e fortalecimento dos protocolos de entrada, acolhimento e segurança institucional, a fim de prevenir recorrências e garantir a segurança assistencial e organizacional.</t>
  </si>
  <si>
    <t>DISPENSAÇÃO NÃO CONFORME DE MATERIAS VENTILATÓRIOS.</t>
  </si>
  <si>
    <t>NC 3120 / 2026</t>
  </si>
  <si>
    <t>DISPENSADO AO SETOR UCI/NEONATAL AMBUS NÃO CONFORME.
AMBU ADULTO COM MÁSCARA DE SILICONE NEONATAL E AMBU NEONATAL COM MÁSCARA DE SILICONE PEDIÁTRICA, ERRO DE MONTAGEM QUE PODE ACARRETAR DANOS AO PACIENTE NO MOMENTO DE UMA INTERCORRÊNCIA UMA VEZ QUE CADA EQUIPAMENTO ATENDE A UM PACIENTE DE IDADE E PORTE ESPECÍFICO.</t>
  </si>
  <si>
    <t>SOLICITAÇÕES FREQUENTES DE RECOLETA DE MATERIAL.</t>
  </si>
  <si>
    <t>NC 3121 / 2026</t>
  </si>
  <si>
    <t>FORA SOLICITADO PELO LABORATÓRIO RECOLETA DE EXAMES. QUESTIONADO O MOTIVO OS MESMOS ALEGAM RESULTADOS MUITO ALTERADOS, RECOLETA PARA CONFIRMAÇÃO DE VALORES, CONDUTA NA QUAL PODE ACARRETAR DANOS AO PACIENTE UMA VEZ QUE NA UCI NEONATAL O MAIOR NÚMERO DE INTERNAÇÕES SÃO POR PREMATURIDADE, PACIENTES ABAIXO DO PESO PRA IDADE NÃO PODENDO SER COLETADOS GRANDES VOLUMES E TAMBÉM DANOS FÍSICOS (HEMATOMAS) POR VÁRIAS TENTATIVAS DE COLETA.</t>
  </si>
  <si>
    <t>Relato de avarias na distribuição de materiais</t>
  </si>
  <si>
    <t>NC 3122 / 2026</t>
  </si>
  <si>
    <t>Venho por meio deste relatar uma ocorrência envolvendo o transporte e a distribuição de materiais.
Do total de 6 beckes (03 500 ml e 03 de 1000ml), 4 apresentaram avarias (quebra). Desses, 2 foram danificados durante a distribuição externa e os outros 2 sofreram danos durante a distribuição interna. Restando apenas 02 de 1000 ml. Vale ressaltar que esses materiais são de grande importância para a realização das atividades.</t>
  </si>
  <si>
    <t>Interferências na condução técnica do atendimento psicológico</t>
  </si>
  <si>
    <t>NC 3123 / 2026</t>
  </si>
  <si>
    <t>Gostaria de registrar e dar ciência acerca de situações recorrentes envolvendo a atuação profissional no contexto interdisciplinar, especificamente no que tange à interface entre o Serviço Social e a Psicologia.
Observa-se que, em determinados momentos, há intervenções durante o acompanhamento de pacientes que acabam por interferir diretamente na condução técnica do fazer psicológico. Tais intervenções incluem falas como "está com cara de alta" e "ele é um menino bom", proferidas em contextos nos quais a abordagem psicológica está direcionada ao desenvolvimento da autorresponsabilidade, autonomia e elaboração crítica por parte do paciente.
Ressalta-se que esse tipo de abordagem, ainda que não intencional, pode gerar efeitos contrários aos objetivos terapêuticos propostos, favorecendo processos de regressão comportamental, reforço de dependência e enfraquecimento da implicação subjetiva do paciente em seu próprio processo de cuidado.
Destaca-se a importância da preservação dos limites técnicos e éticos de cada área de atuação, bem como do alinhamento das práticas no contexto interdisciplinar, a fim de garantir a coerência das intervenções e a qualidade do atendimento prestado aos pacientes.</t>
  </si>
  <si>
    <t>solicitação fora do cronograma</t>
  </si>
  <si>
    <t>NC 3124 / 2026</t>
  </si>
  <si>
    <t>no dia 26/03 as 16:18 recebemos a solicitação de Nº-2698497 fora do cronograma estipulado para atendimento setorial.
Solicitação atendida notificamos para tratativas.</t>
  </si>
  <si>
    <t>AUSÊNCIA DE NOTIFICAÇÕES NO PERÍODO NOTURNO</t>
  </si>
  <si>
    <t>NC 3125 / 2026</t>
  </si>
  <si>
    <t>Prezados,
Foi identificado, por meio das atividades de busca ativa realizadas pelo Núcleo de Vigilância Epidemiológica Hospitalar (NVEH), que as notificações de doenças e agravos de notificação compulsória não estão sendo realizadas de forma oportuna no período noturno pelo Pronto-Socorro.
Observa-se que tais notificações vêm sendo solicitadas posteriormente, com base na identificação dos casos através do censo de atendimento, o que pode ocasionar atraso no envio das informações aos sistemas oficiais, comprometendo a qualidade, oportunidade e sensibilidade da vigilância epidemiológica.
Reforçamos que a notificação deve ser realizada no momento do atendimento ou o mais breve possível após a suspeita/diagnóstico, independentemente do turno, conforme preconizado pelas normativas vigentes.
Solicitamos a colaboração da equipe para:
Realizar as notificações de forma imediata durante todos os turnos;
Garantir o preenchimento completo e correto das fichas;
Reduzir a necessidade de notificações tardias provenientes de busca ativa.
Ressaltamos que a notificação oportuna é fundamental para o monitoramento, controle e prevenção de agravos à saúde.
Contamos com o apoio de todos para a melhoria contínua do processo.</t>
  </si>
  <si>
    <t>Notificação sobre Vinculação de Exames Laboratoriais à Notificação Compulsória</t>
  </si>
  <si>
    <t>NC 3126 / 2026</t>
  </si>
  <si>
    <t>Prezados,
Considerando a importância da vigilância epidemiológica hospitalar e o cumprimento das normativas relacionadas às Doenças e Agravos de Notificação Compulsória, solicitamos o apoio deste setor quanto à não realização de exames laboratoriais vinculados a agravos de notificação compulsória sem a devida notificação previamente registrada.
Tal medida tem como objetivo:
Fortalecer a identificação precoce de casos suspeitos
Garantir a notificação oportuna
Reduzir a ocorrência de subnotificações
Promover a integração entre assistência, laboratório e NVEH
Ressaltamos que a vinculação entre a solicitação de exames e a notificação compulsória é uma estratégia fundamental para qualificar os dados epidemiológicos e otimizar as ações de vigilância em saúde.
Contamos com a colaboração de toda a equipe para o cumprimento desta orientação.
Em caso de dúvidas, o NVEH encontra-se à disposição para esclarecimentos e suporte.
Atenciosamente,
Núcleo de Vigilância Epidemiológica Hospitalar (NVEH)</t>
  </si>
  <si>
    <t>SOLICITAÇÃO EXCESSIVA DE COLETAS</t>
  </si>
  <si>
    <t>NC 3127 / 2026</t>
  </si>
  <si>
    <t>Ana Clara Vieira De Almeida</t>
  </si>
  <si>
    <t>DIA 05.04 REALIZO COLETA LABORATORIAL DO RN ANA KLYVIA + RN RAFAELA, SENDO O PRIMEIRO PACIENTE CITADO RN EXTREMO DE UMA GESTA DE 31S. RECEBO LIGAÇÃO DO LABORATORIO DIA 06.04, SOLICITANDO MAIS COLETA, REFORÇO QUE NAO FOI RECOLETA E SIM MAIS COLETA DE 1 TUBO DE BIOQUIMICO DE CADA UM DOS RN'S DEVIDO RELATAREM INSUFICIENTES OS MATERIAIS ENVIADOS, ENTRETANDO MATERIAIS ESTES COLETADOS EM GRANDE QUANTIDADE DE AMBOS NA MAGRUGADA. TANTO EU COMO A MEDICA PLANTONISTA REFORÇAMOS AO LABORATORIO SOBRE O QUADRO DOS MESMOS, QUE NOVA COLETA DE 5ML DE CADA PODERIA SIM OCASIONAR PROBLEMATICA NA SAUDE, EQUIPE DE LABORATORIO INSISTE NA COLETA . REALIZO COLETA COM EQUIPE MEDICA E SUPERVISÃO CIENTE DA SIITUAÇÃO. SOLICITO TRATATIVA PARA SOLUCIONARMOS PROBLEMATICA.</t>
  </si>
  <si>
    <t>Divergência de informação no mapa de dietas da UTI; coluna de acompanhantes</t>
  </si>
  <si>
    <t>NC 3128 / 2026</t>
  </si>
  <si>
    <t>Venho por meio desse notificar o erro de informação na coluna "acompanhante" no mapa de dietas da UTI, o mesmo encontra-se novamente informando que temos acompanhantes para os pacientes dos leitos leito 2, 4, 6, 10 e VUTI 02. Porém, pacientes internados na UTI só possuem acompanhantes se forem menor de idade, ou seja, inferior a 18 anos. Informo que essa divergência causa estresse e confusão no Serviço de Nutrição e Dietética, acarretando em marmitas adicionais sendo descartadas. 
Foi realizado treinamento para tais fins.</t>
  </si>
  <si>
    <t>RN ENCAMINHADO DE FORMA INADEQUADA</t>
  </si>
  <si>
    <t>NC 3129 / 2026</t>
  </si>
  <si>
    <t>RECEBO RN EM COLO DE GENITORA ENCAMINHADO PARA REALIZAR ACOMPANHAMENTO DE GANHO DE PESO , A MESMA EM CADEIRA DE RODAS, VINDO DO CGO, ACOMPANHADA POR MAQUEIRO E TECNICA DE ENFERMAGEM. SENDO A EQUIPE JA ORIENTADA SOBRE O ENVIO DE RN EM BERÇO DE TRANSPORTE DURANTE MUDANÇA DE SETOR, PARA QUE NÃO OCORRA RISCO DE QUEDA AO PACIENTE.</t>
  </si>
  <si>
    <t>Controle de Acesso de Materiais Externos</t>
  </si>
  <si>
    <t>NC 3130 / 2026</t>
  </si>
  <si>
    <t>Durante a realização de limpeza terminal na enfermaria 07 da Clínica Médica, após transferência de paciente para procedimento em Marabá, foi identificado no leito um colchonete trazido de fora da instituição pelo acompanhante. Verificou-se que o material entrou na unidade hospitalar sem passar por avaliação ou autorização do setor responsável, não sendo identificado pela recepção no momento do acesso à unidade.</t>
  </si>
  <si>
    <t>ATRASO NO ATENDIMENTO DE MAQUEIROS</t>
  </si>
  <si>
    <t>NC 3131 / 2026</t>
  </si>
  <si>
    <t>Foi identificado atraso no atendimento da equipe de maqueiros para remoção de paciente de alta na Clínica Médica.
A solicitação de transporte foi realizada via grupo institucional às 15:03h, porém até às 15:56h não houve resposta ou comparecimento da equipe responsável, ocasionando atraso significativo no processo de desocupação do leito. Tal situação impacta diretamente no fluxo assistencial e no giro de leitos da unidade, podendo comprometer a admissão de novos pacientes, especialmente em um cenário de alta demanda. Ressalta-se a importância do cumprimento dos tempos de resposta e da comunicação efetiva entre as equipes, a fim de garantir a fluidez do processo assistencial e a segurança do paciente. Encaminha-se a presente notificação para ciência e adoção de medidas que visem a melhoria do fluxo de atendimento da equipe de transporte interno.</t>
  </si>
  <si>
    <t xml:space="preserve">NÃO CONFOMIDADES  </t>
  </si>
  <si>
    <t>NC 3132 / 2026</t>
  </si>
  <si>
    <t>SINALIZO QUE A DEMORA A VIM BUSCAR AS PUÉRPERAS PREJUDICAR O FLUXO DE PROCEDIMENTOS, NA ANSIDADE DAS PACIENTES DOS FAMILIARES.</t>
  </si>
  <si>
    <t>triagem neonatal</t>
  </si>
  <si>
    <t>NC 3133 / 2026</t>
  </si>
  <si>
    <t>Gostaria de informar que, durante a organização dos prontuários, foi identificado a falta do documento triagem neonatal nos prontuários das pacientes L . C. A. 346085 e L. S. A . B . 231970.
O documento de triagem Neonatal é um registro fundamental para acompanhamento da saúde do recém-nascido e sua ausência pode comprometer a qualidade do atendimento e segurança do paciente.
Devido a essa situação, o prontuário será encaminhado ao faturamento sem essa documentação para que seja faturado.</t>
  </si>
  <si>
    <t>notificação de risco</t>
  </si>
  <si>
    <t>NC 3134 / 2026</t>
  </si>
  <si>
    <t>Notificação de Risco - Infiltração e Acúmulo de Água no Setor CGO II primeiro andar .
Prezados,
Venho por meio desta notificar situação de risco identificada no setor CGO || Primeiro andar.
Está ocorrendo vazamento constante de água pelo forro, o que tem causado acúmulo significativo no chão. A situação oferece grande risco de queda para funcionários e pacientes que transitam pelo local.
Solicito, em caráter de urgência, a verificação e o reparo do problema, bem como medidas preventivas para garantir a segurança de todos no estabelecimento.</t>
  </si>
  <si>
    <t>falta de assinaturas de enfermagem</t>
  </si>
  <si>
    <t>NC 3135 / 2026</t>
  </si>
  <si>
    <t>Documentos de Enfermagem sem Impressão e Assinatura
Prezados,
Venho por meio deste notificar situação identificada no setor CGO II referente aos documentos de enfermagem.
Foi constatado que os documentos não estão sendo impressos e, por consequência, estão ficando sem a assinatura das profissionais responsáveis. A ausência da assinatura compromete a validade legal dos registros e pode gerar inconformidades em auditorias e fiscalizações dos órgãos competentes.
Solicito, em caráter de urgência, que sejam tomadas as providências necessárias para regularizar a impressão e garantir a assinatura dos documentos por parte das responsáveis, assegurando a conformidade dos processos e a segurança jurídica do estabelecimento.</t>
  </si>
  <si>
    <t>CÓDIGO DE ALTA</t>
  </si>
  <si>
    <t>NC 3136 / 2026</t>
  </si>
  <si>
    <t>Frequentemente têm sido enviado prontuários com o código de alta 62 (alta da mãe com permanência do RN), mesmo quando o recém-nascido recebe alta junto com a mãe. Nesse caso, o correto é utilizar o código 61.
segue alguns códigos de prontuários com esse erro:
161507
345205
218691
300603
314558
345717</t>
  </si>
  <si>
    <t>COPOS COM ODOR</t>
  </si>
  <si>
    <t>NC 3137 / 2026</t>
  </si>
  <si>
    <t>Após entrega das formulas identificamos odor presente nos copinhos, sendo verificado pela enfermeira, técnica e medica plantonista. A má higienização poderá ocasionar infecções gastrointestinais nos rn's da unidade, postergando por mais dias de internações por algo que poderia ser evitado.</t>
  </si>
  <si>
    <t>COBERTAS EM FALTA</t>
  </si>
  <si>
    <t>NC 3138 / 2026</t>
  </si>
  <si>
    <t>12/04/2026</t>
  </si>
  <si>
    <t>Somente durante as 2 semanas que se iniciou abril, já foram necessárias 3 idas da enfermeira na lavandeira para buscar as cobertas e tecidos utilizados no manuseio dos rn's e incubadoras, pois os mesmos não estão trazendo nos horários determinados ao setor. Já realizada queixa verbalmente as camareiras, porém dizem que por alta demanda esquecem de trazer. Entretanto, todas as vezes que foi realizada a busca no setor, haviam 2 ou 3 pessoas em pleno dialogo, sem demandas na lavandeira. Solicito repasse de fluxo e tratativa com a equipe, pois estamos que nos locomover do setor , atrapalhando nossa rotina dentro da UCI, para realizar demanda externa que está fora das condutas e afazeres da nossa equipe.</t>
  </si>
  <si>
    <t xml:space="preserve">CADASTROS INCOMPLETOS </t>
  </si>
  <si>
    <t>NC 3139 / 2026</t>
  </si>
  <si>
    <t>Venho, por meio desta, informar e solicitar providências quanto ao cumprimento adequado das normas estabelecidas na portaria referente ao cadastro de pacientes na recepção.
Foi identificado que não estão sendo inseridos corretamente dados obrigatórios no sistema, tais como:
Número do Cartão SUS;
Endereço completo do paciente;
CEP.
Ressalta-se que o preenchimento completo e correto dessas informações é essencial para garantir a qualidade do atendimento, a integridade dos dados e a conformidade com as diretrizes estabelecidas.
Diante do exposto, solicitamos maior atenção por parte da equipe de recepção no momento do cadastro, assegurando que todos os campos obrigatórios sejam devidamente preenchidos.</t>
  </si>
  <si>
    <t>AUSÊNCIA DE DOCUMENTO OBRIGATÓRIO EM PRONTUÁRIO</t>
  </si>
  <si>
    <t>NC 3140 / 2026</t>
  </si>
  <si>
    <t>Ausência de Termo de Consentimento de Laqueadura Tubária em Prontuário
Data: 13/04/2026
Paciente: L . D. S. M  Prontuário nº:  191243 Data do procedimento: 11/02/2026
Durante auditoria de prontuário, constatou-se a ausência do Termo de Consentimento Livre e Esclarecido para Esterilização Cirúrgica - Laqueadura Tubária, referente ao procedimento realizado na data acima.
Ressalto que, conforme Lei nº 9.263/1996, Portaria GM/MS nº 48/1999 e Resolução CFM nº 2.232/2019, o referido termo é documento obrigatório e indispensável para a legalidade do procedimento e para a regularidade do prontuário médico. A ausência impossibilita o faturamento e expõe a instituição a riscos éticos, jurídicos e sanitários.
Em virtude da ausência do termo, foi solicitado aos médicos assistentes responsáveis a elaboração de Relatório Médico circunstanciado descrevendo a indicação, realização e condições da cirurgia, devidamente assinado por dois médicos, conforme orientação da Assessoria Jurídica para mitigação de risco.
Posicionamento da equipe médica:
A equipe médica informou que o termo foi entregue à paciente após o processamento pela equipe assistencial e, por esse motivo, negou-se a elaborar o relatório médico solicitado, alegando não ter responsabilidade sobre a guarda do documento neste momento.
O prontuário permanece em não ,conformidade legal. Sem o termo de consentimento ou relatório médico substitutivo, o procedimento é considerado irregular para fins de auditoria do SUS/Convênios, sujeito a glosa integral e passível de questionamento pelos órgãos de fiscalização.
 Diante do exposto, solicito deliberação imediata da Direção Clínica quanto às medidas administrativas e jurídicas cabíveis para regularização do prontuário, bem como definição de fluxo para evitar reincidência.
Atenciosamente,</t>
  </si>
  <si>
    <t>pendencias de assinaturas evolução de enfermagem</t>
  </si>
  <si>
    <t>NC 3141 / 2026</t>
  </si>
  <si>
    <t>Liberação de Transportadoras sem Aval do Almoxarifado</t>
  </si>
  <si>
    <t>NC 3142 / 2026</t>
  </si>
  <si>
    <t>Informamos que, no dia 13/04 às 15h20, foi registrada a entrada da empresa TRANSPORTADORA JL LTDA nas dependências do hospital sem a devida autorização de acesso.
foi observado que os entregadores presentes não estavam devidamente identificados com crachá de acesso, em desacordo com as normas internas de segurança e controle de entrada de terceiros.</t>
  </si>
  <si>
    <t xml:space="preserve">CONTROLE DE TEMPERATURA </t>
  </si>
  <si>
    <t>NC 3143 / 2026</t>
  </si>
  <si>
    <t>No dia 09/04/2026- Foi constato que o controle de temperatura do almoxarifado não está sendo devidamente realizado conforme Procedimento e Formulário especifico (foto em anexo). 
Notifico para tratativas corretivas e para evitarmos repetições da falha considerando ser um requisito de extrema importância para os critérios de armazenamento de insumos hospitalares.</t>
  </si>
  <si>
    <t>Bens não localizados no setor</t>
  </si>
  <si>
    <t>NC 3144 / 2026</t>
  </si>
  <si>
    <t>Samuel Torres Cardoso</t>
  </si>
  <si>
    <t>Durante o inventario 2026 foi feito o levantamento do setor de Lavanderia, após a conclusão do inventario no setor foi identificado a ausência dos bens patrimoniais: Cadeira em polipropileno N° 200567, Mesa de Madeira N° 201633, Mesa 3 Gavetas N° 201673 e no setor de  Higienização e Limpeza : Cadeira Giratória N° 202674, Armário Auxiliar N° 205722, Cadeira Giratória N° 205926, Até o presente momento os bens em destaque não foram localizados, pedimos ao setor que após a localização dos bens procure o setor de patrimônio para que possamos atualizar os bens no nosso sistema. o setor de Patrimônio irá aguardar até o final do inventario 2026 para as devidas atualizações, após isso será repassado a Direção.</t>
  </si>
  <si>
    <t>Bens não localizado no setor</t>
  </si>
  <si>
    <t>NC 3145 / 2026</t>
  </si>
  <si>
    <t>Durante o inventario 2026 foi feito o levantamento do setor de Centra de Resíduos após a conclusão do inventario no setor foi identificado a ausência do bem patrimonial: Cadeira em polipropileno N° 201081, Até o presente momento o bem em destaque não foi localizado, pedimos ao setor que após a localização do bem procure o setor de patrimônio para que possamos atualizar o bem no nosso sistema. o setor de Patrimônio irá aguardar até o final do inventario 2026 para as devidas atualizações, após isso será repassado a Direção.</t>
  </si>
  <si>
    <t>Conduta profissional</t>
  </si>
  <si>
    <t>NC 3146 / 2026</t>
  </si>
  <si>
    <t>Gostaria de registrar uma situação ocorrida no almoxarifado para conhecimento e providências, se necessário.
Fui ao setor solicitar ajuda para retirar um pedido do sistema, conforme orientação recebida. Inicialmente, fui atendida por um colaborador (não sei o nome), que foi educado, mas não conseguiu me auxiliar e me direcionou ao Felipe.
Ao me dirigir a ele, aguardei atendimento, porém não fui atendida. Ele permaneceu sentado de forma bem relaxada, não se dirigiu a mim e se recusou a prestar auxílio. Entendo que questões pessoais podem existir, mas acredito que, como colaboradores, devemos manter o profissionalismo e o respeito no ambiente de trabalho.
Houve um momento em que o Derli, mesmo estando ocupado, questionou a situação com ele que revidou perguntando porque ele mesmo não me atendia. Após isso, ele próprio me atendeu ( Derli), sendo muito educado e prestativo, conseguindo resolver minha solicitação.
Registro este ocorrido com o objetivo de contribuir para a melhoria do atendimento interno e do ambiente de trabalho.</t>
  </si>
  <si>
    <t>NC 3147 / 2026</t>
  </si>
  <si>
    <t>Durante o inventario 2026 foi feito o levantamento do setor do Centro de Material Esterilizado (CME), após a conclusão do inventario no setor foi identificado a ausência dos bens patrimoniais: Cadeira giratória N° 201772, Mesa de mayo N° 201691, Mesa 2 Gavetas N° 201774, Até o presente momento os bens em destaque não foram localizados, pedimos ao setor que após a localização dos bens procure o setor de patrimônio para que possamos atualizar os bens no nosso sistema. o setor de Patrimônio irá aguardar até o final do inventario 2026 para as devidas atualizações, após isso será repassado a Direção.</t>
  </si>
  <si>
    <t>Inventario 2026</t>
  </si>
  <si>
    <t>NC 3148 / 2026</t>
  </si>
  <si>
    <t>Durante o inventario 2026 foi feito o levantamento do setor da Farmácia, após a conclusão do inventario no setor foi identificado a ausência dos bens patrimoniais, Farmácia Central: Cadeira fixa em estofada N° 201128, Farmácia  Satélite 1: Cadeira fixa  em polipropileno N° 203893, e na Farmácia Satélite 3: mesa de refeição N° 204145, prateleira N° 204257,  Até o presente momento os bens em destaque não foram localizados, pedimos ao setor que após a localização dos bens procure o setor de patrimônio para que possamos atualizar os bens no nosso sistema. o setor de Patrimônio irá aguardar até o final do inventario 2026 para as devidas atualizações, após isso será repassado a Direção.</t>
  </si>
  <si>
    <t>Ben não localizado no setor</t>
  </si>
  <si>
    <t>NC 3149 / 2026</t>
  </si>
  <si>
    <t>Durante o inventario 2026 foi feito o levantamento do setor de Ambulatório de Especialidades Clinicas, após a conclusão do inventario no setor foi identificado a ausência dos bens patrimoniais: Cadeira fixa em polipropileno N° 200132, Cadeira fixa em polipropileno N° 200400, cadeira fixa tecido impermeável N° 200985, mesa de escritório 2 gavetas N° 204002, cadeira de escritório N° 205824, Até o presente momento os bens em destaque não foram localizados, pedimos ao setor que após a localização dos bens procure o setor de patrimônio para que possamos atualizar os bens no nosso sistema. o setor de Patrimônio irá aguardar até o final do inventario 2026 para as devidas atualizações, após isso será repassado a Direção.</t>
  </si>
  <si>
    <t>NC 3150 / 2026</t>
  </si>
  <si>
    <t>Durante o inventario 2026 foi feito o levantamento do setor do Conforto Medico Subsolo após a conclusão do inventario no setor foi identificado a ausência do bem patrimonial: TV de Tubo N° 200182, Até o presente momento o bem em destaque não foi localizado, pedimos ao setor que após a localização do bem procure o setor de patrimônio para que possamos atualizar o bem no nosso sistema. o setor de Patrimônio irá aguardar até o final do inventario 2026 para as devidas atualizações, após isso será repassado a Direção.</t>
  </si>
  <si>
    <t>Erro de identificação cadastral em resultado laboratorial,  não conformidade com risco à segurança do paciente.</t>
  </si>
  <si>
    <t>NC 3151 / 2026</t>
  </si>
  <si>
    <t>CONDUTA INADEQUADA NO AMBIENTE DE TRABALHO</t>
  </si>
  <si>
    <t>NC 3152 / 2026</t>
  </si>
  <si>
    <t>Formalizamos uma ocorrência relatada por colaboradora desta instituição, a qual informou ter se sentido desconfortável diante de comentários realizados por colaboradores da empresa terceirizada LIMPAR.
Segundo o relato, os envolvidos encontravam-se em momento de interação no ambiente de trabalho, realizando comentários entre si de cunho sexual e machista. Foi descrito que, durante a interação, houve verbalizações de teor explícito envolvendo conteúdo sexual e linguagem imprópria, incompatível com o ambiente profissional.
A situação ocorreu enquanto a colaboradora realizava atendimento psicológico, momento em que um dos indivíduos verbalizou a seguinte expressão: "ei cara, bora parar que tem mulher aqui".
Ressaltamos que, independentemente do contexto ou intenção, manifestações dessa natureza são incompatíveis com um ambiente profissional respeitoso e ético, podendo gerar constrangimento e impacto negativo aos colaboradores presentes.
Desta forma, a finalidade da notificação é tornar as lideranças responsáveis cientes da ocorrência para que possam avaliar as medidas cabíveis junto à empresa terceirizada e seus colaboradores.</t>
  </si>
  <si>
    <t>material biológico nao identificado sob o balcao</t>
  </si>
  <si>
    <t>NC 3153 / 2026</t>
  </si>
  <si>
    <t>EM PASSAGEM DE PLANTAO POR VOLTAS DAS 09:00HS. , OBSERVO MATERIAL BIOLÓGICO ( URINA) DENTRO DO RESERVATÓRIO SOBRE A PIA, SEM IDENTIFICAÇÃO DO FRASCO. O IDEAL É IDENTIFICAR O FRASCO, ETRENGAR AO PACIENTE E DEIXAR EM LOCAL ADEQUADO PARA SER RECOLHIDO. NOTIFICO PARA MELHORA DO PROCESSO.</t>
  </si>
  <si>
    <t>NC 3154 / 2026</t>
  </si>
  <si>
    <t>FALHA DE COMUNICAÇÃO</t>
  </si>
  <si>
    <t>NC 3155 / 2026</t>
  </si>
  <si>
    <t>EM 14/04/2026 EQUIEPE DE FARMACIA SATELITE DO CENTRO CIRURGICO DISPENSOU MALETA RECEM USADA PRA NOVO PACIENTE AFIRMANDO QUE A MALETA ESTAVA CHECADA E COM MATERIAL REPOSTO, E DISPENSOU MEDICAMENTO ERRADO, APOS EQUIPE DO CENTRO CIRURGICO HAVER PEDIDO UM OUTRO MEDICAMENTO COM NOME SIMILAR PARA PROCEDIMENTO DE EMERGENCIA, CAUSANDO UM RISCO AO PACIENTE.</t>
  </si>
  <si>
    <t>NC 3156 / 2026</t>
  </si>
  <si>
    <t>SINALIZO QUE JA FOI COMUNICADO EM VARIAS OCORRENCIAS SOBRE DEMORA PARA BUSCAR OS PACIENTES EM CENTRO CIRURGICO PELO SETOR CGO. E ATE O MOMENTO HOUVE INEXECUÇÃO DA AGILIDADE SUGERIDA.</t>
  </si>
  <si>
    <t>NC 3157 / 2026</t>
  </si>
  <si>
    <t>SINALIZO AOS COLEGAS DO PLANTÃO DIURNO SOBRE FALHA DA IDENTICAÇÃO DE CURATIVOS CIRURGICOS APOS PROCEDIMENTOS. 
SEGUE ANEXO FOTO DE CURATIVO DE DRENO DE PENROSE, SEM IDENTIFICAÇÃO 14/04/2026
[fig:vfs:1753]</t>
  </si>
  <si>
    <t>erros na planilha da copa</t>
  </si>
  <si>
    <t>NC 3158 / 2026</t>
  </si>
  <si>
    <t>bom dia, com muita frequência que a planilha da copa vem faltando nome das pacientes, gera um transtorno com as pacientes e acompanhantes
seria bom rever esse fluxo que vem trazendo transtorno para setor. 
PUERPERAS DE ALTA que ficam como acompanhante do RN, NÃO VEM COMIDA, toda vez gera transtorno, os RN são internados no leito virtual da pediatria. não entra na planilha nem do cgo2 e nem da pediatria
seria bom rever esse fluxo. bem frequente
obrigada pela atenção</t>
  </si>
  <si>
    <t xml:space="preserve">AIH PENDENTE </t>
  </si>
  <si>
    <t>NC 3159 / 2026</t>
  </si>
  <si>
    <t>Venho por meio desta notificar pendência referente à AlH do paciente J.D.O.B, prontuário n° 232638, internado na data
21/01/2026. Até no momento não consegue resolver á situação do devido prontuario.</t>
  </si>
  <si>
    <t>FALTANDO OPME ORIGINAL</t>
  </si>
  <si>
    <t>NC 3160 / 2026</t>
  </si>
  <si>
    <t>Prontuario encontra-se sem OPME original, desde que recebi o setor não recebi nenhum OPME referente ao paciente M.C.S -321058 , foi acionado no dia 09/04/2026 à equipe do OPME sobre esse prontuario e não foi me entregue nenhuma resposta do mesmo..</t>
  </si>
  <si>
    <t xml:space="preserve">ASSINATURA  E PERDA DE DOCUMENTOS CIRURGICO </t>
  </si>
  <si>
    <t>NC 3161 / 2026</t>
  </si>
  <si>
    <t>Prontuario V.R.D.S.L -275785 
07/04/2026: Documentação entregue ao setor responsável para recolher assinatura médica, de tecnicos  e refazer as documentações cirúrgica, que não constava no prontuário.
15/04/2026: Até esta data a pendência não foi resolvida. O dia 15/04/2026 era a data limite para entrega dos prontuários da competência 01/2026 ao faturamento. 
Medico: 
A.D.L.V - CRM 14369
Tecnico: 
M.G.D.A -M - COREN 313.503</t>
  </si>
  <si>
    <t xml:space="preserve">FALTA DE DESCRIÇÃO CIRURGICA </t>
  </si>
  <si>
    <t>NC 3162 / 2026</t>
  </si>
  <si>
    <t>Prontuario R.L.L - 292256, devolvido pelo faturamento sem a data de entregue assinada, para a resolução da falta da descrição cirurgica do paciente citado. 
Entregue para o centro cirurgico dia 02/04/2026, no dia 15/04/2026 foi me entregue sem a resolução do problema, solicitei à entrega pois o mesmo é um prontuario referente ao mês de janeiro que a data limite de entrega é hoje dia 15/04/2026.</t>
  </si>
  <si>
    <t xml:space="preserve">AUSENTE ASSINATURA NA AIH DE AUTORIZAÇÃO </t>
  </si>
  <si>
    <t>NC 3163 / 2026</t>
  </si>
  <si>
    <t>Prontuario G.C.D.S - 325950
Prontuario devolvido do faturamento sem data de entrega, para a supervisora resposanvel por receber os mesmo, até então a mesma me informou que desceu do faturamento pois faltava assinatura na autorização do DIRCA pois veio sem, a partir dai ela me entregou o prontuario sem essas informações afirmando que já foi entregue para o Dirca resolver, até a seguinte data que é hoje 15/04/2026 não recebi respaldo do mesmo.</t>
  </si>
  <si>
    <t xml:space="preserve">AUTORIZAÇÃO DO DIRCA </t>
  </si>
  <si>
    <t>NC 3164 / 2026</t>
  </si>
  <si>
    <t>Prontuario P.L.D.C.N - 322548
AIH entregue para SPP, para envio do mesmo para o DIRCA autorizar e o mesmo devolveu afirmando que não teve internação nessa data, mais o mesmo teve internação e não teve à autorização no NIR e nem no DIRCA.</t>
  </si>
  <si>
    <t xml:space="preserve">AUTORIZAÇÃO DO 2 PROCEDIMENTO </t>
  </si>
  <si>
    <t>NC 3165 / 2026</t>
  </si>
  <si>
    <t>Prontuario J.D.D.S - 336362
AIH e descrição cirurgica do 2 procedimento, entregue para SPP dia 10/04/2026 para enviar pro DIRCA realizar a autorização do mesmo, e o DIRCA lhe devolveu novamente no dia 14/04/2026 perguntando se era 2 procedimento, por tanto como o prontuario é do mês de janeiro o dia limete de entrega é dia 15/04/2026.</t>
  </si>
  <si>
    <t xml:space="preserve">Divergência na Data da Alta </t>
  </si>
  <si>
    <t>NC 3166 / 2026</t>
  </si>
  <si>
    <t>Divergência na data de alta referente ao prontuário nº 342591, paciente J.D. Conforme registro em prontuário, a alta ocorreu em 03/03, porém no sistema consta como 09/03.</t>
  </si>
  <si>
    <t>Documentos de Enfermagem sem assinatura</t>
  </si>
  <si>
    <t>NC 3167 / 2026</t>
  </si>
  <si>
    <t>Pendência recorrente de assinatura e carimbo nas Evoluções de Enfermagem.
Portuário: 283596  K. O. D. F .
Venho por meio deste relatar uma situação que vem ocorrendo com frequência durante a organização dos prontuários:
As enfermeiras realizam as evoluções de enfermagem diretamente no sistema, porém não finalizam o registro com assinatura e carimbo quando o documento é impresso.
Com isso, a equipe responsável pela montagem do prontuário físico precisa imprimir essas evoluções para arquivamento. Após a impressão, os documentos ficam pendentes de assinatura, carimbo e nº do COREN da enfermeira responsável.
Consequências:
1. O prontuário fica irregular e sem validade legal;
2. Gera glosa no faturamento por falta de comprovação da assistência de enfermagem;
3. Risco ético legal para a profissional e para a instituição em caso de auditoria ou processo judicial.
Pedimos à coordenação e supervisão de enfermagem que orientem a equipe quanto à obrigatoriedade de assinar e carimbar todas as evoluções após a impressão, garantindo a validade do documento e o fechamento correto do prontuário.
Contamos com a colaboração de todos para regularizar essa pendência e evitar prejuízos à assistência e ao faturamento.</t>
  </si>
  <si>
    <t>NÃO CONFORMIDADE NO FLUXO DE ACIONAMENTO DO SERVIÇO DE PSICOLOGIA</t>
  </si>
  <si>
    <t>NC 3168 / 2026</t>
  </si>
  <si>
    <t>Registra-se notificação devido à ausência de acionamento do serviço de psicologia para comunicação de notícia difícil. Na ocasião, o RN encontrava-se em estado grave, apresentando complicações do quadro clínico, com registro de intercorrências no dia 14/04/2026 (terça-feira).
Foi identificado que, no momento da comunicação do agravamento clínico à familiar responsável, não houve o devido acionamento do protocolo institucional para comunicação de notícia difícil, o qual prevê acompanhamento da equipe de psicologia, deixando a familiar desassistida do ponto de vista psicológico.
Após receber a informação do médico plantonista, a genitora, Sra. BCM, apresentou intenso abalo emocional, evoluindo com quadro de desespero, culminando em sua saída da unidade hospitalar sem o devido suporte.
Posteriormente, a irmã da genitora, Sra. M, compareceu à unidade com o objetivo de compreender o ocorrido e os fatores relacionados à saída da familiar em estado emocional fragilizado. Ressalta-se que o acionamento da equipe de psicologia ocorreu apenas após a saída da genitora da unidade, sendo inicialmente prestado suporte à Sra. M.
Em momento posterior, após o retorno da Sra. BCM à unidade hospitalar, foi realizado acolhimento psicológico junto à mesma e à sua irmã, com oferta de escuta qualificada, suporte emocional e intervenções voltadas ao fortalecimento emocional e à ativação da rede de apoio.
O presente registro tem como finalidade notificar a não conformidade identificada, bem como reforçar a necessidade de adesão aos protocolos institucionais de comunicação de notícias difíceis, a fim de assegurar assistência integral, humanizada e segura aos familiares.</t>
  </si>
  <si>
    <t>NOTIFICAÇÃO DE NÃO CONFORMIDADE - IDENTIFICAÇÃO DE RECÉM-NASCIDO</t>
  </si>
  <si>
    <t>NC 3169 / 2026</t>
  </si>
  <si>
    <t>DATA DA ALTA DIVERGENTE</t>
  </si>
  <si>
    <t>NC 3170 / 2026</t>
  </si>
  <si>
    <t>No momento da fatura do prontuário de numero 172156, paciente: F. A. S, foi identificado que a alta do paciente consta divergência  no físico e no sistema MV, pois no físico esta dia 25/01/2026, e no sistema MV, esta dia 29/01/2026,
pois sabemos que após a alta do paciente deve  ser fechada o prontuário e sistema, para que seja liberado o leito e também não aja diárias superior a capacidade de instalação.</t>
  </si>
  <si>
    <t xml:space="preserve">Não conformidade no processo transfusional </t>
  </si>
  <si>
    <t>NC 3171 / 2026</t>
  </si>
  <si>
    <t>Venho notificar que não foi realizado o acompanhamento transfusional da paciente M. de S.R.S , no dia 18/03/2026 , bolsa de CH: 2180593-8 , O +, 301 ML  e também  do  dia , 19/03/2026 CH:2180709-4 O + 284 ML .
O que foi relatado na evolução da enfermagem foi :
__==Realizou uma bolsa de concentrado de hemácias no plantão noturno.==__
__==Orientada a manter AME, deambular, ingerir bastante líquido e chamar sempre que necessário.==__
__==Às 12: 45 h foi iniciado mais uma bolsa de concentrado de hemácias, com termino ás 13:45 h sem intercorrência.==__
Ressalto  também que no dia 20/03/2026, foi feito uma nova solicitação de Procedimentos e Produtos Hemoterápicos  e teve o preenchimento  da ficha do acompanhamento transfusinal , porém com dados faltando :
* não consta qual Hemocomponente transfundido (CH , CHF, PLASMA, PLAQUETA )
* volume da bolsa (ml transfundido )
* horário do recebimento do hemocomponente informado errado 
* ficha preenchida no dia 19/03 e transfusão realizada no dia 20/03
Ressalto que a ausência de registros e o preenchimento inadequado comprometem a rastreabilidade do procedimento , a segurança do paciente e o cumprimento das normas vigentes.
Solicito realizar o preenchimento da ficha do acompanhamento transfusional com todos os dados solicitados ( Numero do hemocomponente , tipo de hemocomponente , volume , tipagem do hemocomponente a ser transfundido ,sinais vitais , inicio e termino , intercorrências e condutas adotadas).Em caso de qualquer reação , registrar detalhadamente e seguir o protocolo institucional.</t>
  </si>
  <si>
    <t xml:space="preserve">PRONTUARIO ENCONTRADO MISTURADO COM O DE OUTRO PACIENTE </t>
  </si>
  <si>
    <t>NC 3172 / 2026</t>
  </si>
  <si>
    <t>Prontuario G.F.L - 298727
Informo que foi identificado que o prontuário referente ao mês de dezembro de 2025 encontrava-se misturado com documentação referente ao mês de janeiro.
Ressalto que essa situação de mistura de documentos tem ocorrido de forma recorrente, o que pode comprometer a organização, a rastreabilidade das informações e a segurança dos registros.</t>
  </si>
  <si>
    <t xml:space="preserve">PONTUARIO ENCONTRADO NA CIRURGICA </t>
  </si>
  <si>
    <t>NC 3173 / 2026</t>
  </si>
  <si>
    <t>PRONTUARIO B.F.M.G -334517
Informo que foi identificado que o prontuário que deu entrada no  inicio no mês de dezembro de 2025 encontrava-se misturado com documentação de outro paciente referente ao mês de janeiro.
Ressalto que essa situação de mistura de documentos tem ocorrido de forma recorrente, o que pode comprometer a organização, a rastreabilidade das informações e a segurança dos registros.
Informamos também que o prontuário está incompleto, faltando documentações a partir do dia 01/01/2026, pois o mesmo prontuário se encerrou em 05/01/2026.</t>
  </si>
  <si>
    <t xml:space="preserve">FALTA DE ASSINATURA E AUTORIZAÇAO DO SEGUNDO PROCEDIMENTO </t>
  </si>
  <si>
    <t>NC 3174 / 2026</t>
  </si>
  <si>
    <t>Informo que, ao realizar a conferência do prontuário, foram identificadas as seguintes pendências:
Ausência de assinatura médica na alta do paciente pelo médico G.N.V.D.O - CRM 21253;
Ausência da ficha cirúrgica referente ao primeiro procedimento;
Ausência da autorização referente à segunda cirurgia.</t>
  </si>
  <si>
    <t>falta de autorização</t>
  </si>
  <si>
    <t>NC 3175 / 2026</t>
  </si>
  <si>
    <t>Prontuários de Janeiro/2026 com risco de perda por falta de autorização DIRCA - Laqueadura fora do prazo.
Prezados, Preciso compartilhar uma situação que está acontecendo com os prontuários do mês de janeiro/2026 e que pode gerar um prejuízo considerável para o hospital. Temos alguns prontuários que estão vencendo por falta de autorização do DIRCA. O motivo é que essas pacientes realizaram o procedimento de laqueadura fora do prazo de 60 dias estabelecido por lei. Por conta disso, o DIRCA não consegue mais liberar a autorização da internação completa. Ou seja, mesmo com todo atendimento prestado, a equipe assistencial envolvida e os custos gerados, não conseguiremos faturar esses prontuários integralmente. Se nada for feito, será perda total para a instituição. 
O que podemos fazer para reduzir o impacto: Em todos esses casos, além da laqueadura, houve também o parto normal. A parte do parto normal não depende dessa autorização específica da laqueadura e pode sim ser faturada separadamente. Por isso, estou encaminhando esses prontuários ao Faturamento com a solicitação de que seja faturada ao menos a parte referente ao parto normal. Assim conseguimos recuperar metade do valor e evitamos que o prejuízo seja integral.
C.R. S = 299996
L. R. S = 336201
V. G. C = 277993</t>
  </si>
  <si>
    <t>Falta Autorização</t>
  </si>
  <si>
    <t>NC 3176 / 2026</t>
  </si>
  <si>
    <t>Prontuários de Janeiro/2026 com risco de perda por falta de autorização DIRCA - Laqueadura fora do prazo.
Prezados, Preciso compartilhar uma situação que está acontecendo com os prontuários do mês de janeiro/2026 e que pode gerar um prejuízo considerável para o hospital. 
Temos alguns prontuários que estão vencendo por falta de autorização do DIRCA. O motivo é que essas pacientes realizaram o procedimento de laqueadura fora do prazo de 60 dias estabelecido por lei. Por conta disso, o DIRCA não consegue mais liberar a autorização da internação completa. Ou seja, mesmo com todo atendimento prestado, a equipe assistencial envolvida e os custos gerados, não conseguiremos faturar esses prontuários integralmente. Se nada for feito, será perda total para a instituição.
O que podemos fazer para reduzir o impacto: Em todos esses casos, além da laqueadura, houve também o parto normal. A parte do parto normal não depende dessa autorização específica da laqueadura e pode sim ser faturada separadamente. Por isso, estou encaminhando esses prontuários ao Faturamento com a solicitação de que seja faturada ao menos a parte referente ao parto normal. Assim conseguimos recuperar metade do valor e evitamos que o prejuízo seja integral.
C.R. S = 299996
L. R. S = 336201
V. G. C = 277993</t>
  </si>
  <si>
    <t>NC 3177 / 2026</t>
  </si>
  <si>
    <t>Durante o inventario 2026 foi feito o levantamento do setor de Serviço de Nutrição e Dietética (SND), após a conclusão do inventario no setor foi identificado a ausência dos bens patrimoniais: mesa de mayo N° 200390, Mesa de escritório em mdf N° 204696 e a Adição de 3 bens patrimoniais: cadeira fixa em polipropileno N° 204337, cadeira fixa em polipropileno N° 202217 e cadeira fixa estofada N° 200117.  pedimos ao setor que após a localização dos bens procure o setor de patrimônio para que possamos atualizar os bens no nosso sistema. o setor de Patrimônio irá aguardar até o final do inventario 2026 para as devidas atualizações, após isso será repassado a Direção.</t>
  </si>
  <si>
    <t>Perda de documento</t>
  </si>
  <si>
    <t>NC 3178 / 2026</t>
  </si>
  <si>
    <t>Registro de notificação referente à perda de parte de prontuário. Foi apresentada uma pendência relacionada ao prontuário da paciente T.L.S prontuario nº236707 com atendimento 01619563, sob a alegação ? conforme informado pela equipe responsável pela gestão de prontuários ? de ausência de toda a documentação cirúrgica, incluindo gastos de sala, ficha anestésica, descrição cirúrgica, prescrição médica, anotações de enfermagem, entre outros registros pertinentes ao procedimento.
Ressalto, entretanto, que é inviável a liberação de um paciente do centro cirúrgico sem o devido preenchimento e acompanhamento do prontuário completo. Diante disso, solicito a averiguação detalhada do ocorrido, bem como a adoção das providências cabíveis para esclarecimento da inconsistência apontada.</t>
  </si>
  <si>
    <t>Não aceite de paciente regulado na UCI</t>
  </si>
  <si>
    <t>NC 3179 / 2026</t>
  </si>
  <si>
    <t>No dia 10/04/2026, após receber plantão e organizar setor, entro em contato com enfermeira responsável pela UCI neonatal para encaminhar RN regulado para tratamento de Neurossífilis, uma vez que a equipe do dia da UCI, não pode receber a criança, devido a indisponibilidade de leito e demandas. Tento contato via canais de comunicação, sem sucesso. Me direciono até a unidade, e ao informar caso clínico e necessidade de leito já regulado, a mesma informou que estava em intercorrência e após entraria em contato para tratativa. Expus a que a genitora estava muito ansiosa e angustiada devido a situação.   Às 21:25h enfermeira da UCI entra em contato e informa que médica plantonista não iria receber a paciente, pois a mesma deveria ter sido encaminhada no plantão do dia e que só havia um leito disponível, que se recebesse iriam ficar sem leitos e não receberia. Sendo necessário manter o RN na unidade gineco-obstétrica sem tratamento adequado e ocupando um leito, uma vez que a genitora já estava de alta. (Enfermeira plantonista Iara Silva).</t>
  </si>
  <si>
    <t xml:space="preserve">falta de autorização </t>
  </si>
  <si>
    <t>NC 3180 / 2026</t>
  </si>
  <si>
    <t>Prontuários de Janeiro/2026 com risco de perda por falta de autorização DIRCA - Laqueadura fora do prazo.
Prezados, Preciso compartilhar uma situação que está acontecendo com os prontuários do mês de janeiro/2026 e que pode gerar um prejuízo considerável para o hospital.
Temos alguns prontuários que estão vencendo por falta de autorização do DIRCA. O motivo é que essas pacientes realizaram o procedimento de laqueadura fora do prazo de 60 dias estabelecido por lei. Por conta disso, o DIRCA não consegue mais liberar a autorização da internação completa. Ou seja, mesmo com todo atendimento prestado, a equipe assistencial envolvida e os custos gerados, não conseguiremos faturar esses prontuários integralmente. Se nada for feito, será perda total para a instituição.
O que podemos fazer para reduzir o impacto: Em todos esses casos, além da laqueadura, houve também o parto normal. A parte do parto normal não depende dessa autorização específica da laqueadura e pode sim ser faturada separadamente. Por isso, estou encaminhando esses prontuários ao Faturamento com a solicitação de que seja faturada ao menos a parte referente ao parto normal. Assim conseguimos recuperar metade do valor e evitamos que o prejuízo seja integral.
Prontuários - R. P. S = 338777</t>
  </si>
  <si>
    <t>FALTA LAUDO DE AUTORIZAÇAO</t>
  </si>
  <si>
    <t>NC 3181 / 2026</t>
  </si>
  <si>
    <t>Prontuários vencendo será entregue ao faturamento faltando autorização do DIRCA este documento é de extrema importância estar no prontuário para que o mesmo seja faturado, a falta deste documento pode levar a perca total do prontuário, por se tratar de um documento de extrema importância .
Conforme orientação da supervisora entrego o prontuário ao faturamento para que medidas cabíveis sejam tomadas e  o mesmo não seja perdido e venha ser faturado .
Prontuários com pendencias :
M. A. C. N  = 334338</t>
  </si>
  <si>
    <t>pendência de autorização</t>
  </si>
  <si>
    <t>NC 3182 / 2026</t>
  </si>
  <si>
    <t>Prontuários vencendo será entregue ao faturamento faltando autorização do DIRCA este documento é de extrema importância estar no prontuário para que o mesmo seja faturado, a falta deste documento pode levar a perca total do prontuário, por se tratar de um documento de extrema importância .
Conforme orientação da supervisora entrego o prontuário ao faturamento para que medidas cabíveis sejam tomadas e o mesmo não seja perdido e venha ser faturado , mesmo que de forma parcial.
Prontuários com pendencias :
E. V. R. S = 311707</t>
  </si>
  <si>
    <t>planilha da copa não consta as pacientes</t>
  </si>
  <si>
    <t>NC 3183 / 2026</t>
  </si>
  <si>
    <t>bom dia , recebo plantão com erros na planilha
14 leitos não receberam refeição por não estarem na planilha, gera conflito com setor,  paciente reclama
leito 02 ana gessica
letio 03 eliana
leito 4 josiane
leito 6 flaviane
leito 7 alexia
leito 11 helena
leito 14 lidiana
leito 16 italicia
leito 17 lara
leito 18 gabrielle
leito 19 jaqueline
leito 21 alinny
leito 22 rosangela
leito 24 lauane</t>
  </si>
  <si>
    <t>NC 3184 / 2026</t>
  </si>
  <si>
    <t>RECEBI PACIENTE DIA 26/03 COM MAL HIGIENE E COM EVACUAÇAO PRESENTE EM FRALDA, O MESMO ESTAVA TODO SUJO
[fig:vfs:1755]</t>
  </si>
  <si>
    <t>NC 3185 / 2026</t>
  </si>
  <si>
    <t>Eva Barbosa Cardoso</t>
  </si>
  <si>
    <t>11/04/2026</t>
  </si>
  <si>
    <t>No dia 06 de abril de 2026, ao recebermos o plantão proveniente do turno diurno, foi constatada uma situação de significativa desorganização no arsenal de materiais cirúrgicos do setor.
Durante a conferência inicial, identificamos diversas não conformidades, dentre elas: presença de materiais estéreis acondicionados de forma inadequada, inclusive dispostos no chão; etiquetas de identificação rasgadas, comprometendo a rastreabilidade e segurança dos materiais; além de dano estrutural no armário de armazenamento, com vidro quebrado, representando risco potencial à integridade da equipe e dos insumos.
[fig:vfs:1723]</t>
  </si>
  <si>
    <t>Pias entupida com restos de alimentos e restos de comida deixada na copa</t>
  </si>
  <si>
    <t>NC 3186 / 2026</t>
  </si>
  <si>
    <t>AS 119:00HS RECEBO PLANTAO, E PERCEBO PIA DA COPA EMTUPIDA COM RESTOS DE COMIDA, COPA DA ENFERMAGEN COM RESTOS  COMIDA SOBRE A MESA E VASILHAS SUJAS DENTRO DOS ARMARIOS. 
NOTIFICO PARA MELHORIA DO PROCESSO</t>
  </si>
  <si>
    <t>temora em vim busca as pacientes setor cgo</t>
  </si>
  <si>
    <t>NC 3187 / 2026</t>
  </si>
  <si>
    <t>Sinalizo que permanece falha na comunicação entre as equipe cgo e cc, em vim buscar as paciente em tempo adquadro, sendo recorrente essa situação.</t>
  </si>
  <si>
    <t>CLINICA CIRURGICA/ SETOR CENTRO CIRURGICO</t>
  </si>
  <si>
    <t>NC 3188 / 2026</t>
  </si>
  <si>
    <t>NOTIFICO CENTRO CIRRUGICO
RECEBI PACIENTE ÁS 12:30 APRESENTANDO SUJIDADE DE SANGUE PELA BATA E REGIAO DA BOCA.
[fig:vfs:1788]
[fig:vfs:1787]</t>
  </si>
  <si>
    <t>NC 3189 / 2026</t>
  </si>
  <si>
    <t>NOTIFICAÇAO AO SETOR UTI
QUASE TODA VEZ QUE O ENFERMEIRO DA UTI QUER ENCAMINHAR O PACIENTE, DEIXA A DESEJAR NAS INFORMAÇOES IMPORTANTES DO PACIENTE, COMO COMORBIDADES, ALERGIAS, E SINAIS VITAIS ATUALIZADOS
ISSO PODE COMPROMETER A SEGURANÇA DO PACIENTE E DIFICULTA AS INFORMAÇOES SEGURAS PARA PODER DAR ASSISTENCIA ADEQUADA AO PACIENTE ASSIM QUE ELA CHEGA AO SETOR DESTINADO.</t>
  </si>
  <si>
    <t>Conduta de profissional</t>
  </si>
  <si>
    <t>NC 3190 / 2026</t>
  </si>
  <si>
    <t>Diretoria Geral / Núcleo de Gestão de Atendimento e Humanização</t>
  </si>
  <si>
    <t>Willian Oliveira Del Aguilal</t>
  </si>
  <si>
    <t>Gostaria de registrar uma ocorrência referente ao atendimento no almoxarifado.
Ao me dirigir ao setor para solicitar apoio, percebi falta de organização no atendimento, com os colaboradores transferindo a demanda entre si sem que houvesse uma resolução objetiva. Além disso, identifiquei comportamentos inadequados ao ambiente profissional, como utilização de áudio em volume alto e postura pouco receptiva durante o atendimento.
Em determinado momento, senti falta de cordialidade e disposição por parte de alguns colaboradores, o que dificultou a condução da solicitação. Ressalto que o colaborador Derli foi o único que se dispôs a ajudar de forma adequada, demonstrando educação e profissionalismo.
Registro esta situação com o intuito de contribuir para a melhoria do ambiente de trabalho e da qualidade do atendimento interno.</t>
  </si>
  <si>
    <t>Comunicado de Pendência de Entrega de Material</t>
  </si>
  <si>
    <t>NC 3191 / 2026</t>
  </si>
  <si>
    <t>Elaine Teles Dantas Santos</t>
  </si>
  <si>
    <t>AS TECNICAS DA SALA VERMELHA DO PS, FOI AS 16:20HS NO CME PARA BUSCAR MATERIAIS, E NÃO FOI ENTREGUE POIS A MESMA RELATA QUE JA FOI ENTREGUE. POREM AS TECNICAS AINDA NÃO TINHA IDO BUSCAR, SOMENTE A TECNICA DO PS, E PRA SALA VERMELHA SÓ FOI LIBERADO KIT SUTURA E CAMPOS.</t>
  </si>
  <si>
    <t>MÃE DE ALTA E RN SEM REINTERNAÇÃO</t>
  </si>
  <si>
    <t>NC 3192 / 2026</t>
  </si>
  <si>
    <t>18/04/2026</t>
  </si>
  <si>
    <t>LEITO BG II 10A. RN DE YULI SIBELLE DOS SANTOS LIMA ( PRONTUARIO 351290), NO DIA 17/04/2026 A MÃE YULI SIBELLE DOS SANTOS LIMA 10 CGO2 ( 261688) RECEBEU ALTA DA MATERNIDADE  E O RN PERMANECEU INTERNADO, SENDO QUE O FLUXO SERIA A MÃE E RN RECEBEREM ALTA ( O RN RECEBE ALTA POR OUTROS MOTIVOS E É ENCAMINHADO PARA O SETOR DE INTERNAÇÃO),ENTAO ELE DEVE SER REINTERNADO PELO DIAGNOSTICO DA MOLESTIA ATUAL E NÃO MAIS PELO BERSÁRIO, HOJE 18/04 A ENFERMEIRA JADE DO NIR CONVERSOU COM A ENFERMEIRA ANA DO CGO2 E FEZ A COBRANÇA DESTE RN, ATÉ O MOMENTO NÃO FOI RECEBIDA NENHUMA AIH DESTA INTERNAÇÃO.</t>
  </si>
  <si>
    <t>RECEPÇÃO FAZENDO CADASTRO INCOMPLETO DE PACIENTE</t>
  </si>
  <si>
    <t>NC 3193 / 2026</t>
  </si>
  <si>
    <t>PACIENTES: ' ANA PAULA LIMA PEREIRA(prontuario 352049) e ENRIQUE GABRIEL SILVA SOUSA ( prontuario 241236)'-(FALTA NOME DO PAI E Nº DE RG)
PACIENTE: ELZA VARAO DA SILVA(prontuario 158872)-( CADASTRADA COMO SEXO MASCULINO , O CERTO SERIA "FEMININO")
PACIENTE: JOELMA SOUZA SILVA (prontuario 352104) - ( FALTA NUMERO DO RG)</t>
  </si>
  <si>
    <t>RECEPÇÃO ESTA CADASTRANDO PACINETES COM FALTA DE DADOS</t>
  </si>
  <si>
    <t>NC 3194 / 2026</t>
  </si>
  <si>
    <t>PACIENTE: ANA CRISTINA SOUSA GUTERRES (ATENDIMENTO 204056) e WESLLEY SOARES LIMA ( ATENDIMENTO 193571) ESTÃO SEM O NOME DO PAI E TAMBEM FALTANDO O NUMERO DO RG/DOCUMENTO.</t>
  </si>
  <si>
    <t>ARMAZENAMNETO DE DOSE DO MEDICAMENTO DE ALTEPLASE  NA UNIDDAE DE INTERNAÇÃO.</t>
  </si>
  <si>
    <t>NC 3195 / 2026</t>
  </si>
  <si>
    <t>No dia 08/04/2026, foi prescrito alteplase para o paciente L.A.L.C., na Clínica Pediátrica, leito LCP 03. Conforme a prescrição médica, o tratamento seria realizado por 3 dias, com dose de 3 mL por administração.
Considerando que o medicamento possui estabilidade de 24 horas sob refrigeração, solicitamos o retorno do frasco para adequada conservação e garantia da dose subsequente (D2 ). No momento da solicitação, fomos informados de que o médico havia aspirado a dose e levado o medicamento para a UCI Neonatal, onde seria armazenado no refrigerador do setor.
Ao questionarmos a supervisão do setor, verificamos que  a dose fracionada estava identificada com validade de 30 dias. Diante disso, orientamos a correção da data, tendo em vista a estabilidade de apenas 24 horas após reconstituição.
No dia seguinte, foi solicitada novamente a dose, o que gerou dúvida, uma vez que havia sido informado anteriormente que já havia a dose retirada no dia 08/04/2026, porém a dose encontrava-se congelada. Diante disso, realizamos nova dispensação do frasco, que posteriormente retornou vazio.
Foi então esclarecido que o procedimento realizado era intrapleural e que, em função da quantidade administrada, a equipe adotou a validade de 30 dias conforme orientação médica, mantendo não apenas uma dose e sim 10 seringas com volume de 3 ml  doses no setor para eventuais usos futuros.
Solicitamos novamente a devolução das doses para farmácia central.
Ressaltamos, no entanto, que não há protocolo institucional que permita a conservação de medicamentos não utilizados nas dependências das unidades de internação, sendo o armazenamento permitido exclusivamente na farmácia. Reforçamos, ainda, a importância de uma comunicação efetiva entre os setores de farmácia e enfermagem antes de qualquer decisão relacionada ao armazenamento de medicamentos ou à sua transferência entre setores para essa finalidade.</t>
  </si>
  <si>
    <t>FALHA NO PREPARO PRÉ-OPERATÓRIO - HIGIENE E ADORNOS</t>
  </si>
  <si>
    <t>NC 3196 / 2026</t>
  </si>
  <si>
    <t>NO DIA 18/04/2026, PACIENTE L.A.S (223858) PROVENIENTE DA UTI, DEU ENTRADA NO CENTRO CIRÚRGICO PARA REALIZAÇÃO DE TRAQUEOSTOMIA. 
NA ADMISSÃO, FOI OBSERVADO QUE A PACIENTE APRESENTAVA ELIMINAÇÃO FECAL EM FRALDA E USO DE ADORNO NO CABELO. DIANTE DA NÃO CONFORMIDADE NO PREPARO PRÉ-OPERATÓRIO, FORAM REALIZADAS ADEQUAÇÕES NECESSÁRIAS PELA EQUIPE ANTES DO INICIO DO PROCEDIMENTO.</t>
  </si>
  <si>
    <t>FALHA NA MANUTENÇÃO DE ACESSO VENOSO PERIFÉRICO</t>
  </si>
  <si>
    <t>NC 3197 / 2026</t>
  </si>
  <si>
    <t>NO DIA 16/04/2026 PACIENTE C.S.S (163788) DEU ENTRADA NO CENTRO CIRÚRGICO PROVENIENTE DA CLINICA MÉDICA PARA PROCEDIMENTO DE URGÊNCIA, APRSENTANDO ACESSO VENOSO PERIFÉRICO EM MEMBRO SUPERIOR. DURANTE ADMISSÃO, OBSERVOU-SE PRESENÇA DE SANGUE NO SITIO DE INSERÇÃO, COM CURATIVO APRESENTANDO SUJIDADE SANGUINOLENTA. DIANTE DA NÃO CONFORMIDADE, FOI REALIZADA TROCA DE CURATIVO E ADEQUAÇÃO DO DISPOSITIVO PELA EQUIPE.</t>
  </si>
  <si>
    <t>OPME COM EMBALAGEM VIOLADA</t>
  </si>
  <si>
    <t>NC 3198 / 2026</t>
  </si>
  <si>
    <t>MATERIAL OPME RECEBIDO EM SALA CIRÚRGICA APRESENTOU EMBALAGEM VIOLADA (RASGADA) NO MOMENTO DA CONFERÊNCIA EM SALA. DEVIDO A NÃO CONFORMIDADE, O MATERIAL FOI CONSIDERADO IMPRÓPRIO PARA USO, SENDO NECESSÁRIA A SUBSTITUIÇÃO IMEDIATA POR OUTRO ITEM.</t>
  </si>
  <si>
    <t>DIVERGÊNCIA DE INSTRUMENTAIS EM CAIXA IDENTIFICADA COMO COMPLEMENTO DE COLECISTECTOMIA</t>
  </si>
  <si>
    <t>NC 3199 / 2026</t>
  </si>
  <si>
    <t>DURANTE PROCEDIMENTO CIRÚRGICO DE EXPLORAÇÃO DE VIAS BILIARES, APÓS ANESTESIA DO PACIENTE E COM MATERIAL PREVIAMENTE DISPONIBILIADO EM CAMPO ESTÉRIL, O MESMO HAVIA SIDO CONFERIDO CONFORME IDENTIFICAÇÃO EXTERNA DAS CAIXAS, FOI IDENTIFICADA NÃO CONFORMIDADE.
NO MOMENTO DE UTILIZAÇÃO, AO REALIZAR A ABERTURA DA CAIXA IDENTIFICADA COMO "COMPLEMENTO DE COLECISTECTOMIA", FOI CONSTATADO QUE OS INSTRUMENTAIS CONTIDOS NA CAIXA NÃO CORRESPONDIAM AO PROCEDIMENTO, SENDO COMPATIVEIS COM INSTRUMENTAL DE CURETAGEM, CARACTERIZANDO DIVERGÊNCIA ENTRE IDENTIFICAÇÃO EXTERNA E CONTEÚDO INTERNO.
DIANTE DA NÃO CONFORMIDADE, A ENFERMEIRA DO CME FOI IMEDIATAMENTE COMUNICADA, A QUAL ORIENTOU A VERIFICAÇÃO DAS DEMAIS CAIXAS DE CURETAGEM DISPONIVEIS NO ARSENAL, CONSIDERANDO A POSSIBILIDADE DE TROCA DE TAMPAS IDENTIFICADORAS. 
APÓS VERIFICAÇÃO DAS DEMAIS CAIXAS, FOI LOCALIZADA A CAIXA CORRETA DE FORMA NÃO PADRONIZADA, SEM GARANTIA PRÉVIA DE RASTREABILIDADE (COMPARADO PESO DAS CAIXAS), QUE SE ENCONTRAVA COM IDENTIFICAÇÃO EXTERNA DIVERGENTE, SENDO ENTÃO DISPONIBILIZADA PARA CONTINUIDADE DO PROCEDIMENTO. 
RESSALTA-SE QUE O PACIENTE JÁ SE ENCONTRAVA ANESTESIADO NO MOMENTO DA IDENTIFICAÇÃO DA OCORRÊNCIA, GERANDO ATRASO NO ANDAMENTO CIRÚRGICO, RISCO À SEGURANÇA DO PACIENTE E NECESSIDADE DE INTERVENÇÃO PARA LOCALIZAÇÃO DO MATERIAL ADEQUADO.</t>
  </si>
  <si>
    <t>DIVERGENCIA NO DATA DE VENCIMENTO DE CAIXA DE OPME</t>
  </si>
  <si>
    <t>NC 3200 / 2026</t>
  </si>
  <si>
    <t>NOTIFICO A CME DEVIDO À DIVERGÊNCIA NA DATA. O MATERIAL FOI ESTERILIZADO NO DIA 14/04, GERANDO DÚVIDA QUANTO AO VENCIMENTO: ESTE DEVE OCORRER EM 20/04 OU 21/04?
SOLICITO, POR GENTILEZA, A DEFINIÇÃO E PADRONIZAÇÃO DA DATA CORRETA DE VALIDADE DOS MATERIAIS, ESCLARECENDO SE A CONTAGEM DEVE INICIAR NO MESMO DIA DO PROCESSO DE ESTERILIZAÇÃO OU A PARTIR DO DIA SUBSEQUENTE.</t>
  </si>
  <si>
    <t>NC 3201 / 2026</t>
  </si>
  <si>
    <t>Verificou-se a não conformidade da  devolução de fios cirúrgicos em seundefinedundefined]
tor inadequado (Arsenal de Material Estéril), quando o procedimento correto é a Farmácia.[fig:vfs:1790]</t>
  </si>
  <si>
    <t>falha na comunicação - setor não respeita o fluxo do horário que foi estabelecido para fazer encaminhamento do paciente pós parto</t>
  </si>
  <si>
    <t>NC 3202 / 2026</t>
  </si>
  <si>
    <t>foi estabelecido com os supervisores dos setores que o CPN e CC, deverão respeitar um fluxo para encaminhar paciente ao cgo2
avisando faltando 3o minutos para término da RPA, para que setor se organize e não tenha atraso ao buscar. após término dos 30 minutos, setor deverá entrar em contato novamente e temos até 15 minutos para buscar.
e os setores não estão respeitando esses horários. 
a supervisão pediu que notificasse caso não estejam respeitando</t>
  </si>
  <si>
    <t>falha na comunicação - setor não vem respeitando o fluxo estabelecido para encaminhar paciente</t>
  </si>
  <si>
    <t>NC 3203 / 2026</t>
  </si>
  <si>
    <t>NC 3204 / 2026</t>
  </si>
  <si>
    <t xml:space="preserve">evoluções não assinadas  </t>
  </si>
  <si>
    <t>NC 3205 / 2026</t>
  </si>
  <si>
    <t>22/04/2026</t>
  </si>
  <si>
    <t>PENDENCIA DE ASSINATURAS MEDICAS REFERENTE AO PRONTUARIO A. C. L. DOS S (311584) . HOUVE TENTATIVAS DE COLHE AS ASSINATURAS POREM SEM O ACESSO A ESCALA MEDICA ESTA DIFICULTANDO A LOCALIZAÇÃO , PENDENCIAS DOS DIAS 13/03/26 DR M. E. DE S. M - 21/03/2026 DR M. C. V. R .</t>
  </si>
  <si>
    <t>prontuário sem autorização DIRCA</t>
  </si>
  <si>
    <t>NC 3206 / 2026</t>
  </si>
  <si>
    <t>Prontuário : G. S  Nº [207355] 
Informamos que o prontuário em questão encontra-se com pendência que impede sua finalização e autorização junto à DIRCA. 
A paciente foi admitida para parto normal, o qual transcorreu sem intercorrências. No mesmo ato, foi realizado o procedimento de laqueadura tubária conforme indicação e planejamento prévio. 
Ocorre que, ao revisar a documentação, foi constatado que o Termo de Consentimento Livre e Esclarecido para Laqueadura Tubária não possui a assinatura da paciente. Por conta dessa ausência, o documento torna-se legalmente inválido. Diante disso, o autorizador do DIRCA informou que não pode autorizar a parte do prontuário referente ao procedimento cirúrgico, uma vez que não há comprovação formal de que a paciente consentiu com a laqueadura. Com isso, o prontuário perde parcialmente a validade, especificamente em toda a parte relacionada à cirurgia, pela falta da autorização decorrente da ausência da assinatura no termo. Para tentar solucionar a pendência, foi solicitado à equipe médica responsável um relatório detalhado descrevendo a situação e confirmando que o procedimento foi de fato realizado, mesmo sem a assinatura da paciente no termo. No entanto, a equipe se recusou a emitir o referido relatório. Diante do exposto, o prontuário permanece sem autorização para faturamento do procedimento cirúrgico.
O mesmo será encaminhado ao faturamento para que seja faturada a parte do parto normal e, assim , não haja perda total do prontuário no faturamento.</t>
  </si>
  <si>
    <t>Prontuário sem autorização DIRCA</t>
  </si>
  <si>
    <t>NC 3207 / 2026</t>
  </si>
  <si>
    <t>Prontuário : G. S Nº [207355] Janeiro de  2026
Informamos que o prontuário em questão encontra-se com pendência que impede sua finalização e autorização junto à DIRCA.
A paciente foi admitida para parto normal, o qual transcorreu sem intercorrências. No mesmo ato, foi realizado o procedimento de laqueadura tubária conforme indicação e planejamento prévio.
Ocorre que, ao revisar a documentação, foi constatado que o Termo de Consentimento Livre e Esclarecido para Laqueadura Tubária não possui a assinatura da paciente. Por conta dessa ausência, o documento torna-se legalmente inválido. Diante disso, o autorizador do DIRCA informou que não pode autorizar a parte do prontuário referente ao procedimento cirúrgico, uma vez que não há comprovação formal de que a paciente consentiu com a laqueadura. Com isso, o prontuário perde parcialmente a validade, especificamente em toda a parte relacionada à cirurgia, pela falta da autorização decorrente da ausência da assinatura no termo. Para tentar solucionar a pendência, foi solicitado à equipe médica responsável um relatório detalhado descrevendo a situação e confirmando que o procedimento foi de fato realizado, mesmo sem a assinatura da paciente no termo. No entanto, a equipe se recusou a emitir o referido relatório. Diante do exposto, o prontuário permanece sem autorização para faturamento do procedimento cirúrgico.
O mesmo será encaminhado ao faturamento para que seja faturada a parte do parto normal e, assim , não haja perda total do prontuário no faturamento.</t>
  </si>
  <si>
    <t xml:space="preserve">RECEPÇAO ESTA CADASTRANDO PACIENTE COM FALTA DE DADOS </t>
  </si>
  <si>
    <t>NC 3208 / 2026</t>
  </si>
  <si>
    <t>PACIENTE: NILZA DE SOUSA PINTO ( ATENDIMENTO 352199) FALTA NATURALIDADE , CPF , NOME DO PAI E RG.
PACIENTE: SEBASTIAO MARTINS DA SILVA ( 352216) FALTA NOME DO PAI.
PACIENTE: ENDRICK CESAR PAIXAO BARROS( 326178) FALTA NOME DO PAI, CPF E NATURALIDADE.</t>
  </si>
  <si>
    <t>AUSÊNCIA DE TERMO DE CONSENTIMENTO (VASECTOMIA)</t>
  </si>
  <si>
    <t>NC 3209 / 2026</t>
  </si>
  <si>
    <t>Durante a conferência dos prontuários, foi identificada a ausência do Termo de Consentimento para realização de vasectomia devidamente assinado pelo paciente, documento obrigatório conforme preconiza a Lei nº 9.263/1996, que regulamenta os procedimentos de esterilização.
Termo é requisito legal indispensável para a realização do procedimento.
Prontuários identificados:
nº 336624; 328593; 326351.</t>
  </si>
  <si>
    <t>RECEPCAO ESTA CADRASTRANDO PACIENTE FALTANDO DADOS</t>
  </si>
  <si>
    <t>NC 3210 / 2026</t>
  </si>
  <si>
    <t>PACIENTE: FELICIANO PEREIRA DE ALMEIDA ( ATENDIMENTO 233585) FALTA RG.
PACIENTE: MARCOS ANTONIO SOUZA PEREIRA(190124) FALTA NOME DO PAI.</t>
  </si>
  <si>
    <t xml:space="preserve">EVOLUÇÃO MEDICA </t>
  </si>
  <si>
    <t>NC 3211 / 2026</t>
  </si>
  <si>
    <t>Prontuário da paciente MCSE (186731) está sem a evolução que destaca o óbito da paciente, tendo em vista que todas as evoluções medicas devem está devidamente impressa no prontuário.</t>
  </si>
  <si>
    <t>PENDENCIAS EM ASSINATURAS</t>
  </si>
  <si>
    <t>NC 3212 / 2026</t>
  </si>
  <si>
    <t>Pendência recorrente de assinatura e carimbo nas Evoluções de técnicos de enfermagem.
Portuário: 344673.
Venho por meio deste relatar uma situação que vem ocorrendo com frequência durante a organização dos prontuários:
As técnicas de enfermagem realizam as evoluções de enfermagem diretamente no sistema, porém não finalizam o registro com assinatura e carimbo quando o documento é impresso.
Com isso, a equipe responsável pela montagem do prontuário físico precisa imprimir essas evoluções para arquivamento. Após a impressão, os documentos ficam pendentes de assinatura, carimbo e nº do COREN da enfermeira responsável.
Consequências:
1. O prontuário fica irregular e sem validade legal;
2. Gera glosa no faturamento por falta de comprovação da assistência de enfermagem;
3. Risco ético legal para a profissional e para a instituição em caso de auditoria ou processo judicial.
Pedimos à coordenação e supervisão de enfermagem que orientem a equipe quanto à obrigatoriedade de assinar e carimbar todas as evoluções após a impressão, garantindo a validade do documento e o fechamento correto do prontuário.
Contamos com a colaboração de todos para regularizar essa pendência e evitar prejuízos à assistência e ao faturamento.
RESPONSAVEIS PELAS PENDÊNCIAS:
E.C.L.A  Coren: Pá N:001729675
S.J.B.D.S Coren: Pá N:1942236
W.N.D.P.P Coren: Pá N:001974576
M.O.D.S  Coren: Pá N:001256072
W.L.D.S  Coren: Pá N: 001462192
G.K.R.S.L  Coren: Pá N:1699160PA
J.C.S.D.C  Coren: Pá N:466177</t>
  </si>
  <si>
    <t>NC 3213 / 2026</t>
  </si>
  <si>
    <t>Sinalizo que na sala de assistência ao RN, ao iniciar o terminal, identificou-se sonda de aspiração usada acoplada ao extensor de silicone. 
[fig:vfs:1802]</t>
  </si>
  <si>
    <t>NC 3214 / 2026</t>
  </si>
  <si>
    <t>Sinalizo que na sala de assistência ao RN, ao iniciar o terminal, identificou-se sonda de aspiração usada acoplada ao extensor de silicone e o frasco de aspiração de parede contendo secreção. fotos em anexo.
[fig:vfs:1806]</t>
  </si>
  <si>
    <t>pacientes que não estão no mapa da copa</t>
  </si>
  <si>
    <t>NC 3215 / 2026</t>
  </si>
  <si>
    <t>com muita frequência o mapa da copa não condiz com a realidade do setor, gera transtorno, os pacientes reclamam
principalmente puérperas de alta com RN internados. devem melhorar essa comunicação. as puerperas estão ficando sem refeição
leito 01
leito 2
leito 9
leito 10
leito 17
leito 21
leito 22
 são pacientes já estão internadas no setor</t>
  </si>
  <si>
    <t xml:space="preserve"> divergência entre o material físico e o checklist institucional.</t>
  </si>
  <si>
    <t>NC 3216 / 2026</t>
  </si>
  <si>
    <t>Durante a conferência inicial do instrumental cirúrgico, realizada antes do início do procedimento, foi identificada divergência entre o material físico e o checklist institucional.
Foram encontradas 03 (três) tesouras de Mayo reta que não constavam no checklist de instrumental cirúrgico previamente estabelecido.</t>
  </si>
  <si>
    <t>NC 3217 / 2026</t>
  </si>
  <si>
    <t>Prontuário nº: 351601 (RN L. V. R. DA C.), encontra-se sem Evolução Médica referente ao dia 19/04/26.</t>
  </si>
  <si>
    <t>Pendencias em assinaturas</t>
  </si>
  <si>
    <t>NC 3218 / 2026</t>
  </si>
  <si>
    <t>Pendência recorrente de assinatura e carimbo nas Evoluções de técnicos de enfermagem.
Portuário: 346743
Venho por meio deste relatar uma situação que vem ocorrendo com frequência durante a organização dos prontuários:
As técnicas de enfermagem realizam as anotações diretamente no sistema, porém não finalizam o registro com assinatura e carimbo quando o documento é impresso.
Com isso, a equipe responsável pela montagem do prontuário físico precisa imprimir essas evoluções para arquivamento. Após a impressão, os documentos ficam pendentes de assinatura, carimbo e nº do COREN da enfermeira responsável.
Consequências:
1. O prontuário fica irregular e sem validade legal;
2. Gera glosa no faturamento por falta de comprovação da assistência de enfermagem;
3. Risco ético legal para a profissional e para a instituição em caso de auditoria ou processo judicial.
Pedimos à coordenação e supervisão de enfermagem que orientem a equipe quanto à obrigatoriedade de assinar e carimbar todas as evoluções após a impressão, garantindo a validade do documento e o fechamento correto do prontuário.
Contamos com a colaboração de todos para regularizar essa pendência e evitar prejuízos à assistência e ao faturamento.
RESPONSAVEIS PELAS PENDÊNCIAS:
E.S.C Coren: Pá N:669776
J.P. Coren: Pá N:1963570
S.J.B.D.S Coren: Pá N:1942236</t>
  </si>
  <si>
    <t>falha no indicador 01 identificação do paciente</t>
  </si>
  <si>
    <t>NC 3219 / 2026</t>
  </si>
  <si>
    <t>recebi hoje paciente no pós imediato parto cesáreo sem a pulseira de identificação - risco de queda
segundo protocolo é para recebermos as pacientes do cc ou cpn, com as pulseiras de queda, com frequência estamos recebendo sem
hoje recebi 2 pacientes
paciente T. F. S - 350407 - ENCAMINHADA DO CPN SEM PULSEIRA
paciente V. S F - 210935 - encaminhada do cc sem pulseira</t>
  </si>
  <si>
    <t>falha no indicador -1 identificação do paciente</t>
  </si>
  <si>
    <t>NC 3220 / 2026</t>
  </si>
  <si>
    <t>falha no protocolo do fluxo estabelecido pelas supervisões horário de passar paciente do cc para cgo2</t>
  </si>
  <si>
    <t>NC 3221 / 2026</t>
  </si>
  <si>
    <t>foi estabelecido um fluxo entre os setores CC e CPN 
Que fosse avisado faltando 30 minutos para térmico da RPA em caso de cesáreo e no CPN tbm após o tempo de observação 
para que equipe se organizasse
e após 30 minutos  retornasse para que a equipe receba paciente 
mas não estão seguindo o fluxo, já ligam e falam que temos qu ir buscar logo...as vezes demoramos porque as técnicas estão ocupadas com seus afazeres (medicação ou banho do rn)
supervisão pediu para notificar caso os setores não estejam cumprindo o fluxo</t>
  </si>
  <si>
    <t>NC 3222 / 2026</t>
  </si>
  <si>
    <t>Insalubridade</t>
  </si>
  <si>
    <t>NC 3223 / 2026</t>
  </si>
  <si>
    <t>Eu,Bruno Souza, exerço a função de Auxiliar Administrativo no setor de UTI desta instituição.Minha jornada de trabalho é das 07:00 às 17:00, de segunda a sexta-feira, permanecendo integralmente dentro do setor fechado da UTI.
 Meu posto de trabalho fica no interior da unidade, em ambiente onde permaneço em contato permanente com o espaço ocupado por todos os pacientes internados, incluindo pacientes em isolamento, entubados e com doenças infectocontagiosas. Além da exposição biológica inerente ao ambiente de UTI, também fico exposto à radiação ionizante, uma vez que exames de raio-x são realizados à beira-leito dentro do setor, durante meu horário de expediente. Apesar de desempenhar função administrativa, minha atividade laboral exige permanência contínua em área classificada como insalubre de grau médio, conforme previsto no Anexo 14 da Norma Regulamentadora NRº 15 do Ministério do Trabalho e Emprego, que assegura o direito ao adicional de insalubridade para trabalhadores em contato permanente com pacientes em Unidade de Terapia Intensiva. Atualmente, não recebo o adicional de insalubridade correspondente.
Diante do exposto, solicito a regularização do pagamento do adicional de insalubridade em grau médio - 20% sobre o salário mínimo - conforme determina a legislação trabalhista vigente, com o devido pagamento retroativo.</t>
  </si>
  <si>
    <t>recebi paciente sem pulseira</t>
  </si>
  <si>
    <t>NC 3224 / 2026</t>
  </si>
  <si>
    <t>recebi paciente do CC sem pulseira de risco de queda
paciente K.N.P.A - 260703</t>
  </si>
  <si>
    <t>NOTIFICAÇÃO - DIFICULDADE NA COMUNICAÇÃO/REGULAÇÃO DE LEITOS PELO NIR</t>
  </si>
  <si>
    <t>NC 3225 / 2026</t>
  </si>
  <si>
    <t>NOTIFICAÇÃO - DIFICULDADE NA COMUNICAÇÃO/REGULAÇÃO DE LEITOS PELO NIR
Venho, por meio desta, registrar dificuldade recorrente relacionada ao fluxo de regulação de leitos pelo NIR, no que se refere à comunicação dos pacientes regulados para a linha materno infantil /CGO.
Foi observado que alguns pacientes são regulados inicialmente em grupo do Centro Cirúrgico, porém essa informação nem sempre é repassada em tempo oportuno no grupo oficial do NIR da linha materno-infantil. Tal situação tem gerado prejuízo na organização do setor, uma vez que a equipe do CGO só toma conhecimento da regulação quando o Centro Cirúrgico entra em contato solicitando a busca/recebimento da paciente, sem que previamente conste a informação no fluxo de regulação do NIR(GRUPO).
No dia de hoje, 23/04/25 identificamos novamente essa situação com a paciente E.K.G.C., prontuário 1646915, regulada para o leito 23 do CGO. A equipe do Centro Cirúrgico já sinalizava a necessidade de encaminhamento da paciente, porém foi necessário entrar em contato diretamente com a enfermeira do NIR, solicitando, por gentileza, que a regulação fosse formalizada no grupo correspondente.
Ressalto que essa falha de comunicação dificulta o planejamento da equipe, o preparo do leito, a organização da assistência e a segurança no recebimento da paciente, uma vez que o setor precisa estar previamente ciente da regulação para garantir acolhimento adequado e continuidade do cuidado.
Diante do exposto, solicito atenção quanto à padronização do fluxo de comunicação, para que todos os pacientes regulados ao CGO sejam informados em tempo hábil no grupo oficial do NIR da linha materno-infantil, evitando desencontros, atrasos e sobrecarga na comunicação entre os setores.
Atenciosamente,
Enf. Liziane</t>
  </si>
  <si>
    <t>Triagem neonatal</t>
  </si>
  <si>
    <t>NC 3226 / 2026</t>
  </si>
  <si>
    <t>Gostaria de informar que, durante a organização dos prontuários, foi identificado a falta do documento triagem neonatal no prontuario .
D.L. B - 288390
O documento de triagem Neonatal é um registro fundamental para acompanhamento da saúde do recém-nascido e sua ausência pode comprometer a qualidade do atendimento e segurança do paciente. 
Devido a essa situação, o prontuário será encaminhado ao faturamento sem essa documentação para que seja faturado.</t>
  </si>
  <si>
    <t>Recusa de Transferência de Paciente Regulado</t>
  </si>
  <si>
    <t>NC 3227 / 2026</t>
  </si>
  <si>
    <t>Paciente__ J.J.P.S__, atendimento __nº 1650027__, regulado às 01:00h para Observação da Clínica Médica leito 07.
O encaminhamento foi realizado com atraso de aproximadamente __04 horas__, em decorrência de recusa de admissão pelo enfermeiro do setor de destino, __sob justificativa de necessidade de transfusão de concentrado de hemácias na UCP.__
Destaca-se que a recusa ocorreu sem alinhamento prévio com a regulação, apesar de o setor de destino apresentar baixa taxa de ocupação no momento, resultando em impacto direto na rotatividade de leitos do Pronto-Socorro.
Ocorrência registrada para avaliação e reforço do cumprimento dos fluxos institucionais de regulação, transferência e continuidade assistencial.</t>
  </si>
  <si>
    <t xml:space="preserve">Goteira na Enfermaria Feminina da Ala Psicossocial </t>
  </si>
  <si>
    <t>NC 3228 / 2026</t>
  </si>
  <si>
    <t>Identificada persistência de goteira no forro da ala psicossocial, enfermaria feminina, ocasionando risco para a segurança do ambiente assistencial e possível impacto nas condições estruturais do setor. Ressalta-se que Ordem de serviço  já foi aberta previamente para correção da demanda, porém, até o momento, o problema persiste, sem resolução definitiva, mantendo a não conformidade ativa e exigindo nova tratativa para solução efetiva.</t>
  </si>
  <si>
    <t>Divergência de Informação em Prontuário ( DIRECIONAR Á GERENCIA MEDICA)</t>
  </si>
  <si>
    <t>NC 3229 / 2026</t>
  </si>
  <si>
    <t>Paciente__ T.P.B.R__, atendimento __nº 1647530__, admitida em__ 22/04/2026__, com quadro de agitação psicomotora e ansiedade.
Consta em registro médico inicial relato de tentativa de autoextermínio. Entretanto, a acompanhante (irmã) nega tal ocorrência. Em avaliação subsequente realizada pelas equipes de Psiquiatria e Psicologia, não há confirmação ou registro do referido ato. Da mesma forma, não consta menção nas demais evoluções médicas e de enfermagem.
Diante da divergência de informações, foi solicitada ao Pronto-Socorro a emissão de notificação compulsória relacionada à ocorrência citada em prontuário médico. Contudo, não foi possível sua realização, uma vez que não houve evidência ou confirmação de tentativa de autoextermínio.
A presente notificação tem por finalidade registrar inconsistência de informação em prontuário, reforçando a necessidade de revisão, alinhamento e qualificação dos registros assistenciais, garantindo a fidedignidade das informações e a segurança do paciente.</t>
  </si>
  <si>
    <t>MEDICAMENTO VENCIDO</t>
  </si>
  <si>
    <t>NC 3230 / 2026</t>
  </si>
  <si>
    <t>DIA 24.04 DURANTE UMA REANIAMAÇÃO CARDIOPULMONAR, FOI SOLICITADO POR MEDICA PLANTONISTA DOSE DE BICARBONATO DE SÓDIO 8.4%, AO PEGAR, TECNICA DE ENFERMAGEM CONFERE DATA DE VENCIMENTO, SENDO DUAS AMPOLAS COM VENCIMENTO 12/25. COMO ENFERMEIRA DO SETOR, CONFERI E CONSTEI REALMENTE A DATA DO VENCIMENTO, COMO SEGUE EM ANEXO. REFORÇO AINDA QUE NO DIA 21.04, EM PLANTÃO NOTURNO , FOI REALIZADO VISTORIA DO CARRINHO, DEIXANDO A MEDICAÇÃO SEM REALIZAÇÃO DE TROCA. 
GRAÇAS A EQUIPE COM OLHAR ATENTO, NÃO OCORREU ADMINISTRAÇÃO ERRONEA , POIS QUALQUER MEDICAMENTO VENCIDO PODERIA OCASIONAR AGRAVAMENTO MAIOR DO QUADRO DO MENOR. SOLICITO CORREÇÃO SOBRE O CASO, NA QUAL PODERIA ATÉ MESMO LEVADO AO OBITO.
[fig:vfs:1814]</t>
  </si>
  <si>
    <t>NC 3231 / 2026</t>
  </si>
  <si>
    <t>Sinalizo ausência de identificação em curativo na região abdominal, realizado pela equipe do período diurno. Ressalto que a falha já foi sinalizada anteriormente.
[fig:vfs:1815]</t>
  </si>
  <si>
    <t>NÃO CONFORMIDADES</t>
  </si>
  <si>
    <t>NC 3232 / 2026</t>
  </si>
  <si>
    <t>Durante a realização do terminal noturno, foram identificadas não conformidades na Sala 01, deixadas pela equipe diurna: presença de um frasco de Propofol próximo ao carrinho de anestesia e oxigênio encontrado ligado indevidamente. 
[fig:vfs:1817]
[fig:vfs:1816]
[fig:vfs:1817]</t>
  </si>
  <si>
    <t>falha no indicador 01</t>
  </si>
  <si>
    <t>NC 3233 / 2026</t>
  </si>
  <si>
    <t>25/04/2026</t>
  </si>
  <si>
    <t>recebo paciente encaminhada do pam sem pulseira de identificação 15:00
gestante em tratamento clinico
paciente 172767 - A K A N</t>
  </si>
  <si>
    <t>NC 3234 / 2026</t>
  </si>
  <si>
    <t>RECEPCAP CADASTRANDO PACIENTE COM FALTA DE DADOS</t>
  </si>
  <si>
    <t>NC 3235 / 2026</t>
  </si>
  <si>
    <t>PACIENTE: FRANCISCA ALVES BRAGA ( ATENDIMENTO 176768) FALTA Nº RG E NOME DO PAI.</t>
  </si>
  <si>
    <t xml:space="preserve">CGO II </t>
  </si>
  <si>
    <t>NC 3236 / 2026</t>
  </si>
  <si>
    <t>PACIENTE: EMILY RAVENNA SILVA NEVES( ATENDIMENTO 181405) FOI DE ALTA 25/04 E RN PERMANECEU INTERNADO NO BERCARIO (352976)</t>
  </si>
  <si>
    <t xml:space="preserve">DEMORA NA PARA RECEBER PACIENTE </t>
  </si>
  <si>
    <t>NC 3237 / 2026</t>
  </si>
  <si>
    <t>PACIENTE: ANTONIO VIEIRA MACHADO ( ATENDIMENTO 199229)  FOI REGULADO DA OBS PARA CLINICA MEDICA DESDE 06:28 am , POREM ATE O MOMENTO (11:15 am) NÃO CHEGOU AO LEITO</t>
  </si>
  <si>
    <t>DEMORA PARA ENCAMINHAR</t>
  </si>
  <si>
    <t>NC 3238 / 2026</t>
  </si>
  <si>
    <t>PACIENTE: ANTONIO VIEIRA MACHADO ( ATENDIMENTO 199229) FOI REGULADO DA OBS PARA CLINICA MEDICA DESDE 06:28 am , POREM ATE O MOMENTO (11:15 am) NÃO CHEGOU AO LEITO</t>
  </si>
  <si>
    <t>FALHA NO PREPARO PRÉ OPERATÓRIO</t>
  </si>
  <si>
    <t>NC 3239 / 2026</t>
  </si>
  <si>
    <t>PACIENTE S.R.S. (323597) PROVENIENTE DO PAM, ADMITIDA NO CENTRO CIRÚRGICO PARA PROCEDIMENTO CIRÚRGICO. DURANTE ADMISSÃO, IDENTIFICOU-SE O USO DE ADORNO (ALIANÇA), EM DESACORDO COM PROTOCOLO INSTITUCIONAL. REALIZADA RETIRADA IMEDIATA E ENTREGUE AO ACOMPANHANTE. ORIENTADO A PACIENTE QUANTO AO RISCO DE QUEIMADURAS RELACIONADAS AO USO DE ELETROCAUTÉRIO.</t>
  </si>
  <si>
    <t>NÃO CONFOMIDADE</t>
  </si>
  <si>
    <t>NC 3240 / 2026</t>
  </si>
  <si>
    <t>Ao realizarmos o terminal noturno, foi identificada a presença de uma manopla na Sala 04, a qual não foi retirada pela equipe do turno diurno após a realização do procedimento.
[fig:vfs:1829]</t>
  </si>
  <si>
    <t xml:space="preserve">DATA DA ALTA </t>
  </si>
  <si>
    <t>NC 3241 / 2026</t>
  </si>
  <si>
    <t>FOI NOTADO QUE O PRONTUAIO FISICO  DE M.P.D.C ESTA COM DATA DA ALTA DIFERENTE DA DATA DENTRO DO SISTEMA MV.
__DATA DO SISTEMA:05/03/2026 A 31/03/2026 __
__DATA PROTUARIO FISICO:05/03/2026 A 19/03/2026__</t>
  </si>
  <si>
    <t>NC 3242 / 2026</t>
  </si>
  <si>
    <t>NO DIA  27/04/2026 PACIENTE W.P.C  VEIO DA CLINICA CIRURGICA PARA O CENTRO CIRURGICO PARA REALIZAR PROCEDIMENTO COM BUCOMAXILO DURANTE CHECK LIST DE CIRURGIA SEGURA ,EVIDENCIADO QUE O MESMO ESTAVA EM USO DE SUA PROTESE DENTARIA, FATO QUE COMPROMETE DIRETAMENTE A SEGURANÇA DO PACIENTE. REALIZO ESSA NOTIFICAÇÃO PARA MELHORIA O SETOR E SEGURANÇA DO PACIENTE.</t>
  </si>
  <si>
    <t>fluxo de encaminhar paciente para setor, não estão respeitando</t>
  </si>
  <si>
    <t>NC 3243 / 2026</t>
  </si>
  <si>
    <t>foi feito um fluxo para encaminhar paciente do cpn para cgo2
o setor cpn desde então, não vem respeitando
 supervisão pediu para notificar</t>
  </si>
  <si>
    <t>NC 3244 / 2026</t>
  </si>
  <si>
    <t>foi feito um fluxo para encaminhar paciente do cc para cgo2
o setor cc desde então, não vem respeitando
 supervisão pediu para notificar</t>
  </si>
  <si>
    <t>ALTA ADMINISTRATIVA</t>
  </si>
  <si>
    <t>NC 3245 / 2026</t>
  </si>
  <si>
    <t>Prontuario  com periodo superior a 30 dias, o qual deveria conter alta administrativa para possibilitar o faturamento referente aos 30 dias. No entanto, o prontuário foi encaminhado sem a devida alta impressa. Ao verificar o sistema MVPED, identificou-se  o registo de uma alta do tipo "melhorada", com 178 dias de ineternação. Ressalta-se que esses prontuarios necessitam origatóriamente da alta admistrativa para fins de fauramento.
PRONTUÁRIO: 164017</t>
  </si>
  <si>
    <t>BENS NÃO LOCALIZADOS NO SETOR</t>
  </si>
  <si>
    <t>NC 3246 / 2026</t>
  </si>
  <si>
    <t>Durante o inventario 2026 foi feito o levantamento da Sala Equipe Multiprofissional  ( Subsolo), após a conclusão do inventario no setor foi identificado a ausência do bem patrimonial: Cadeira fixa em polipropileno N° 202036, Até o presente momento o bem em destaque não foi localizado, pedimos ao setor que após a localização do bem procure o setor de patrimônio para que possamos atualizar o bem no nosso sistema. o setor de Patrimônio irá aguardar até o final do inventario 2026 para as devidas atualizações, após isso será repassado a Direção.</t>
  </si>
  <si>
    <t xml:space="preserve">RECEPÇAO CADASTRANDO PACIENTES FALTANDO DADOS </t>
  </si>
  <si>
    <t>NC 3247 / 2026</t>
  </si>
  <si>
    <t>PACIENTE:KALINE TRINDADE COSTA ( ATENDIMENTO 351558) FALTANDO NOME DO PAI , NUMERO DE RG E NATURALIDADE.</t>
  </si>
  <si>
    <t>RECEPÇAO CADASTRANDO PACIENTE COM FALTA DE DADOS</t>
  </si>
  <si>
    <t>NC 3248 / 2026</t>
  </si>
  <si>
    <t>PACIENTE: ALESSANDRA DOS SANTOS VIEIRA ( ATENDIMENTO 309448) FALTA O NOME DO PAI E NUMERO DE RG.</t>
  </si>
  <si>
    <t>Ausência de fechamento de alta no sistema MV</t>
  </si>
  <si>
    <t>NC 3249 / 2026</t>
  </si>
  <si>
    <t>Prontuário nº 340351 enviado ao faturamento sem fechamento da alta no sistema MV.
[fig:vfs:1835]</t>
  </si>
  <si>
    <t>Colaboradora infringe nr</t>
  </si>
  <si>
    <t>NC 3250 / 2026</t>
  </si>
  <si>
    <t>colaboradora M.C.D.L do setor pam vem trabalhar de forma totalmete inadequada usando todos os tipos adornos, brincos, aneis, pulseiras, cordão</t>
  </si>
  <si>
    <t>NC 3251 / 2026</t>
  </si>
  <si>
    <t>No dia 16/04/2026, às 10h40, o colaborador tecnico de enfermagem josenilsson do setor do PS, , foi observada a ocorrência de transporte simultâneo de material limpo e material sujo/contaminado por profissionais da UTI, utilizando um carrinho inadequado (tipo carrinho de supermercado), sem a devida segregação conforme preconizam os protocolos de biossegurança. Ressalta-se que tal prática já vem se tornando rotineira. Além disso, foi identificado o manuseio dos materiais sem o uso adequado de equipamentos de proteção individual, especialmente pela ausência de troca de luvas entre o contato com materiais limpos e contaminados, configurando uma não conformidade grave, com risco elevado de contaminação cruzada, comprometimento da qualidade dos materiais e aumento da probabilidade de infecções relacionadas à assistência à saúde, exigindo intervenção imediata e adoção de medidas corretivas.</t>
  </si>
  <si>
    <t>material incompleto</t>
  </si>
  <si>
    <t>NC 3252 / 2026</t>
  </si>
  <si>
    <t>No dia 28/04/2026, às 11:00, foi identificada uma não conformidade no recebimento de material proveniente do Centro Cirúrgico, sendo constatado que uma bandeja de raque foi encaminhada de forma incompleta para a CME, contendo apenas a bandeja e a pinça de assepsia, com ausência da cuba redonda que compõe o conjunto. A falha indica possível inconsistência no processo de conferência antes do envio do material. O item foi recebido pela CME e retido para verificação, sendo o Centro Cirúrgico comunicado para avaliação e correção da não conformidade, além de reforço na conferência dos kits antes da liberação.</t>
  </si>
  <si>
    <t>DEMORA NA ACEITAÇÃO DE PACIENTES DO PRONTO SOCORRO</t>
  </si>
  <si>
    <t>NC 3253 / 2026</t>
  </si>
  <si>
    <t>Informamos a ocorrência recorrente de atraso na aceitação de pacientes oriundos do Pronto Socorro para internação na Enfermaria de Clínica Médica.
Foi identificado que o tempo de resposta para aceite tem ultrapassado __duas horas__, ocasionando impacto direto na rotatividade de leitos, aumento do tempo de permanência no Pronto Socorro e possível comprometimento do fluxo assistencial e da qualidade do atendimento.
Solicitamos atenção das equipes envolvidas quanto à necessidade de maior agilidade no processo de avaliação e aceite dos pacientes, a fim de garantir melhor organização do fluxo, otimização de leitos e segurança assistencial.
Reforçamos a importância do cumprimento dos tempos institucionais estabelecidos para resposta, bem como da comunicação efetiva entre as equipes.</t>
  </si>
  <si>
    <t>ACESSO VENOSO SEM IDENTIFICAÇÃO</t>
  </si>
  <si>
    <t>NC 3254 / 2026</t>
  </si>
  <si>
    <t>TECNICA DE ENFERMAGEM, RECEBE PLANTAO COM PACIENTE MANTENDO ACESSO VENOSO SEM IDENTIFICAÇÃO. NOTIFICO PARA MELHORIA DE PROCESSOS.</t>
  </si>
  <si>
    <t>Raio x não realizaado</t>
  </si>
  <si>
    <t>NC 3255 / 2026</t>
  </si>
  <si>
    <t>Venho por meio deste comunicar que foi solicitada a realização de exame de Raio-X para o paciente, A.C.S,S,Prontuário:188341, conforme solicitação médica, porém o referido procedimento não foi realizado.Ressalto ainda a necessidade de reforçar os fluxos de comunicação e conferência das solicitações médicas, a fim de evitar que situações como esta voltem a ocorrer, garantindo maior segurança e qualidade na assistência prestada.</t>
  </si>
  <si>
    <t>EXAME DE RAIO X NÃO REALIZADO</t>
  </si>
  <si>
    <t>NC 3256 / 2026</t>
  </si>
  <si>
    <t>Venho por meio deste comunicar que foi solicitada a realização de exame de Raio-X para o paciente, A.C.C.N,Prontuário: 342152, conforme solicitação médica, porém o referido procedimento não foi realizado.Ressalto ainda a necessidade de reforçar os fluxos de comunicação e conferência das solicitações médicas, a fim de evitar que situações como esta voltem a ocorrer, garantindo maior segurança e qualidade na assistência prestada.</t>
  </si>
  <si>
    <t>NC 3257 / 2026</t>
  </si>
  <si>
    <t xml:space="preserve">NÃO CONFORMIDADE </t>
  </si>
  <si>
    <t>NC 3258 / 2026</t>
  </si>
  <si>
    <t>NO DIA 29/04/2026 PACIENTE T.R.S PROVENIENTE DO PAM ADMITIDA NO CENTRO CIRURGICO REALIZAR PROCEDIEMNTO DE CESARIANA DURANTE O CHECK LIST FOI IDENTIFICADO NÃO CONFORMIDADE SEM PULSEIRA DE IDENTIFICAÇÃO E COM NOME DA MÃE ERRADO NO PRONTUARIO. FATO ESSE QUE COMPROMENTE A SEGURAÇA DO PACIENTE. REALIZADO ESSA NOTIFICAÇÃO MELHORIA DO SETOR E SEGURANÇA DO PACIENTE.</t>
  </si>
  <si>
    <t>NOTIFICAÇÃO AO CENTRO DE PARTO NORMAL (CPN) - CATETER SEM TAMPA</t>
  </si>
  <si>
    <t>NC 3259 / 2026</t>
  </si>
  <si>
    <t>movimentação indevida</t>
  </si>
  <si>
    <t>NC 3260 / 2026</t>
  </si>
  <si>
    <t>Durante  o Evento das Metas, foi identificado a movimentação de uma mesa patrimonial (n° 205463) para a meta 02, sem a devida abertura de ordem de serviço junto á equipe de patrimônio. Ressaltamos que qualquer alteração ou remanejamento do bens patrimoniais deve, obrigatoriamente, ser precedido  pela abertura de ordem de serviço.</t>
  </si>
  <si>
    <t>MOVIMENTAÇÃO INDEVIDA</t>
  </si>
  <si>
    <t>NC 3261 / 2026</t>
  </si>
  <si>
    <t>Durante o Evento das Metas, foi identificado a movimentação de uma mesa patrimonial (n° 201048) para a meta 04, sem a devida abertura de ordem de serviço junto á equipe de patrimônio. Ressaltamos que qualquer alteração ou remanejamento do bens patrimoniais deve, obrigatoriamente, ser precedido pela abertura de ordem de serviço.</t>
  </si>
  <si>
    <t>NC 3262 / 2026</t>
  </si>
  <si>
    <t>Durante o Evento das Metas, foi identificado a movimentação de uma mesa patrimonial (n° 200181) para a meta 01, sem a devida abertura de ordem de serviço junto á equipe de patrimônio. Ressaltamos que qualquer alteração ou remanejamento do bens patrimoniais deve, obrigatoriamente, ser precedido pela abertura de ordem de serviço.</t>
  </si>
  <si>
    <t>NC 3263 / 2026</t>
  </si>
  <si>
    <t>PACIENTE: TUANY GUIMARAES SOUSA( ATENDIMENTO 159665) FALTA NOME DO PAI, CPF E RG.</t>
  </si>
  <si>
    <t>RECEPCAO CADASTRANDO PACIENTE FALTANDO DADOS</t>
  </si>
  <si>
    <t>NC 3264 / 2026</t>
  </si>
  <si>
    <t>PACIENTE: RODICLEIA PEREIRA DA SILVA( ATENDIMENTO 168433) FALTA NOME DO PAI, CPF RG E NATURALIDADE.</t>
  </si>
  <si>
    <t>não cumprimento do fluxo de encaminhar paciente para cgo2</t>
  </si>
  <si>
    <t>NC 3265 / 2026</t>
  </si>
  <si>
    <t>Bom dia, deixo registrado que setor cc não vem cumprindo o fluxo para encaminhar paciente
foi acordado que o setor deverá entrar em contato faltando 30 minutos para o término da RPA, para que o setor se organize. 
após o término dos 30 minutos, o cc deve entrar em contato de novo avisando que o paciente já pode ser encaminhado...
e o setor terá até 15 min para receber
esse fluxo não vem sendo respeitado, supervisão orientou que notificássemos</t>
  </si>
  <si>
    <t>NC 3266 / 2026</t>
  </si>
  <si>
    <t>Bom dia, deixo registrado que setor cpn não vem cumprindo o fluxo para encaminhar paciente
foi acordado que o setor deverá entrar em contato faltando 30 minutos para o término da RPP, para que o setor se organize. 
após o término dos 30 minutos, o cc deve entrar em contato de novo avisando que o paciente já pode ser encaminhado...
e o setor terá até 15 min para receber
esse fluxo não vem sendo respeitado, supervisão orientou que notificássemos</t>
  </si>
  <si>
    <t>DEMORA PARA RECEBER PACIENTE</t>
  </si>
  <si>
    <t>NC 3267 / 2026</t>
  </si>
  <si>
    <t>O ENFERMEIRO DO PS TENTOU ENCAMINHAR PACIENTE, POREM NÃO OBTEVE RESPOSTA DA CLINICA MEDICA.
PACIENTE: SAMUEL INACIO DA SILVA( 352733) LEITO 17 DA CLINICA MEDICA, REGULADO AS 16:28, CHEGANDO APENAS 20:00 NO SETOR DE DESTINO.</t>
  </si>
  <si>
    <t xml:space="preserve">TESTE DE RÁDIO SEM RESPOSTA DA EQUIPE DE MAQUEIROS </t>
  </si>
  <si>
    <t>NC 3268 / 2026</t>
  </si>
  <si>
    <t>CONFORME ORIENTAÇÃO DA GERÊNCIA ASSISTENCIAL , FOI REALIZADO TESTE DO RÁDIO DA ALA PSICOSSOCIAL COM ACIONAMENTO DA EQUIPE DE MAQUEIRO, PORÉM SEM RESPOSTA . APÓS CONTATO COM A SUPERVISÃO DO SETOR , FOI REALIZADO UM NOVO TESTE E SÓ ASSIM HOUVE A RESPOSTA. NOTIFICO PARA ALINHAMENTO DA NECESSIDADE DE TODOS OS RÁDIOS ESTAREM FUNCIONANDO.</t>
  </si>
  <si>
    <t>SEM RESPOSTA DA EQUIPE DE MAQUEIROS AO ACIONAMENTO VIA RÁDIO.</t>
  </si>
  <si>
    <t>NC 3269 / 2026</t>
  </si>
  <si>
    <t>CONFORME ORIENTAÇÃO DA GERÊNCIA ASSISTENCIAL , FOI REALIZADO TESTE DO RÁDIO DA CLÍNICA MÉDICA COM ACIONAMENTO DA EQUIPE DE MAQUEIRO, PORÉM SEM RESPOSTA . APÓS CONTATO COM A SUPERVISÃO DO SETOR , FOI REALIZADO UM NOVO TESTE E SÓ ASSIM HOUVE A RESPOSTA. NOTIFICO PARA ALINHAMENTO DA NECESSIDADE DE TODOS OS RÁDIOS ESTAREM FUNCIONANDO.</t>
  </si>
  <si>
    <t>Falha no atendimento do Ramal para informações do Jantar</t>
  </si>
  <si>
    <t>NC 3270 / 2026</t>
  </si>
  <si>
    <t>O Serviço de Nutrição e Dietética tem enfrentado um problema em relação a comunicação pelo ramal, copeira relata que faz tentativas de ligações para a confirmação do jantar dos colaboradores da UTI, porém sem sucesso, logo a copeira precisa sair do seu posto de trabalho para ir inloco confirmar a quantidade de refeições que o setor pedirá.</t>
  </si>
  <si>
    <t>NC 3271 / 2026</t>
  </si>
  <si>
    <t>PACIENTE: BRUNA COSTA VIEIRA (200745) FALTANDO NOME DO PAI E RG</t>
  </si>
  <si>
    <t>NC 3272 / 2026</t>
  </si>
  <si>
    <t>PACIENTE: EVELYN SILVA DO NASCIMENTO ( 291419) FALTANDO NOME DO PAI.
PACIENTE: VALDIRENE SANTOS DA SILVA (353998) FALTANDO NOME DO PAI, CPF, NATURALIDADE E RG.</t>
  </si>
  <si>
    <t xml:space="preserve">RECEPCAO CASDATRANDO PACIENTE FALTANDO DADOS </t>
  </si>
  <si>
    <t>NC 3273 / 2026</t>
  </si>
  <si>
    <t>PACIENTE: LUZIA MARIA DA CONCEICAO (353390) FALTA NOME DO PAI E RG.</t>
  </si>
  <si>
    <t>QUANTIDADE INSUFICIENTES DE LENÇÓIS DISPENSADOS PARA A CLÍNICA MÉDICA</t>
  </si>
  <si>
    <t>NC 3274 / 2026</t>
  </si>
  <si>
    <t>Temos 31 leitos na Clínica médica e diariamente são dispensados entre 09 e 12 lençóis . O que tem gerado reclamação na ouvidoria .</t>
  </si>
  <si>
    <t>saco de lixo errado</t>
  </si>
  <si>
    <t>NC 3275 / 2026</t>
  </si>
  <si>
    <t>Realizo esta notificação em razão da não conformidade identificada, referente ao saco de lixo comum em lixeira destinada a resíduos infectantes.</t>
  </si>
  <si>
    <t>saco de lixo em lixeira errada!</t>
  </si>
  <si>
    <t>NC 3276 / 2026</t>
  </si>
  <si>
    <t>Realizo esta notificação em razão da não conformidade identificada, referente ao descarte inadequado de saco de lixo infectante em lixeira destinada a resíduos comuns a mesma se encontra -se ao lado do bebedouro, o que pode comprometer a segregação e o manejo incorreto dos resíduos.</t>
  </si>
  <si>
    <t>BATIDA DE PONTO</t>
  </si>
  <si>
    <t>NC 3277 / 2026</t>
  </si>
  <si>
    <t>Notifico o setor de ponto em razão de inconsistência identificada durante o registro de saída para o intervalo de almoço. Ao realizar a batida de ponto, foi registrado o nome de outro funcionário (V.C.C.). Em seguida, foi efetuado novo registro, que saiu corretamente com o nome do colaborador (V.K.M.S.).</t>
  </si>
  <si>
    <t>NC 3278 / 2026</t>
  </si>
  <si>
    <t>AO RECEBERMOS PACIENTE PRONIENTE DO PAM, PARA PROCEDIMENTO ELETIVO (CESARIANA). IDENTIFICAMOS A MESMA VESTIDA EM PEÇA INTIMA (CALCINHA). A MESMA RELATA NÃO TER SIDO ORIENTADA PARA RETIRALÁ-LA.</t>
  </si>
  <si>
    <t>PRESCRIÇÃO MÉDICA E CONDUTA PROFISSIONAL</t>
  </si>
  <si>
    <t>NC 3279 / 2026</t>
  </si>
  <si>
    <t>PRESCRIÇÃO MÉDICA E CONDUTA PROFISSIONAL
À COORDENAÇÃO MÉDICA,
VENHO POR MEIO DESTA FORMALIZAR NOTIFICAÇÃO REFERENTE À ASSISTÊNCIA PRESTADA PELO MÉDICO DR. W. F. A. P  À PACIENTE L. DA S. S. PRONTUÁRIO 1654673, CONFORME PRESCRIÇÃO MÉDICA ENCAMINHADA EM ANEXO. DURANTE O PLANTÃO, FORAM IDENTIFICADAS INCONSISTÊNCIAS NA PRESCRIÇÃO MÉDICA, CONFIGURANDO POTENCIAL RISCO À SEGURANÇA DA PACIENTE, O QUE EXIGE ATENÇÃO CRITERIOSA E IMEDIATA CORREÇÃO POR PARTE DO PROFISSIONAL RESPONSÁVEL. AO BUSCAR ESCLARECIMENTOS JUNTO AO REFERIDO MÉDICO, COM O OBJETIVO DE GARANTIR A SEGURANÇA ASSISTENCIAL, FOI OBSERVADA POSTURA INADEQUADA NA COMUNICAÇÃO, CARACTERIZADA POR ABORDAGEM DESRESPEITOSA E POUCO COLABORATIVA, INCOMPATÍVEL COM O AMBIENTE MULTIPROFISSIONAL.
RESSALTA-SE QUE FALHAS EM PRESCRIÇÃO ASSOCIADAS À COMUNICAÇÃO INEFICAZ AUMENTAM SIGNIFICATIVAMENTE O RISCO DE EVENTOS ADVERSOS, SENDO ESSENCIAL A ATUAÇÃO CONJUNTA E RESPEITOSA ENTRE OS PROFISSIONAIS PARA ASSEGURAR A QUALIDADE DA ASSISTÊNCIA.
 DIANTE DO OCORRIDO, A SITUAÇÃO FOI SINALIZADA AO PROFISSIONAL PARA DEVIDA CORREÇÃO, PERMANECENDO SOB SUA RESPONSABILIDADE A REVISÃO DA PRESCRIÇÃO. POSTERIORMENTE, FOI DESIGNADA A TÉCNICA DE ENFERMAGEM PARA RETORNO AO PROFISSIONAL, A FIM DE BUSCAR A PRESCRIÇÃO DEVIDAMENTE REVISADA E ADEQUADA, GARANTINDO A CONTINUIDADE SEGURA DA ASSISTÊNCIA.
SOLICITA-SE AVALIAÇÃO DA COORDENAÇÃO QUANTO AO OCORRIDO, BEM COMO REFORÇO DAS BOAS PRÁTICAS RELACIONADAS À SEGURANÇA DO PACIENTE, QUALIDADE DAS PRESCRIÇÕES MÉDICAS E COMUNICAÇÃO ÉTICA ENTRE EQUIPE MULTIPROFISSIONAL.
SEM MAIS, COLOCO-ME À DISPOSIÇÃO PARA ESCLARECIMENTOS.</t>
  </si>
  <si>
    <t>Atraso médico para procedimento cirúrgico.</t>
  </si>
  <si>
    <t>NC 3280 / 2026</t>
  </si>
  <si>
    <t>Sinalizo que tivemos um atraso em um procedimento cirúrgico, operação cesariana, porque o obstetra plantonista do horário informou que não iria realiza procedimento eletivo, procedimento que era para ser realizado ás 20:00 hs só foi realizado as 22:00 hs por outro obstetra.</t>
  </si>
  <si>
    <t>não cumprimento do fluxo de organizar paciente para laqueadura</t>
  </si>
  <si>
    <t>NC 3281 / 2026</t>
  </si>
  <si>
    <t>01/05/2026</t>
  </si>
  <si>
    <t>bom dia, deixo registrado que a equipe da qual recebo plantão, não vem cumprindo o fluxo de organização de documentos para laqueadura, não preenchimento do check list e organização do prontuários
fluxo este que é obrigação da equipe, tanto técnica como enfermeira podem deixar organizado.
o não cumprimento atrasa encaminhamento para cc, gerando atraso no procedimento
já foi conversado com toda equipe. e não estão cumprindo
já falei cm a supervisora, mas continua acontecendo
por isso resolvi deixar notificado</t>
  </si>
  <si>
    <t>NC 3282 / 2026</t>
  </si>
  <si>
    <t>recebo puerpera do centro cirurgico sem pulseira de identificação, teve parto normal, foi encaminhada para cc para realizar laqueadura
18h recebo paciente vinda do cc
paciente 353998 v.s.s</t>
  </si>
  <si>
    <t>RECEPÇAO CADASTRANDO PACIENTE FALTANDO DADOS</t>
  </si>
  <si>
    <t>NC 3283 / 2026</t>
  </si>
  <si>
    <t>PACIENTE: VITORIA COSTA MENDES ( ATENDIMENTO 331973) FALTA NOME DO PAI, NATURALIDADE E RG.</t>
  </si>
  <si>
    <t>Identificação de Adaptação em Bem Patrimonial - Solicitação de Esclarecimento</t>
  </si>
  <si>
    <t>NC 3284 / 2026</t>
  </si>
  <si>
    <t>Durante o Inventário 2026, foi identificado, conforme imagem anexa, um gaveteiro improvisado fixado na parede, aparentemente composto por duas estruturas de três gavetas provenientes de mesa de escritório com chave. Solicitamos, por gentileza, que, caso a instalação tenha sido realizada pela equipe operacional, seja informado o número da Ordem de Serviço registrada via NEOVERO. Aproveitamos para reforçar que adaptações em bens patrimoniais podem acarretar na descaracterização do item, e que o setor de Patrimônio não realiza a fabricação de novos bens.
Contamos com a colaboração do setor para manter a conformidade dos processos e a adequada gestão dos bens patrimoniais.</t>
  </si>
  <si>
    <t>NÃO CONFROME</t>
  </si>
  <si>
    <t>NC 3285 / 2026</t>
  </si>
  <si>
    <t>AO FATURAR O PRONTUARIO FISICO DO RN J.A.A.D.S A DATA DA AUTORIZAO ESTA DIVERGENTE COM A DATA DO SISTEMA MV. 
__==DATA DO SISTEMA  06/04/2026 A 16/04/2026==__
__==DATA DO AUTORIZACAO : 18/04/2026 A 18/04/2026==__</t>
  </si>
  <si>
    <t xml:space="preserve">NAO CONFORME </t>
  </si>
  <si>
    <t>NC 3286 / 2026</t>
  </si>
  <si>
    <t>PACIENTE  RN G.B.D.C.S COM PRONTUARIO FISICO COM DATA DE AUTORIZACAO DIVERGENTE COM O DO SISTEMA MV.
__==DATA DA  AUTORIZACAO 18/04/2026 A 18/04/2026==__
__==DATA DO SISTEMA             07/04/2026 A 14/04/2026==__</t>
  </si>
  <si>
    <t>NC 3287 / 2026</t>
  </si>
  <si>
    <t>PACIENTE: MOISES VIANA (333005) ESTA CADASTRADO COM SEXO FEMININO, POREM É MASCULINO.</t>
  </si>
  <si>
    <t>NÃO ACIONAMENTO DA PSICOLOGIA PARAA ACOLHIMENTO DE ÓBITO</t>
  </si>
  <si>
    <t>NC 3288 / 2026</t>
  </si>
  <si>
    <t>Na manhã do dia 29/04/2026, paciente WCG deu entrada em quadro grave trazido por policiais, sendo constado óbito. Na ocasião foram acionados os serviço social e de psicologia, porém no momento em questão ainda não haviam identificação ou presença de familiares na instituição. 
Seguindo as normativas atuais, a psicóloga do plantão solicitou que o serviço social acionasse novamente ou informasse caso algum familiar comparecesse ao hospital para que pudesse ser ofertado o acolhimento psicológico.
Porém ao final do plantão identificou-se que um familiar havia comparecido ao hospital e recebido orientações da plantonista do serviço social sendo encaminhado ao IML.</t>
  </si>
  <si>
    <t>ERRO DE COMUNICÇÃO</t>
  </si>
  <si>
    <t>NC 3289 / 2026</t>
  </si>
  <si>
    <t>PACIENTE ELETIVA YASMIN SOPHIA LOURENÇO, CHEGOU AO HOSPITAL AS 15:50 . A COLABORADORA ONILDE DO AMBULATORIO TROUXE AS AIH`S DAS ELETIVAS E FOI INFORMADO A ELA QUE A PACIENTE TINHA ACABADO DE CHEGAR NA RECEPÇÃO E  DEVERIA COMUNICAR PARA A MÃE ( RESPONSAVEL PELA PACIENTE) RETORNAR COM CRIANÇA (PACIENTE) PARA CASA. ONILDE FOI EMBORA E NÃO COMUNICOU A MÃE DA CRIANÇA PARA RETORNAR NO DIA POSTERIOR. PARA NÃO DEIXAR A PACIENTE LÁ FORA AGUARDANDO, O ADM DO NIR DAIANE COMUNICOU A MÃE PARA RETORNAR NO DIA 05/05 AS 07:00</t>
  </si>
  <si>
    <t>RECUSA NA ENTREGA DA MEDICAÇÃO</t>
  </si>
  <si>
    <t>NC 3290 / 2026</t>
  </si>
  <si>
    <t>05/05/2026</t>
  </si>
  <si>
    <t>Venho por meio desta registrar notificação referente à recusa na dispensação de medicação solicitada para paciente sob cuidados desta equipe.
Paciente prescrito um tramal e uma dipirona, a mesma fez entrega so do tramal, alegando ausência de necessidade da dipirona, divergindo da avaliação da equipe assistencial responsável pelo paciente.
Ressalta-se que a prescrição médica foi devidamente realizada, baseada no quadro clínico atual do paciente, sendo a não dispensação um fator que pode impactar diretamente na assistência e segurança do mesmo.
Diante do ocorrido, solicitamos esclarecimentos quanto à conduta adotada, bem como alinhamento entre as equipes, a fim de evitar recorrências que possam comprometer a qualidade do cuidado prestado.</t>
  </si>
  <si>
    <t>NC 3291 / 2026</t>
  </si>
  <si>
    <t>Informamos que o médico responsável  S.D.S.R - CRM PA13992,  já foi orientado quanto à obrigatoriedade do uso de caneta azul nos registros. No entanto, ainda estão sendo identificadas anotações realizadas com caneta preta, o que não está em conformidade com as normas estabelecidas. Solicitamos atenção e adequação imediata às orientações.</t>
  </si>
  <si>
    <t xml:space="preserve">ASSINATURA MÈDICA COM CANETA PRETA </t>
  </si>
  <si>
    <t>NC 3292 / 2026</t>
  </si>
  <si>
    <t>Informamos que o médico responsável  S.D.S.R - CRM PA13992,  já foi orientado quanto à obrigatoriedade do uso de caneta azul nos registros. No entanto, ainda estão sendo identificadas anotações realizadas com caneta preta, o que não está em conformidade com as normas estabelecidas. Solicitamos atenção e adequação imediata às orientações. 
Referente ao prontuario RN. N. F.D.S - 350743</t>
  </si>
  <si>
    <t xml:space="preserve">Pendência de assinatura </t>
  </si>
  <si>
    <t>NC 3293 / 2026</t>
  </si>
  <si>
    <t>Prezados, bom dia.
Informamos que o prontuário nº 330425, da paciente M. C. L. L., será encaminhado ao setor de faturamento contendo duas evoluções médicas do especialista em Nefrologia sem assinatura e carimbo.
A pendência ocorre porque o referido profissional atende ao hospital somente quando solicitado. Diante da dificuldade em obter a assinatura no tempo hábil, a ausência do registro assinado tem gerado atraso na entrega do prontuário ao faturamento.
Visando amenizar esse impacto e evitar prejuízo ao processo de cobrança, optamos pelo envio do prontuário conforme está, com as evoluções médicas já anexadas.</t>
  </si>
  <si>
    <t>Iniciar, alimentar e concluir a ação no Interact referente a avaliação de eficácia dos treinamentos respeitando a forma de avaliação utilizada.</t>
  </si>
  <si>
    <t>NC 3294 / 2026</t>
  </si>
  <si>
    <t>As avaliações de eficácia devem seguir rigorosamente a metodologia definida para cada ação. No entanto, os treinamentos de Controle de Esterilização e NR-32 - Segurança e Saúde nos Serviços de Saúde não atenderam à forma de avaliação previamente estabelecida, o que impossibilita o encerramento das ações.
Diante disso, o prazo foi estendido, a fim de viabilizar a adequação das avaliações e a inclusão das informações necessárias para a correta análise da efetividade.</t>
  </si>
  <si>
    <t>NC 3295 / 2026</t>
  </si>
  <si>
    <t>A valiação de eficácia do treinamento de Prevenção de Infecções Cirúrgicas não foi realizada conforme o cronograma e a metodologia previamente estabelecidos.
Destacamos que as ações devem ser conduzidas em conformidade com a forma de avaliação definida e dentro do prazo estipulado, a fim de garantir a adequada análise da efetividade.
iante disso, o prazo para regularização foi estendido até 15/05/2026.</t>
  </si>
  <si>
    <t>NC 3296 / 2026</t>
  </si>
  <si>
    <t>Informamos que a avaliação de eficácia do treinamento de Transferência Segura do Paciente - Internação não foi realizada conforme o cronograma e a metodologia previamente estabelecidos.
Destacamos que as ações devem ser conduzidas em conformidade com a forma de avaliação definida e dentro do prazo estipulado, a fim de garantir a adequada análise da efetividade.
Nova data prevista - 15/05/2026</t>
  </si>
  <si>
    <t>cpn não segue o fluxo de encaminhar paciente</t>
  </si>
  <si>
    <t>NC 3297 / 2026</t>
  </si>
  <si>
    <t>bom dia
foi feito um fluxo para encaminhar paciente para setor, cpn não vem seguindo o fluxo
supervisão orienta que notifique</t>
  </si>
  <si>
    <t>NC 3298 / 2026</t>
  </si>
  <si>
    <t>A avaliação de eficácia do treinamento de Descarte de Resíduos Perfurocortantes não foi realizada conforme o cronograma e a metodologia previamente estabelecidos.
Destacamos que as ações devem ser conduzidas em conformidade com a forma de avaliação definida e dentro do prazo estipulado, a fim de garantir a adequada análise da efetividade. 
Diante disso, o prazo para regularização foi estendido até 15/05/2026.</t>
  </si>
  <si>
    <t>NC 3299 / 2026</t>
  </si>
  <si>
    <t>O treinamento referente à Apresentação do Regimento de Cuidados Paliativos, previsto para os dias 01 e 02/04/2026, não foi realizado conforme o cronograma estabelecido. Ademais, a devida reprogramação não foi formalizada por meio do formulário de alteração do PAT, conforme preconizado.
Diante do exposto, notificamos para fins de melhoria do processo e solicitamos a devida regularização, com definição e formalização de nova data para realização do treinamento.</t>
  </si>
  <si>
    <t>NC 3300 / 2026</t>
  </si>
  <si>
    <t>O treinamento referente à Manuseios em equipamentos Biomédicos, previsto para os dias 06 a 09/04/2026, não foi realizado conforme o cronograma estabelecido. Ademais, a devida reprogramação não foi formalizada por meio do formulário de alteração do PAT, conforme preconizado.
Diante do exposto, notificamos para fins de melhoria do processo e solicitamos a devida regularização, com definição e formalização de nova data para realização do treinamento.</t>
  </si>
  <si>
    <t>NC 3301 / 2026</t>
  </si>
  <si>
    <t>O treinamento referente à Avaliação de Acesso Venoso Periférico e Avenoso Venoso Central, previsto para os dias 07 a 10/04/2026, não foi realizado conforme o cronograma estabelecido. Ademais, a devida reprogramação não foi formalizada por meio do formulário de alteração do PAT, conforme preconizado.
Diante do exposto, notificamos para fins de melhoria do processo e solicitamos a devida regularização, com definição e formalização de nova data para realização do treinamento.</t>
  </si>
  <si>
    <t>NC 3302 / 2026</t>
  </si>
  <si>
    <t>O treinamento referente à Paramentação e Desparamentação Segura, previsto para os dias 10 a 30/04/2026, não foi realizado conforme o cronograma estabelecido. Ademais, a devida reprogramação não foi formalizada por meio do formulário de alteração do PAT, conforme preconizado.
Ressaltamos que a lista de presença foi devidamente encaminhada, porém não foi recebida de volta, o que indica ausência de organização prévia para a realização do treinamento.
Diante do exposto, notificamos para fins de melhoria do processo e solicitamos a devida regularização, com definição e formalização de nova data para realização do treinamento.</t>
  </si>
  <si>
    <t xml:space="preserve">Falta ficha descritiva </t>
  </si>
  <si>
    <t>NC 3303 / 2026</t>
  </si>
  <si>
    <t>Informamos que o prontuário do paciente  F. T.S 343018retornou do setor de faturamento devido à pendência relacionada à ausência de ficha descritiva referente a um procedimento realizado anteriormente.
Conforme verificado, o procedimento em questão trata-se de drenagem torácica bilateral, realizado na Unidade de Pronto Atendimento (UPA), antes da admissão do paciente nesta instituição hospitalar.
Ressaltamos que a equipe médica do hospital não possui condições de elaborar a referida ficha descritiva, uma vez que o procedimento não foi executado nesta unidade, tendo o paciente já sido internado com o dreno torácico bilateral previamente instalado.
Dessa forma, orienta-se que a regularização da pendência seja solicitada junto à unidade de origem (UPA), responsável pela realização do procedimento.</t>
  </si>
  <si>
    <t>Caixa Cirúrgica sem Identificação e sem Checklist</t>
  </si>
  <si>
    <t>NC 3304 / 2026</t>
  </si>
  <si>
    <t>No dia 06/05/2026 às 19h30, a CME - Central de Material e Esterilização recebeu do Centro Cirúrgico uma caixa cirúrgica sem identificação externa e sem checklist/anexo de conferência do material. Ao ser realizado contato para esclarecimento da ocorrência, foi informado pelo Centro Cirúrgico que a caixa já teria saído da CME sem as respectivas etiquetas e sem checklist. Entretanto, observa-se inconsistência na informação apresentada, considerando que, mesmo a caixa estando embalada e sem identificação visível, foi informado o nome da mesma ( hernioplastia n°:03), bem como relatado pela equipe do centro cirurgico que teria sido realizada notificação prévia à CME, não havendo registro formal desta comunicação no setor até o presente momento.</t>
  </si>
  <si>
    <t>NC 3305 / 2026</t>
  </si>
  <si>
    <t>Sinalizo que, durante a conferência de materiais vencidos realizada no Arsenal de Material Esterilizado no dia 06/05 pela equipe noturna, foram identificados diversos materiais com validade expirada em 05/05/2026.
Ressalta-se que a não identificação e retirada desses materiais demonstra falha no processo de conferência e controle, evidenciando falta de atenção das equipes dos turnos diurno e noturno do dia 05/05, bem como da equipe diurna do dia 06/05/2026. Além de materiais violado a identificação.
[fig:vfs:1867]
[fig:vfs:1868]
[fig:vfs:1869]
[fig:vfs:1870]
[fig:vfs:1871]</t>
  </si>
  <si>
    <t>NC 3306 / 2026</t>
  </si>
  <si>
    <t>SINALIZO QUE AO REALIZARMOS O TERMINAL NOTURNO DAS SALAS, FOI IDENTIFICADO UMA AGULHA COM SERINGA USADA JUANTAMENTE CO FRASCO DE MIDAZOLAM NA SALA 05.
[fig:vfs:1872]</t>
  </si>
  <si>
    <t>NC 3307 / 2026</t>
  </si>
  <si>
    <t>Foi identificada divergência na identificação da caixa cirúrgica em relação às informações constantes no checklist documentação de conferência.
[fig:vfs:1873]
[fig:vfs:1874]
[fig:vfs:1875]
A identificação externa da caixa não condiz com o checklist apresentado, gerando dúvida quanto à correta composição do material, não sendo possível confirmar se trata-se de uma Caixa de Cesárea ou de uma Caixa Básica Ortopédica.</t>
  </si>
  <si>
    <t>Envio de comadre com resíduo fecal ao CME</t>
  </si>
  <si>
    <t>NC 3308 / 2026</t>
  </si>
  <si>
    <t>Encaminhada do setor UTI para o expurgo do CME uma comadre contendo resíduo fecal. Reforçamos que o envio de materiais com presença de resíduos orgânicos não é permitido, sendo necessária a realização da pré-limpeza no setor de origem antes do encaminhamento ao CME, conforme protocolo institucional de biossegurança.</t>
  </si>
  <si>
    <t>Falha no cumprimento do cronograma de manutenção preventiva</t>
  </si>
  <si>
    <t>NC 3309 / 2026</t>
  </si>
  <si>
    <t>Identificado que as manutenções preventivas das centrais de ar encontram-se vencidas e não estão sendo realizadas conforme cronograma estabelecido. A ausência das preventivas pode comprometer o adequado funcionamento dos equipamentos, a qualidade do ambiente e a segurança operacional dos setores.
Solicitamos alinhamento e regularização das manutenções pendentes, bem como acompanhamento do cronograma preventivo, a fim de evitar riscos assistenciais e não conformidades relacionadas ao sistema de climatização. Segue evidencia da sala de preparo</t>
  </si>
  <si>
    <t>Falha namanutenção preventiva da centrais de ar</t>
  </si>
  <si>
    <t>NC 3310 / 2026</t>
  </si>
  <si>
    <t>Identificado que as manutenções preventivas das centrais de ar encontram-se vencidas e não estão sendo realizadas conforme cronograma estabelecido. A ausência das preventivas pode comprometer o adequado funcionamento dos equipamentos, a qualidade do ambiente e a segurança operacional dos setores.
Solicitamos alinhamento e regularização das manutenções pendentes, bem como acompanhamento do cronograma preventivo, a fim de evitar riscos assistenciais e não conformidades relacionadas ao sistema de climatização.</t>
  </si>
  <si>
    <t>falha na manutencao preventiva das centrais de ar</t>
  </si>
  <si>
    <t>NC 3311 / 2026</t>
  </si>
  <si>
    <t>Identificado que as manutenções preventivas das centrais de ar encontram-se vencidas e não estão sendo realizadas conforme cronograma estabelecido. A ausência das preventivas pode comprometer o adequado funcionamento dos equipamentos, a qualidade do ambiente e a segurança operacional dos setores.
Solicitamos alinhamento e regularização das manutenções pendentes, bem como acompanhamento do cronograma preventivo, a fim de evitar riscos assistenciais e não conformidades relacionadas ao sistema de climatização. arsenal</t>
  </si>
  <si>
    <t>CAMPO SUJiDADE  DE SANGUE</t>
  </si>
  <si>
    <t>NC 3312 / 2026</t>
  </si>
  <si>
    <t>07/05/2026 As 11:20 Informamos que o setor do CME recebeu campos cirúrgicos contendo sujidade orgânica (sangue), em desacordo com o fluxo adequado de encaminhamento dos materiais para processamento.
Solicitamos maior atenção das equipes envolvidas quanto ao pré-tratamento e acondicionamento correto dos materiais, visando garantir a segurança dos colaboradores, a adequada limpeza dos artigos e o cumprimento das normas de biossegurança.
Contamos com a colaboração de todos para evitar novas ocorrências.</t>
  </si>
  <si>
    <t>Pendências de assinaturas</t>
  </si>
  <si>
    <t>NC 3313 / 2026</t>
  </si>
  <si>
    <t>Prezados,
Venho, por meio deste, relatar uma situação que o setor de Prontuário vem enfrentando e que tem causado impactos significativos no processo de faturamento da instituição.
Tem sido identificado, com frequência, que evoluções e registros realizados por profissionais de saúde, especialmente enfermeiros e técnicos de enfermagem, estão sendo inseridos nos prontuários sem as devidas assinaturas. Essa ausência de assinatura torna os documentos pendentes e sem validade legal e administrativa para conferência e fechamento do faturamento.
Como consequência, o setor de faturamento encontra dificuldades para concluir os processos dentro dos prazos estabelecidos, gerando atrasos, retrabalho e risco de glosas junto aos convênios e demais órgãos responsáveis.
Ressaltamos que o preenchimento correto e a assinatura das evoluções são responsabilidades essenciais para garantir a conformidade dos prontuários, a segurança das informações assistenciais e a regularidade do faturamento hospitalar.
Dessa forma, solicitamos a colaboração e o comprometimento de todos os profissionais envolvidos para que realizem as assinaturas dos registros imediatamente após as evoluções, evitando pendências e prejuízos aos fluxos administrativos da instituição.
Atenciosamente,</t>
  </si>
  <si>
    <t xml:space="preserve">ficha anestesica </t>
  </si>
  <si>
    <t>NC 3314 / 2026</t>
  </si>
  <si>
    <t>Informo que os prontuários F. R.O.S 343262, B. N.L.S 337867, J. Q. S 262209; foram encaminhados ao setor de faturamento para realização do faturamento dos procedimentos. Contudo, os mesmos foram devolvids ao setor de organização pelo faturamento, com a exigência de apresentação de uma ficha descritiva elaborada pelo médico responsável, relatando o procedimento realizado.
Conforme informações do médico, o procedimento necessitou apenas de anestesia local, não havendo necessidade de preenchimento de ficha anestésica, segundo sua avaliação profissional.
Diante da solicitação do faturamento, foi realizado contato com o médico para solicitar o preenchimento da ficha anestésica. Entretanto, o profissional se recusou a realizar o documento, informando que não elabora ficha anestésica em casos de procedimentos com anestesia local, por não considerar necessário.
O médico também informou que somente realizará tal documentação mediante solicitação formal encaminhada por e-mail ao seu setor/equipe responsável.</t>
  </si>
  <si>
    <t>Ficha Anestesica</t>
  </si>
  <si>
    <t>NC 3315 / 2026</t>
  </si>
  <si>
    <t>Informo que o prontuário ; foi encaminhado ao setor de faturamento para realização do faturamento dos procedimentos. 
Conforme informações do médico, o procedimento necessitou apenas de anestesia local, não havendo necessidade de preenchimento de ficha anestésica, segundo sua avaliação profissional.
Diante da solicitação do faturamento, foi realizado contato com o médico para solicitar o preenchimento da ficha anestésica. Entretanto, o profissional se recusou a realizar o documento, informando que não elabora ficha anestésica em casos de procedimentos com anestesia local, por não considerar necessário.
O médico também informou que somente realizará tal documentação mediante solicitação formal encaminhada por e-mail ao seu setor/equipe responsável.</t>
  </si>
  <si>
    <t>Atraso na Alimentação de Indicador - Abril 2026: Percentual de Atendimento (Processo)</t>
  </si>
  <si>
    <t>Brenda Carolina Maia de Souza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</si>
  <si>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[item:sas:bsc:indicator:139]
Data da Verificação: 08/05/2026 - Até o presente momento sem dados de Abril
[fig:vfs:1885]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</si>
  <si>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Perda Por Validade E Avarias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</si>
  <si>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[item:sas:bsc:indicator:692]
Data da Verificação: 08/05/2026 - Até o presente momento sem dados de Abril
[fig:vfs:1888]
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Percentual de Atendimento (Processo)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</si>
  <si>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Percentual de Acurácia de Alto Custo - Almoxarifado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</si>
  <si>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[item:sas:bsc:indicator:1696]
Data da Verificação: 08/05/2026 - Até o presente momento sem dados de Abril
[fig:vfs:1889]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</si>
  <si>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Número de Itens Solicitados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</si>
  <si>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[item:sas:bsc:indicator:274]
Data da Verificação: 08/05/2026 - Até o presente momento sem dados de Abril
[fig:vfs:1890]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</si>
  <si>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Percentual de Compras de Urgência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</si>
  <si>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[item:sas:bsc:indicator:349]
Data da Verificação: 08/05/2026 - Até o presente momento sem dados de Abril
[fig:vfs:1891]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</si>
  <si>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2026:Percentual de Desabastecimento de Medicamento e Material Médico Hospitalar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</si>
  <si>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[item:sas:bsc:indicator:491]
Data da Verificação: 08/05/2026 - Até o presente momento sem dados de Abril
[fig:vfs:1892]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</si>
  <si>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Cobertura De Estoque De Itens Críticos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</si>
  <si>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[item:sas:bsc:indicator:1726]
Data da Verificação: 08/05/2026 - Até o presente momento sem dados de Abril
[fig:vfs:1893]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</si>
  <si>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Percentual de Entrega de Compras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</si>
  <si>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[item:sas:bsc:indicator:1727]
Data da Verificação: 08/05/2026 - Até o presente momento sem dados de Abril
[fig:vfs:1894]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</si>
  <si>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Quantidade de Solicitações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</si>
  <si>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[item:sas:bsc:indicator:1707]
Data da Verificação: 08/05/2026 - Até o presente momento sem dados de Abril
[fig:vfs:1895]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</si>
  <si>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Índice de Disponibilidade dos Equipamentos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</si>
  <si>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[item:sas:bsc:indicator:1708]
Data da Verificação: 08/05/2026 - Até o presente momento sem dados de Abril
[fig:vfs:1896]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</si>
  <si>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Taxa de Conformidade de Limpeza Terminal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</si>
  <si>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[item:sas:bsc:indicator:561]
Data da Verificação: 08/05/2026 - Até o presente momento sem dados de Abril
[fig:vfs:1897]</t>
  </si>
  <si>
    <t>Atraso na Alimentação de Indicador - Abril 2026: Índice de Conformidade de Roupa Processada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</si>
  <si>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[fig:vfs:1899]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</si>
  <si>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Quantidade de Solicitações de Materiais e Medicamentos Recebidas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</si>
  <si>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[item:sas:bsc:indicator:1697]
Data da Verificação: 08/05/2026 - Até o presente momento sem dados de Abril
[fig:vfs:1900]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</si>
  <si>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Volume de Atendimentos Ocupacionais</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</si>
  <si>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[item:sas:bsc:indicator:1712]
Data da Verificação: 08/05/2026 - Até o presente momento sem dados de Abril
[fig:vfs:1901]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</si>
  <si>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Percentual de Inspeções de Segurança Realizadas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</si>
  <si>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[item:sas:bsc:indicator:1713]
Data da Verificação: 08/05/2026 - Até o presente momento sem dados de Abril
[fig:vfs:1902]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</si>
  <si>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Quantidades de Notas Fiscais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</si>
  <si>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[item:sas:bsc:indicator:1734]
Data da Verificação: 08/05/2026 - Até o presente momento sem dados de Abril
[fig:vfs:1903]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</si>
  <si>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Taxa de Entrega de Parecer no Prazo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</si>
  <si>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[item:sas:bsc:indicator:1735]
Data da Verificação: 08/05/2026 - Até o presente momento sem dados de Abril
[fig:vfs:1904]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</si>
  <si>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Percentual de Contratos com Documentação Completa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</si>
  <si>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[item:sas:bsc:indicator:1736]
Data da Verificação: 08/05/2026 - Até o presente momento sem dados de Abril
[fig:vfs:1905]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</si>
  <si>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Taxa de Renovação de Contratos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</si>
  <si>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[item:sas:bsc:indicator:1737]
Data da Verificação: 08/05/2026 - Até o presente momento sem dados de Abril
[fig:vfs:1906]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</si>
  <si>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Totais de Custos a Pagamento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</si>
  <si>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[item:sas:bsc:indicator:1718]
Data da Verificação: 08/05/2026 - Até o presente momento sem dados de Abril
[fig:vfs:1907]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</si>
  <si>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Taxa Conformidade de Documentos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</si>
  <si>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[item:sas:bsc:indicator:1719]
Data da Verificação: 08/05/2026 - Até o presente momento sem dados de Abril
[fig:vfs:1908]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</si>
  <si>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Índice de Pagamento no Vencimento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</si>
  <si>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[item:sas:bsc:indicator:1721]
Data da Verificação: 08/05/2026 - Até o presente momento sem dados de Abril
[fig:vfs:1909]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</si>
  <si>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Índice de Devolução de Itens Consignados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</si>
  <si>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[item:sas:bsc:indicator:1710]
Data da Verificação: 08/05/2026 - Até o presente momento sem dados de Abril
[fig:vfs:1910]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</si>
  <si>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2026:Taxa de Intercorrências com Materiais de OPME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</si>
  <si>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[item:sas:bsc:indicator:1711]
Data da Verificação: 08/05/2026 - Até o presente momento sem dados de Abril
[fig:vfs:1911]
[fig:vfs:1912]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</si>
  <si>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 Número de Solicitações de OPME Realizadas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</si>
  <si>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[item:sas:bsc:indicator:2048]
[fig:vfs:1913]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t>
  </si>
  <si>
    <t>Atraso na Alimentação de Indicador - Abril 2026:Número De Internações HGP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</si>
  <si>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[fig:vfs:1914]</t>
  </si>
  <si>
    <t>Atraso na Alimentação de Indicador - Abril 2026:Percentual de Pacientes em Longa Permanência (30 dias)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</si>
  <si>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[fig:vfs:1915]</t>
  </si>
  <si>
    <t>Atraso na Alimentação de Indicador - Abril 2026: Taxa de Recusa de Vaga (Médico Regulador Interno)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</si>
  <si>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[fig:vfs:1917]</t>
  </si>
  <si>
    <t>Atraso na Alimentação de Indicador - Abril 2026:  Taxa de Liberação de Leitos Para Transferência Externa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</si>
  <si>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[fig:vfs:1923]</t>
  </si>
  <si>
    <t>Atraso na Alimentação de Indicador - Abril 2026: Percentual de Altas Hospitalar Efetivadas Até Horário/Meta (Meio - dia)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</si>
  <si>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[fig:vfs:1919]</t>
  </si>
  <si>
    <t>Atraso na Alimentação de Indicador - Abril 2026: Taxa de Altas Impedidas por Pendência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</si>
  <si>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[fig:vfs:1920]</t>
  </si>
  <si>
    <t>Atraso na Alimentação de Indicador - Abril 2026: Taxa de suspensão de cirurgias por indisponibilidade de leito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</si>
  <si>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[fig:vfs:1921]</t>
  </si>
  <si>
    <t>Atraso na Alimentação de Indicador - Abril 2026: Taxa de Leito Operacional X Leito Bloqueado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</si>
  <si>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[fig:vfs:1922]</t>
  </si>
  <si>
    <t>Atraso na Alimentação de Indicador - Abril 2026: Taxa de Reinternação Geral em até 30 Dias</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</si>
  <si>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[fig:vfs:1924]</t>
  </si>
  <si>
    <t>Atraso na Alimentação de Indicador - Abril 2026: Número de Prontuários de Solicitações Particulares Entregue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</si>
  <si>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[fig:vfs:1925]</t>
  </si>
  <si>
    <t>Atraso na Alimentação de Indicador - Abril 2026: Número de Prontuários de Solicitações de Seguradoras Entregue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</si>
  <si>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[fig:vfs:1926]</t>
  </si>
  <si>
    <t>Atraso na Alimentação de Indicador - Abril 2026: Taxa de Não Entrega de Prontuários ao Requerente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</si>
  <si>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[fig:vfs:1927]</t>
  </si>
  <si>
    <t>Atraso na Alimentação de Indicador - Abril 2026: Total de Prontuários Solicitados ao SPP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</si>
  <si>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[fig:vfs:1928]</t>
  </si>
  <si>
    <t>Atraso na Alimentação de Indicador - Abril 2026: Taxa de Prontuários Não Localizados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</si>
  <si>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[fig:vfs:1929]</t>
  </si>
  <si>
    <t>Atraso na Alimentação de Indicador - Abril 2026: Tempo Médio de Localização e Entrega de Prontuário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</si>
  <si>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[fig:vfs:1930]</t>
  </si>
  <si>
    <t>Atraso na Alimentação de Indicador - Abril 2026: Percentual de Entrega de Prontuários Dentro do Prazo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</si>
  <si>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[fig:vfs:1931]</t>
  </si>
  <si>
    <t>Atraso na Alimentação de Indicador - Abril 2026:  Total de Prontuários Digitalizados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</si>
  <si>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[fig:vfs:1932]</t>
  </si>
  <si>
    <t>Atraso na Alimentação de Indicador - Abril 2026: Total de Prontuarios Encaminhados ao Faturamento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</si>
  <si>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[fig:vfs:1933]</t>
  </si>
  <si>
    <t>Atraso na Alimentação de Indicador - Abril 2026: Taxa de prontuários Conformes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</si>
  <si>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[fig:vfs:1934]</t>
  </si>
  <si>
    <t>Atraso na Alimentação de Indicador - Abril 2026: Cobertura de Postos de Acesso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</si>
  <si>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[fig:vfs:1935]</t>
  </si>
  <si>
    <t>Atraso na Alimentação de Indicador - Abril 2026: Disponibilidade de Equipe por Turno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</si>
  <si>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[fig:vfs:1936]</t>
  </si>
  <si>
    <t>Atraso na Alimentação de Indicador - Abril 2026: Funcionamento das Catracas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</si>
  <si>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[fig:vfs:1937]</t>
  </si>
  <si>
    <t>Atraso na Alimentação de Indicador - Abril 2026: Total de Acesso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</si>
  <si>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[fig:vfs:1938]</t>
  </si>
  <si>
    <t>Atraso na Alimentação de Indicador - Abril 2026: Percentual de Rondas /verificações de Acesso Realizadas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</si>
  <si>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[fig:vfs:1939]</t>
  </si>
  <si>
    <t>Atraso na Alimentação de Indicador - Abril 2026:  Taxa de Acesso Não Autorizados Interceptados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</si>
  <si>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[fig:vfs:1940]</t>
  </si>
  <si>
    <t>Atraso na Alimentação de Indicador - Abril 2026: Taxa de Ocorrências Relacionadas a Falha no Controle de Acesso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</si>
  <si>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[fig:vfs:1941]</t>
  </si>
  <si>
    <t>Atraso na Alimentação de Indicador - Abril 2026:  Taxa de Invasão ou Entrada Indevida em Áreas Restritas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</si>
  <si>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[fig:vfs:1942]</t>
  </si>
  <si>
    <t>Atraso na Alimentação de Indicador - Abril 2026: Quantitativo de TRansporte Realizado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</si>
  <si>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[fig:vfs:1943]</t>
  </si>
  <si>
    <t>Atraso na Alimentação de Indicador - Abril 2026: Cobertura de Maqueiro por Turno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</si>
  <si>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[fig:vfs:1944]</t>
  </si>
  <si>
    <t>Atraso na Alimentação de Indicador - Abril 2026: Taxa de Ambulâncias Aptas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</si>
  <si>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[fig:vfs:1945]</t>
  </si>
  <si>
    <t>Atraso na Alimentação de Indicador - Abril 2026: Disponibilidade de Macas e Cadeiras de Rodas Operacionais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</si>
  <si>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[fig:vfs:1946]</t>
  </si>
  <si>
    <t>Atraso na Alimentação de Indicador - Abril 2026: Taxa de Transporte com Classificação de Risco Registrada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</si>
  <si>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[fig:vfs:1947]</t>
  </si>
  <si>
    <t>Atraso na Alimentação de Indicador - Abril 2026:Taxa de Transporte de Emergência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</si>
  <si>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[fig:vfs:1948]</t>
  </si>
  <si>
    <t>Atraso na Alimentação de Indicador - Abril 2026:Tempo Médio de Transporte Extra Hospitalar (Demandas do HGP)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</si>
  <si>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[fig:vfs:1949]</t>
  </si>
  <si>
    <t>Atraso na Alimentação de Indicador - Abril 2026:Taxa de Intercorrências no Transporte IntraHospitalar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</si>
  <si>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[fig:vfs:1950]</t>
  </si>
  <si>
    <t>Atraso na Alimentação de Indicador - Abril 2026: Taxa de Transporte Resolutivo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</si>
  <si>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[fig:vfs:1951]</t>
  </si>
  <si>
    <t>Atraso na Alimentação de Indicador - Abril 2026: Consumo de Resíduos Infectantes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</si>
  <si>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[fig:vfs:1952]</t>
  </si>
  <si>
    <t>Atraso na Alimentação de Indicador - Abril 2026: Índice de Resíduo Infectantes por Paciente Dia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</si>
  <si>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[fig:vfs:1953]</t>
  </si>
  <si>
    <t>Atraso na Alimentação de Indicador - Abril 2026:  Número de casos suspeitos de Doenças e Agravos de Notificações Compulsórias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</si>
  <si>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[fig:vfs:1954]</t>
  </si>
  <si>
    <t>Atraso na Alimentação de Indicador - Abril 2026: Proporção de Mortalidade Institucional por Doenças e Agravos de Notificação Compulsória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</si>
  <si>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[fig:vfs:1955]</t>
  </si>
  <si>
    <t>Atraso na Alimentação de Indicador - Abril 2026:Proporção de Óbitos Maternos Investigados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</si>
  <si>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[fig:vfs:1956]</t>
  </si>
  <si>
    <t>Atraso na Alimentação de Indicador - Abril 2026:Proporção de Óbitos Infantis e Fetais Investigados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</si>
  <si>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[fig:vfs:1957]</t>
  </si>
  <si>
    <t>Atraso na Alimentação de Indicador - Abril 2026:Proporção de Óbitos de Mulheres em Idade Fértil (MIF) (Porcesso)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</si>
  <si>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[fig:vfs:1958]</t>
  </si>
  <si>
    <t>Atraso na Alimentação de Indicador - Abril 2026: PE Protocolo - Sepse- Tempo para Antibioticoterapia na Sepse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</si>
  <si>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[fig:vfs:1959]</t>
  </si>
  <si>
    <t>Atraso na Alimentação de Indicador - Abril 2026: PE Protocolo - Sepse - Taxa de Mortalidade em Sepse e Choque Séptico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</si>
  <si>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[fig:vfs:1960]</t>
  </si>
  <si>
    <t>Atraso na Alimentação de Indicador - Abril 2026: Total de pacientes internados na CGO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</si>
  <si>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[fig:vfs:1961]</t>
  </si>
  <si>
    <t>Atraso na Alimentação de Indicador - Abril 2026: Total de Internação de recém-nascidos em alojamento conjunto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</si>
  <si>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[fig:vfs:1962]</t>
  </si>
  <si>
    <t xml:space="preserve"> Atraso na Alimentação de Indicador - Abril 2026:  Taxa de tempo médio de internação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</si>
  <si>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[fig:vfs:1963]</t>
  </si>
  <si>
    <t>Atraso na Alimentação de Indicador - Abril 2026:  Taxa de Reinternação em 45 dias - Clínica Gineco Obstétrica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</si>
  <si>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[fig:vfs:1964]</t>
  </si>
  <si>
    <t>Atraso na Alimentação de Indicador - Abril 2026:  Taxa de acompanhamento por partograma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</si>
  <si>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[fig:vfs:1965]</t>
  </si>
  <si>
    <t>Atraso na Alimentação de Indicador - Abril 2026: Taxa De Aleitamento Materno Exclusivo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</si>
  <si>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[fig:vfs:1966]</t>
  </si>
  <si>
    <t>Atraso na Alimentação de Indicador - Abril 2026:  Número de Hemorragia Pós - Parto Mensal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</si>
  <si>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[fig:vfs:1968]</t>
  </si>
  <si>
    <t>Atraso na Alimentação de Indicador - Abril 2026:Taxa de Amamentação na Primeira Hora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</si>
  <si>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[fig:vfs:1969]</t>
  </si>
  <si>
    <t>Atraso na Alimentação de Indicador - Abril 2026:Taxa de Transferência para Centro Cirúrgico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</si>
  <si>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[fig:vfs:1970]</t>
  </si>
  <si>
    <t>Atraso na Alimentação de Indicador - Abril 2026: Taxa de Hemorragia Pós Parto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</si>
  <si>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[fig:vfs:1971]</t>
  </si>
  <si>
    <t>Atraso na Alimentação de Indicador - Abril 2026: Nº de Atendimentos no Centro de Parto Normal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</si>
  <si>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[fig:vfs:1972]</t>
  </si>
  <si>
    <t>Atraso na Alimentação de Indicador - Abril 2026:Taxa de Intervenção Obstétrica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</si>
  <si>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[fig:vfs:1973]</t>
  </si>
  <si>
    <t>Atraso na Alimentação de Indicador - Abril 2026:Taxa de Ocupação na Sala Vermelha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</si>
  <si>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[fig:vfs:1974]</t>
  </si>
  <si>
    <t>Atraso na Alimentação de Indicador - Abril 2026: Taxa de Tempo Porta-Médico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</si>
  <si>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[fig:vfs:1975]</t>
  </si>
  <si>
    <t>Atraso na Alimentação de Indicador - Abril 2026: Taxa de Testagem Positivas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</si>
  <si>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[fig:vfs:1976]</t>
  </si>
  <si>
    <t>Atraso na Alimentação de Indicador - Abril 2026:  Tempo Médio de Permanência - Clínica Pediátrica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</si>
  <si>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[fig:vfs:1977]</t>
  </si>
  <si>
    <t>Atraso na Alimentação de Indicador - Abril 2026: Taxa de Mortalidade - Clínica Pediátrica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</si>
  <si>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[fig:vfs:1978]</t>
  </si>
  <si>
    <t>Atraso na Alimentação de Indicador - Abril 2026: Taxa de Reinternação em 30 Dias - Clínica Pediátrica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</si>
  <si>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[fig:vfs:1979]</t>
  </si>
  <si>
    <t>não cumprimento do fluxo estabelecido entre supervisões</t>
  </si>
  <si>
    <t>NC 3404 / 2026</t>
  </si>
  <si>
    <t>boa tarde, deixo registrado que o cc continua não cumprindo o fluxo para encaminhar paciente para setor cgo2
um fluxo estabelecido entre supervisões
não conformidade a supervisora orienta que notifiquemos
paciente foi encaminhada sem DNV do RN, um pressa para equipe buscar, ainda vai sem dnv feita</t>
  </si>
  <si>
    <t>não conformidade na aplicação de ficha de orientação</t>
  </si>
  <si>
    <t>NC 3405 / 2026</t>
  </si>
  <si>
    <t>Em 07/05/ 2026, aproximadamente às 18:00 h, no setor CGO2, foi realizada aplicação de fichas de orientação sobre não conformidades do setor aos técnicos de enfermagem.
O ato ocorreu na presença de alunos de enfermagem em campo de estágio, que foram convidados pela supervisora do CGO2, acompanhar a abordagem.
A exposição de falhas individuais/coletivas da equipe na frente de discentes gerou constrangimento, fere a dignidade profissional e pode caracterizar situação vexatória, em desacordo com o Código de Ética de Enfermagem.
A presença de alunos em momento de correção de FLUXO INTERNO pode prejudicar o aprendizado sobre sigilo e gestão de conflitos, além de impactar o clima organizacional e a segurança psicológica da equipe.
Sugestão de melhoria:
Solicito que orientações sobre erros e fluxos sejam realizadas em ambiente reservado, apenas com os profissionais envolvidos, preservando o sigilo e a dignidade.
Treinamentos com alunos devem ocorrer em momentos pedagógicos distintos, sem vinculação a falhas específicas de profissionais.
Objetivo desta notificação:
Contribuir para a cultura de segurança, para a educação permanente ética e para a preservação do ambiente profissional saudável.
Solicito sigilo quanto à minha identificação, se possível, conforme direito do notificador.</t>
  </si>
  <si>
    <t>Atraso na Alimentação de Indicador - Abril 2026:Taxa de Mortalidade - UCI Neonatal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</si>
  <si>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[fig:vfs:1982]</t>
  </si>
  <si>
    <t>Atraso na Alimentação de Indicador - Abril 2026: Taxa de Reinternação em 24 horas - UCI Neonatal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</si>
  <si>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[fig:vfs:1983]</t>
  </si>
  <si>
    <t>Atraso na Alimentação de Indicador - Abril 2026: Número de Pacientes Internados na UCI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</si>
  <si>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[fig:vfs:1984]</t>
  </si>
  <si>
    <t>Atraso na Alimentação de Indicador - Abril 2026: Taxa de Pacientes em Aleitamento Materno Exclusivo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</si>
  <si>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[fig:vfs:1985]</t>
  </si>
  <si>
    <t>Atraso na Alimentação de Indicador - Abril 2026: Taxa de Transferência para UTI NEO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</si>
  <si>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[fig:vfs:1986]</t>
  </si>
  <si>
    <t>Atraso na Alimentação de Indicador - Abril 2026: Auditorias dos Processos Laboratoriais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</si>
  <si>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[fig:vfs:1987]</t>
  </si>
  <si>
    <t>Atraso na Alimentação de Indicador - Abril 2026:  Taxa de Exames Retificados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</si>
  <si>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[fig:vfs:1988]</t>
  </si>
  <si>
    <t>Atraso na Alimentação de Indicador - Abril 2026: Auditoria Não Conformidade Transfusional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</si>
  <si>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[fig:vfs:1989]</t>
  </si>
  <si>
    <t>Atraso na Alimentação de Indicador - Abril 2026:  Taxa de Reoperação em até 30 dias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</si>
  <si>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[fig:vfs:1990]</t>
  </si>
  <si>
    <t>Atraso na Alimentação de Indicador - Abril 2026: Disponibilidade de Equipamentos Críticos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</si>
  <si>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[fig:vfs:1991]</t>
  </si>
  <si>
    <t>Atraso na Alimentação de Indicador - Abril 2026:  Índice de Falha em Indicadores Químicos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</si>
  <si>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[fig:vfs:1992]</t>
  </si>
  <si>
    <t>Atraso na Alimentação de Indicador - Abril 2026: Índice de Falha em Indicadores Biológicos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</si>
  <si>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[fig:vfs:1993]</t>
  </si>
  <si>
    <t>Atraso na Alimentação de Indicador - Abril 2026: Índice de Não Conformidade na Embalagem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</si>
  <si>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[fig:vfs:1994]</t>
  </si>
  <si>
    <t>Atraso na Alimentação de Indicador - Abril 2026:Taxa de conformidade de esterilização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</si>
  <si>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[fig:vfs:1995]</t>
  </si>
  <si>
    <t>Atraso na Alimentação de Indicador - Abril 2026: Taxa de Conformidade do Processo de Limpeza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</si>
  <si>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[fig:vfs:1996]</t>
  </si>
  <si>
    <t>Atraso na Alimentação de Indicador - Abril 2026: Quantidade de Voluntários Ativos no Período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</si>
  <si>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[fig:vfs:1997]</t>
  </si>
  <si>
    <t>Atraso na Alimentação de Indicador - Abril 2026:Número de Profissionais Vinculados (Estrutura)</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</si>
  <si>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[fig:vfs:1998]</t>
  </si>
  <si>
    <t>Atraso na Alimentação de Indicador - Abril 2026: Registro e Acompanhamento das Atividades Acadêmicas (Processo)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</si>
  <si>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[fig:vfs:1999]</t>
  </si>
  <si>
    <t>Atraso na Alimentação de Indicador - Abril 2026: Avaliação de Desempenho dos Internos/residentes (Resultado)</t>
  </si>
  <si>
    <t>Formalizo, por meio deste registro, o descumprimento do prazo de alimentação de dados previsto no Contrato de Interação de Processos vigente nesta instituição.
Conforme as diretrizes de gestão de indicadores, o prazo limite para a inserção de dados no sistema é o dia 05 de cada mês. No entanto, consta em sistema a seguinte pendência relativa ao ciclo de Abril
Data da Verificação: 08/05/2026 -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[fig:vfs:2000]</t>
  </si>
  <si>
    <t>FALTA INSUMOS NAS MALETAS DE PARTO NORMAL DO CPN</t>
  </si>
  <si>
    <t>NC 3425 / 2026</t>
  </si>
  <si>
    <t>Informo a identificação de falta de insumos nas maletas de parto normal do CPN(insumos: agulha, medicações, seringas, luvas, fio de sutura e etc.)(Centro de Parto Normal) durante conferência de rotina. A ausência de materiais essenciais pode comprometer a assistência segura e imediata às parturientes, sendo necessária reposição urgente e revisão do controle de estoque, solicito providências para regularização e reforço na checagem periódica das maletas.</t>
  </si>
  <si>
    <t>ENTRADA INDEVIDA DE MULTIPLOS ACOMPANHANTES NO CPN</t>
  </si>
  <si>
    <t>NC 3426 / 2026</t>
  </si>
  <si>
    <t>Informo que tem sido observada a entrada de mais de um acompanhante junto às gestantes, liberada pela portaria, o que tem gerado aglomeração e desorganização no setor, essa situação compromete o fluxo de atendimento, a privacidade das pacientes e a segurança da assistência. Solicito alinhamento com a equipe da portaria quanto ao cumprimento das normas institucionais, permitindo apenas o número de acompanhantes preconizado.</t>
  </si>
  <si>
    <t>CONDIÇÕES DE ACESSO VENOSO EM GESTANTES QUE SÃO ENCAMINHADAS AO CPN</t>
  </si>
  <si>
    <t>NC 3427 / 2026</t>
  </si>
  <si>
    <t>Informo que têm sido recebidas gestantes provenientes do PAM com acessos venosos em condições inadequadas, incluindo fixação excessiva com esparadrapo e posicionamento inadequado do dispositivo, tal situação pode comprometer a avaliação do acesso, dificultar sua manutenção adequada e causar desconforto à paciente, além de impactar na segurança da assistência. Solicita-se atenção quanto à técnica de punção, escolha do local e fixação adequada, garantindo melhores condições para continuidade do cuidado.</t>
  </si>
  <si>
    <t>Notificação de Envio de Material Danificado ao CME</t>
  </si>
  <si>
    <t>NC 3428 / 2026</t>
  </si>
  <si>
    <t>Informamos que, no dia 08/05/2026, às 19h00, foi encaminhado ao CME, proveniente do Centro Cirúrgico, um balão de borracha pertencente ao carrinho de anestesia apresentando rasgo e sem identificação ou justificativa referente à avaria.
Ressaltamos que este material já se encontra em quantidade reduzida no setor, tornando necessária maior atenção quanto ao manuseio, acondicionamento e comunicação de possíveis danos, a fim de evitar prejuízos ao abastecimento e continuidade da assistência.</t>
  </si>
  <si>
    <t>Notificação de Envio Inadequado de Material ao CME</t>
  </si>
  <si>
    <t>NC 3429 / 2026</t>
  </si>
  <si>
    <t>Informamos que, no dia 08/05/2026, às 18h00, o Centro de Material e Esterilização (CME) recebeu do Centro Cirúrgico uma camisa de microscópio acondicionada inadequadamente dentro de uma caixa de tímpano.
Ressaltamos que campos cirúrgicos e materiais têxteis devem ser encaminhados diretamente à lavanderia, conforme fluxo institucional estabelecido, não sendo o CME o setor responsável pelo processamento deste tipo de material.
O acondicionamento e encaminhamento incorreto podem ocasionar danos aos artigos, dificultar a organização dos setores e comprometer o fluxo adequado dos materiais hospitalares.</t>
  </si>
  <si>
    <t>NC 3430 / 2026</t>
  </si>
  <si>
    <t>ATRASO EM PROCEDIMENTO CIRÚRGICO</t>
  </si>
  <si>
    <t>NC 3431 / 2026</t>
  </si>
  <si>
    <t>PACIENTE MENOR, 11 MESES, (T.C.F - 354583) PROVENIENTE DA UCI NEO COM PROCEDIMENTO ELETIVO DE GASTROSTOMIA ELETIVA.
DEVIDO AO PACIENTE ENCONTRAR-SE INTUBADO, FOI SOLICITADO PREVIAMENTE À EQUIPE DO SETOR DE ORIGEM, ÀS 8H20MIN, O PREPARO ANTECIPADO PARA TRANSPORTE, CONSIDERANDO PROGRAMAÇÃO CIRÚRGICA VIGENTE E ALINHAMENTO PRÉVIO REALIZADO ENTRE CC E UNIDADE DE ORIGEM, VISANDO EVITAR ATRASOS NO FLUXO CIRÚRGICO. 
ANTES DA SOLICITAÇÃO DO PACIENTE AO BLOCO CIRÚRGICO, A EQUIPE DA UCI INFORMOU INTERCORRÊNCIA CLINICA COM O MENOR. O CIRURGIÃO PEDIATRA AVALIOU O PACIENTE E APÓS A ESTABILIZAÇÃO DO QUADRO CONFIRMOU À EQUIPE DO SETOR DE ORIGEM, O SEGUIMENTO DA PROGRAMAÇÃO CIRÚRGICA.
ÀS 10H20MIN, APÓS LIBERAÇÃO DA SALA CIRÚRGICA E CONFIRMAÇÃO MÉDICA PARA PROSSEGUIMENTO DA CIRURGIA, FOI SOLICITADO ENCAMINHAMENTO DO PACIENTE AO CENTRO CIRÚRGICO. NESTE MOMENTO, A ENFERMEIRA DA UCI NEO INFORMOU QUE O FISIOTERAUPETA HAVIA INICIADO APENAS NAQUELE MOMENTO A MONTAGEM DO VENTILADOR MECÂNICO DE TRANSPORTE. 
DEVIDO A DEMORA NA PREPARAÇÃO DO EQUIPAMENTO NECESSÁRIO PARA TRANSPORTE SEGURO DO PACIENTE INTUBADO, HOUVE ATRASO NO ENCAMINHAMENTO, COM ENTRADA EM SALA ÀS 10H50MIN E INICIO DO PROCEDIMENTO ÁS 11H00MIN. 
SALIENTA-SE QUE, APESAR DO CURTO INTERVALO DE ATRASO, A SITUAÇÃO IMPACTA DIRETAMENTE NO FLUXO CIRÚRGICO INSTITUCIONAL, PROGRAMAÇÃO DAS SALAS SUBSEQUENTES E TEMPO DE PERMANÊNCIA DOS PACIENTES EM PRÉ-OPERATÓRIO.</t>
  </si>
  <si>
    <t>Falha de processo / Comunicação</t>
  </si>
  <si>
    <t>NC 3432 / 2026</t>
  </si>
  <si>
    <t>Tipo de evento: Falha de processo / Comunicação
Data da ocorrência: 09/05/2026  Hora:17:51 (via whatsapp)
*Setor notificador: CGO2
*Setor envolvido: Centro Cirúrgico
DESCRIÇÃO DO FATO
Paciente: I.P. S
Prontuário: 22876
Proveniente do Centro Cirúrgico, foi encaminhado para esta unidade no dia 09/05/206  às 18:00 em desacordo com o fluxo estabelecido entre as supervisões.
Não conformidade identificada:
Paciente encaminhado sem comunicação prévia/enfermeiro não avisado, conforme fluxo estabelecido entre os supervisores dos setores.
CONSEQUÊNCIA / RISCO GERADO
Atraso na assistência
Sobrecarga da equipe que recebeu sem preparo
AÇÃO IMEDIATA TOMADA PELA UNIDADE
Paciente admitido, prescrição checada, familiares orientados, prescrição desce em cima de encerrar o plantão, farmácia reclama, gera notificação do setor.
SUGESTÃO DE BARREIRA / MELHORIA
Para evitar recorrência, sugere-se: Revisar o fluxo estabelecido de alta da RPA com toda equipe do CC em educação continuada.
Objetivo da notificação: Contribuir para a segurança do paciente e alinhamento dos processos assistenciais entre setores, conforme Metas Internacionais de Segurança nº 2: Comunicação</t>
  </si>
  <si>
    <t>NC 3433 / 2026</t>
  </si>
  <si>
    <t>Informamos a ocorrência  referente ao encaminhamento de paciente realizado pelo setor PAM ao Centro Cirúrgico sem a devida autorização prévia do setor responsável.</t>
  </si>
  <si>
    <t>FREIO DE CONEXÃO DA MESA DE PARTO (DEFEITO)</t>
  </si>
  <si>
    <t>NC 3434 / 2026</t>
  </si>
  <si>
    <t>Informo que até o presente momento não foi realizada a manutenção dos freios da conexão da mesa de parto, permanecendo o equipamento em condições inadequadas de uso, ressalto que tal situação compromete a segurança da assistência prestada à paciente e à equipe, sendo necessária a resolução com urgência.
Solicito providências imediatas.</t>
  </si>
  <si>
    <t>NC 3435 / 2026</t>
  </si>
  <si>
    <t>Segundo lap cirúrgico que veio contendo apenas 1 campo, o que nos motiva ainda mais a buscar melhorias contínuas no ambiente de trabalho, sempre visando mais organização, eficiência e qualidade na assistência prestada.</t>
  </si>
  <si>
    <t>Conclusão das correções de CNES - Hospital Geral de Parauapebas</t>
  </si>
  <si>
    <t>NC 3436 / 2026</t>
  </si>
  <si>
    <t>Informo que as correções dos erros de CNES, solicitadas por e-mail no dia 04/05, já foram devidamente finalizadas.
Embora esta tarefa estivesse sob responsabilidade de vocês, optei por realizar os ajustes pessoalmente para evitar maiores atrasos no cronograma de faturamento do HGP. No entanto, peço o apoio de vocês nas próximas demandas para que cada setor consiga cumprir suas etapas dentro do prazo, garantindo o fluxo correto do nosso trabalho.</t>
  </si>
  <si>
    <t>SUJIDADES</t>
  </si>
  <si>
    <t>NC 3437 / 2026</t>
  </si>
  <si>
    <t>Durante a abertura da luva estéril, foi identificada presença de sujidades no material, comprometendo a integridade e a segurança do processo asséptico. Diante disso, o item foi imediatamente descartado e realizada a substituição por novo material estéril, conforme protocolo de segurança e controle de infecção."</t>
  </si>
  <si>
    <t>Atraso na Análise do Indicador - Abril 2026: Quantidade de Itens Solicitados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</si>
  <si>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[fig:vfs:2009]</t>
  </si>
  <si>
    <t>Atraso na Análise do Indicador - Abril 2026: Percentual de Atendimento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</si>
  <si>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[fig:vfs:2010]</t>
  </si>
  <si>
    <t>Atraso na Análise do Indicador - Abril 2026: Perda Por Validade E Avarias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</si>
  <si>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[fig:vfs:2012]</t>
  </si>
  <si>
    <t>Atraso na Análise do Indicador - Abril 2026: Percentual de Acurácia de Alto Custo - Almoxarifado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</si>
  <si>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alimentação seja realizada imediatamente para minimizar o impacto no fechamento do período.
[fig:vfs:2013]</t>
  </si>
  <si>
    <t>Atraso na Análise do Indicador - Abril 2026: Quantidade de Ordens de Serviços Solicitados (Estrurua)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</si>
  <si>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[fig:vfs:2014]</t>
  </si>
  <si>
    <t>Atraso na Análise do Indicador - Abril 2026: Quantidade de Bens Movimentados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</si>
  <si>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[fig:vfs:2015]</t>
  </si>
  <si>
    <t>Atraso na Análise do Indicador - Abril 2026: Quantidade de Bens Recuperados de Depósito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</si>
  <si>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[fig:vfs:2016]</t>
  </si>
  <si>
    <t>Atraso na Análise do Indicador - Abril 2026: Ordens de Serviço Aberta x Finalizadas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</si>
  <si>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[fig:vfs:2017]</t>
  </si>
  <si>
    <t>Atraso na Análise do Indicador - Abril 2026: Percentual de Tempo de Atendimento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</si>
  <si>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[fig:vfs:2018]</t>
  </si>
  <si>
    <t>Atraso na Análise do Indicador - Abril 2026: Percentual de de Resolutividade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</si>
  <si>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[fig:vfs:2019]</t>
  </si>
  <si>
    <t>Atraso na Análise do Indicador - Abril 2026: Número de Itens Solicitados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</si>
  <si>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[fig:vfs:2020]</t>
  </si>
  <si>
    <t>Atraso na Análise do Indicador - Abril 2026: Percentual de Compras de Urgência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</si>
  <si>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[fig:vfs:2021]</t>
  </si>
  <si>
    <t>Atraso na Análise do Indicador - Abril 2026: Percentual de Desabastecimento de Medicamento e Material Médico Hospitalar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</si>
  <si>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[fig:vfs:2022]</t>
  </si>
  <si>
    <t>Atraso na Análise do Indicador - Abril 2026: Cobertura De Estoque De Itens Críticos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</si>
  <si>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[fig:vfs:2023]</t>
  </si>
  <si>
    <t>Atraso na Análise do Indicador - Abril 2026: Percentual de Entrega de Compras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</si>
  <si>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[fig:vfs:2024]</t>
  </si>
  <si>
    <t>Atraso na Análise do Indicador - Abril 2026: Quantidade de Solicitações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</si>
  <si>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[fig:vfs:2025]</t>
  </si>
  <si>
    <t>Atraso na Análise do Indicador - Abril 2026: Índice de Disponibilidade dos Equipamentos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</si>
  <si>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[fig:vfs:2026]</t>
  </si>
  <si>
    <t>Atraso na Análise do Indicador - Abril 2026: Taxa de Renovação de Equipamentos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</si>
  <si>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[fig:vfs:2027]</t>
  </si>
  <si>
    <t>Atraso na Análise do Indicador - Abril 2026: Índice de Conformidade de Roupa Processada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</si>
  <si>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[fig:vfs:2029]</t>
  </si>
  <si>
    <t>Atraso na Análise do Indicador - Abril 2026:Índice de Ordens de Serviços Solicitados x Realizadas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</si>
  <si>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[fig:vfs:2032]</t>
  </si>
  <si>
    <t>Atraso na Análise do Indicador - Abril 2026: Taxa Cumprimento do Plano de Manutenção Preventiva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</si>
  <si>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[fig:vfs:2033]</t>
  </si>
  <si>
    <t>Atraso na Análise do Indicador - Abril 2026:  Índice de OS Finalizados no Prazo (Infraestrutura)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</si>
  <si>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[fig:vfs:2034]</t>
  </si>
  <si>
    <t>Atraso na Análise do Indicador - Abril 2026:  Índice de Reestruturação da Infraestrutura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</si>
  <si>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[fig:vfs:2035]</t>
  </si>
  <si>
    <t>Atraso na Análise do Indicador - Abril 2026: Índice de Manutenção Preventiva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</si>
  <si>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[fig:vfs:2036]</t>
  </si>
  <si>
    <t>Atraso na Análise do Indicador - Abril 2026: Taxa de Cumprimento do Cardápio Planejado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</si>
  <si>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[fig:vfs:2038]</t>
  </si>
  <si>
    <t>Atraso na Análise do Indicador - Abril 2026:  Taxa de Erro de Montagem de Fita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</si>
  <si>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[fig:vfs:2039]</t>
  </si>
  <si>
    <t>Atraso na Análise do Indicador - Abril 2026: Quantidade de Solicitações de Materiais e Medicamentos Recebidas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</si>
  <si>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[fig:vfs:2040]</t>
  </si>
  <si>
    <t>Divergência na data de alta - Prontuário nº 349772</t>
  </si>
  <si>
    <t>NC 3465 / 2026</t>
  </si>
  <si>
    <t>Divergência identificada no sistema MV referente ao prontuário nº 349772.
Conforme registro em prontuário, a alta hospitalar do paciente ocorreu em 24/04, porém no sistema MV a alta foi encerrada na data de 28/04.</t>
  </si>
  <si>
    <t>Atraso na Análise do Indicador - Abril 2026: Taxa de Alcance das Ações do Núcleo de Bem-Estar e Saúde do Colaborador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</si>
  <si>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[fig:vfs:2043]</t>
  </si>
  <si>
    <t>Atraso na Análise do Indicador - Abril 2026:  Volume de Atendimentos Ocupacionais</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</si>
  <si>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[fig:vfs:2044]</t>
  </si>
  <si>
    <t>Atraso na Análise do Indicador - Abril 2026: Percentual de Inspeções de Segurança Realizadas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</si>
  <si>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[fig:vfs:2045]</t>
  </si>
  <si>
    <t>Atraso na Análise do Indicador - Abril 2026: Índice de Afastamentos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</si>
  <si>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[fig:vfs:2046]</t>
  </si>
  <si>
    <t>Atraso na Análise do Indicador - Abril 2026: Quantidades de Notas Fiscais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</si>
  <si>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[fig:vfs:2047]</t>
  </si>
  <si>
    <t>Atraso na Análise do Indicador - Abril 2026: Taxa de Entrega de Parecer no Prazo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</si>
  <si>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[fig:vfs:2048]</t>
  </si>
  <si>
    <t>Atraso na Análise do Indicador - Abril 2026: Percentual de Contratos com Documentação Completa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</si>
  <si>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[fig:vfs:2049]</t>
  </si>
  <si>
    <t>Atraso na Análise do Indicador - Abril 2026: Taxa de Renovação de Contratos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</si>
  <si>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[fig:vfs:2050]</t>
  </si>
  <si>
    <t>Atraso na Análise do Indicador - Abril 2026: Taxa de Conformidade dos Prontuários Auditados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</si>
  <si>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[fig:vfs:2051]</t>
  </si>
  <si>
    <t>Atraso na Análise do Indicador - Abril 2026: Totais de Custos a Pagamento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</si>
  <si>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[fig:vfs:2055]</t>
  </si>
  <si>
    <t>Atraso na Análise do Indicador - Abril 2026:  Taxa Conformidade de Documentos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</si>
  <si>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11/05/2026 -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[fig:vfs:2056]</t>
  </si>
  <si>
    <t xml:space="preserve">sujidades presentes no material </t>
  </si>
  <si>
    <t>NC 3477 / 2026</t>
  </si>
  <si>
    <t>Durante a organização da sala, ao manusear a lâmina de laringoscópio, foram identificadas sujidades presentes no material, configurando não conformidade no processo de limpeza e desinfecção, com potencial comprometimento da segurança e da saúde da paciente</t>
  </si>
  <si>
    <t>NC 3478 / 2026</t>
  </si>
  <si>
    <t>Atraso na Análise do Indicador - Abril 2026: Índice de Pagamento no Vencimento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</si>
  <si>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[fig:vfs:2057]</t>
  </si>
  <si>
    <t>Atraso na Análise do Indicador - Abril 2026:  Índice de Pagamento no Vencimento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</si>
  <si>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[fig:vfs:2059]</t>
  </si>
  <si>
    <t>Atraso na Análise do Indicador - Abril 2026: Índice de Devolução de Itens Consignados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</si>
  <si>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[fig:vfs:2060]</t>
  </si>
  <si>
    <t>Atraso na Análise do Indicador - Abril 2026: Taxa de Intercorrências com Materiais de OPME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</si>
  <si>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[fig:vfs:2061]</t>
  </si>
  <si>
    <t>Atraso na Análise do Indicador - Abril 2026:Número de Solicitações de OPME Realizadas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</si>
  <si>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[fig:vfs:2062]</t>
  </si>
  <si>
    <t>Atraso na Análise do Indicador - Abril 2026: Número De Internações HGP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</si>
  <si>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[fig:vfs:2063]</t>
  </si>
  <si>
    <t>Atraso na Análise do Indicador - Abril 2026: Taxa de Ocupação Hospitalar Geral</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</si>
  <si>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[fig:vfs:2064]</t>
  </si>
  <si>
    <t>Atraso na Análise do Indicador - Abril 2026:  Taxa de Recusa de Vaga (Médico Regulador Interno)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</si>
  <si>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[fig:vfs:2065]</t>
  </si>
  <si>
    <t>Atraso na Análise do Indicador - Abril 2026:  Percentual de Altas Hospitalar Efetivadas Até Horário/Meta (Meio - dia)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</si>
  <si>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[fig:vfs:2066]</t>
  </si>
  <si>
    <t>Atraso na Análise do Indicador - Abril 2026: Taxa de Altas Impedidas por Pendência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</si>
  <si>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[fig:vfs:2067]</t>
  </si>
  <si>
    <t>Atraso na Análise do Indicador - Abril 2026: Taxa de suspensão de cirurgias por indisponibilidade de leito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</si>
  <si>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[fig:vfs:2068]</t>
  </si>
  <si>
    <t>Atraso na Análise do Indicador - Abril 2026: Taxa de Leito Operacional X Leito Bloqueado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</si>
  <si>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[fig:vfs:2069]</t>
  </si>
  <si>
    <t>Atraso na Análise do Indicador - Abril 2026: Taxa de Utilização de Leitos Extras - Virtuais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</si>
  <si>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[fig:vfs:2070]</t>
  </si>
  <si>
    <t>Atraso na Análise do Indicador - Abril 2026: Taxa de Liberação de Leitos Para Transferência Externa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</si>
  <si>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[fig:vfs:2071]</t>
  </si>
  <si>
    <t>Atraso na Análise do Indicador - Abril 2026: Média de Permanência Geral</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</si>
  <si>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[fig:vfs:2072]</t>
  </si>
  <si>
    <t>Atraso na Análise do Indicador - Abril 2026:Número de Prontuários de Solicitações Particulares Entregue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</si>
  <si>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[fig:vfs:2073]</t>
  </si>
  <si>
    <t>Atraso na Análise do Indicador - Abril 2026: Número de Prontuários de Solicitações de Seguradoras Entregue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</si>
  <si>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[fig:vfs:2074]</t>
  </si>
  <si>
    <t>Atraso na Análise do Indicador - Abril 2026:  Taxa de Não Entrega de Prontuários ao Requerente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</si>
  <si>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[fig:vfs:2075]</t>
  </si>
  <si>
    <t xml:space="preserve"> Atraso na Análise do Indicador - Abril 2026: Total de Prontuários Solicitados ao SPP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</si>
  <si>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[fig:vfs:2076]</t>
  </si>
  <si>
    <t>Atraso na Análise do Indicador - Abril 2026: Taxa de Prontuários Não Localizados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</si>
  <si>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[fig:vfs:2077]</t>
  </si>
  <si>
    <t>Atraso na Análise do Indicador - Abril 2026:  Tempo Médio de Localização e Entrega de Prontuário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</si>
  <si>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[fig:vfs:2078]</t>
  </si>
  <si>
    <t>Atraso na Análise do Indicador - Abril 2026: Percentual de Entrega de Prontuários Dentro do Prazo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</si>
  <si>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[fig:vfs:2079]</t>
  </si>
  <si>
    <t>Atraso na Análise do Indicador - Abril 2026: Percentual de Prontuários Completos na Alta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</si>
  <si>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[fig:vfs:2080]</t>
  </si>
  <si>
    <t>Atraso na Análise do Indicador - Abril 2026:Total de Prontuários Digitalizados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</si>
  <si>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[fig:vfs:2081]</t>
  </si>
  <si>
    <t>Atraso na Análise do Indicador - Abril 2026: Total de Prontuarios Encaminhados ao Faturamento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</si>
  <si>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[fig:vfs:2082]</t>
  </si>
  <si>
    <t>Atraso na Análise do Indicador - Abril 2026:  Taxa de prontuários Conformes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</si>
  <si>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[fig:vfs:2083]</t>
  </si>
  <si>
    <t>Atraso na Análise do Indicador - Abril 2026: Total de Atendimentos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</si>
  <si>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[fig:vfs:2084]</t>
  </si>
  <si>
    <t>Atraso na Análise do Indicador - Abril 2026: Cobertura dos Postos de Recepção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</si>
  <si>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[fig:vfs:2085]</t>
  </si>
  <si>
    <t>Atraso na Análise do Indicador - Abril 2026: Tempo Porta PAM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</si>
  <si>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[fig:vfs:2086]</t>
  </si>
  <si>
    <t>Atraso na Análise do Indicador - Abril 2026: Tempo Porta Pronto Socorro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</si>
  <si>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[fig:vfs:2087]</t>
  </si>
  <si>
    <t>Atraso na Análise do Indicador - Abril 2026: Tempo Porta Ambulatório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</si>
  <si>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[fig:vfs:2088]</t>
  </si>
  <si>
    <t>Atraso na Análise do Indicador - Abril 2026: Taxa de Duplicidade de Cadastro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</si>
  <si>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[fig:vfs:2089]</t>
  </si>
  <si>
    <t>Atraso na Análise do Indicador - Abril 2026:  Taxa de Não Conformidade no Cadastro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</si>
  <si>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[fig:vfs:2090]</t>
  </si>
  <si>
    <t>Atraso na Análise do Indicador - Abril 2026: Cobertura de Postos de Acesso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</si>
  <si>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[fig:vfs:2091]</t>
  </si>
  <si>
    <t>Atraso na Análise do Indicador - Abril 2026: Disponibilidade de Equipe por Turno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</si>
  <si>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[fig:vfs:2092]</t>
  </si>
  <si>
    <t>Atraso na Análise do Indicador - Abril 2026: Funcionamento das Catracas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</si>
  <si>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[fig:vfs:2093]</t>
  </si>
  <si>
    <t>Atraso na Análise do Indicador - Abril 2026:  Total de Acesso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</si>
  <si>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[fig:vfs:2094]</t>
  </si>
  <si>
    <t>Atraso na Análise do Indicador - Abril 2026: Percentual de Rondas /verificações de Acesso Realizadas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</si>
  <si>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[fig:vfs:2095]</t>
  </si>
  <si>
    <t>Atraso na Análise do Indicador - Abril 2026: Taxa de Acesso Não Autorizados Interceptados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</si>
  <si>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[fig:vfs:2096]</t>
  </si>
  <si>
    <t>Atraso na Análise do Indicador - Abril 2026:  Taxa de Ocorrências Relacionadas a Falha no Controle de Acesso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</si>
  <si>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[fig:vfs:2097]</t>
  </si>
  <si>
    <t>Atraso na Análise do Indicador - Abril 2026:  Taxa de Invasão ou Entrada Indevida em Áreas Restritas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</si>
  <si>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[fig:vfs:2098]</t>
  </si>
  <si>
    <t>Atraso na Análise do Indicador - Abril 2026: Quantitativo de TRansporte Realizado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</si>
  <si>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[fig:vfs:2099]</t>
  </si>
  <si>
    <t>Atraso na Análise do Indicador - Abril 2026: Cobertura de Maqueiro por Turno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</si>
  <si>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[fig:vfs:2100]</t>
  </si>
  <si>
    <t>Atraso na Análise do Indicador - Abril 2026:  Taxa de Ambulâncias Aptas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</si>
  <si>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[fig:vfs:2101]</t>
  </si>
  <si>
    <t>Atraso na Análise do Indicador - Abril 2026: Disponibilidade de Macas e Cadeiras de Rodas Operacionais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</si>
  <si>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[fig:vfs:2102]</t>
  </si>
  <si>
    <t>Atraso na Análise do Indicador - Abril 2026: Taxa de Transporte com Classificação de Risco Registrada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</si>
  <si>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[fig:vfs:2104]</t>
  </si>
  <si>
    <t>Atraso na Análise do Indicador - Abril 2026:  Taxa de Transporte de Emergência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</si>
  <si>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[fig:vfs:2105]</t>
  </si>
  <si>
    <t>Atraso na Análise do Indicador - Abril 2026: Tempo Médio de Transporte Extra Hospitalar (Demandas do HGP)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</si>
  <si>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[fig:vfs:2106]</t>
  </si>
  <si>
    <t>Atraso na Análise do Indicador - Abril 2026:  Taxa de Intercorrências no Transporte IntraHospitalar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</si>
  <si>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[fig:vfs:2107]</t>
  </si>
  <si>
    <t>Atraso na Análise do Indicador - Abril 2026: Taxa de Transporte Resolutivo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</si>
  <si>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[fig:vfs:2108]</t>
  </si>
  <si>
    <t>Atraso na Análise do Indicador - Abril 2026: Consumo de Resíduos Infectantes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</si>
  <si>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[fig:vfs:2109]</t>
  </si>
  <si>
    <t>Atraso na Análise do Indicador - Abril 2026: Consumo de Resíduos Comum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</si>
  <si>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[fig:vfs:2110]</t>
  </si>
  <si>
    <t>Atraso na Análise do Indicador - Abril 2026: Índice de Resíduo Infectantes por Paciente Dia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</si>
  <si>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[fig:vfs:2111]</t>
  </si>
  <si>
    <t>Atraso na Análise do Indicador - Abril 2026: Número de casos suspeitos de Doenças e Agravos de Notificações Compulsórias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</si>
  <si>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[fig:vfs:2112]</t>
  </si>
  <si>
    <t>Atraso na Análise do Indicador - Abril 2026: Proporção de Mortalidade Institucional por Doenças e Agravos de Notificação Compulsória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</si>
  <si>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[fig:vfs:2113]</t>
  </si>
  <si>
    <t>Atraso na Análise do Indicador - Abril 2026:Proporção de Óbitos Maternos Investigados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</si>
  <si>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[fig:vfs:2114]</t>
  </si>
  <si>
    <t>Atraso na Análise do Indicador - Abril 2026: Proporção de Óbitos Infantis e Fetais Investigados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</si>
  <si>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[fig:vfs:2115]</t>
  </si>
  <si>
    <t>Atraso na Análise do Indicador - Abril 2026: Consumo de Preparação Alcóolica na UTI adulto para higiene das mãos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</si>
  <si>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[fig:vfs:2116]</t>
  </si>
  <si>
    <t>Atraso na Análise do Indicador - Abril 2026: Taxa de Infecção de Sítio Cirúrgico em Cirurgias Limpas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</si>
  <si>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[fig:vfs:2117]</t>
  </si>
  <si>
    <t>Atraso na Análise do Indicador - Abril 2026: Percentual de adesão ao Bundle Prevenção de Infecção do Trato Urinário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</si>
  <si>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[fig:vfs:2118]</t>
  </si>
  <si>
    <t>Atraso na Análise do Indicador - Abril 2026: Percentual de Adesão ao Bundle de IPCS associadas a CVC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</si>
  <si>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[fig:vfs:2119]</t>
  </si>
  <si>
    <t>Atraso na Análise do Indicador - Abril 2026:  Percentual de Adesão ao Bundle de Prevenção Pneumonia Associada a Ventilação Mecânica (PAVM)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</si>
  <si>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[fig:vfs:2120]</t>
  </si>
  <si>
    <t>Atraso na Análise do Indicador - Abril 2026: Taxa de Infecções de Sitio Cirúrgico em Cesariana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</si>
  <si>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[fig:vfs:2121]</t>
  </si>
  <si>
    <t>Atraso na Análise do Indicador - Abril 2026:  Densidade de infecção de corrente sanguínea associada a cateter venoso central (CVC) na UTI Adulto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</si>
  <si>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[fig:vfs:2122]</t>
  </si>
  <si>
    <t>Atraso na Análise do Indicador - Abril 2026: Densidade de Infecção do Trato Urinário (ITU) Associada a Cateter Vesical de Demora na UTI adulto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</si>
  <si>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[fig:vfs:2123]</t>
  </si>
  <si>
    <t>Atraso na Análise do Indicador - Abril 2026: PE Protocolo - Sepse Tempo para Antibioticoterapia na Sepse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</si>
  <si>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[fig:vfs:2124]</t>
  </si>
  <si>
    <t>Atraso na Análise do Indicador - Abril 2026: PE Protocolo - Sepse Taxa de Mortalidade em Sepse e Choque Séptico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</si>
  <si>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[fig:vfs:2125]</t>
  </si>
  <si>
    <t>Atraso na Análise do Indicador - Abril 2026: Total de pacientes internados na CGO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</si>
  <si>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[fig:vfs:2126]</t>
  </si>
  <si>
    <t>Atraso na Análise do Indicador - Abril 2026:  Total de Internação de recém-nascidos em alojamento conjunto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</si>
  <si>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[fig:vfs:2127]</t>
  </si>
  <si>
    <t>Atraso na Análise do Indicador - Abril 2026: Taxa de tempo médio de internação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</si>
  <si>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[fig:vfs:2128]</t>
  </si>
  <si>
    <t>Atraso na Análise do Indicador - Abril 2026: Taxa de Reinternação em 45 dias - Clínica Gineco Obstétrica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</si>
  <si>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[fig:vfs:2129]</t>
  </si>
  <si>
    <t>Atraso na Análise do Indicador - Abril 2026: Taxa de acompanhamento por partograma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</si>
  <si>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[fig:vfs:2130]</t>
  </si>
  <si>
    <t>Atraso na Análise do Indicador - Abril 2026: Taxa de mortalidade - Clínica Gineco Obstétrica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</si>
  <si>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[fig:vfs:2131]</t>
  </si>
  <si>
    <t>Atraso na Análise do Indicador - Abril 2026:Taxa De Aleitamento Materno Exclusivo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</si>
  <si>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[fig:vfs:2132]</t>
  </si>
  <si>
    <t>Atraso na Análise do Indicador - Abril 2026:Número de Hemorragia Pós - Parto Mensal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</si>
  <si>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[fig:vfs:2133]</t>
  </si>
  <si>
    <t>Atraso na Análise do Indicador - Abril 2026: Número de RN com Apgar Menor que 7 (No 5°Minuto) Mensal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</si>
  <si>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[fig:vfs:2134]</t>
  </si>
  <si>
    <t>Atraso na Análise do Indicador - Abril 2026: Taxa de Amamentação na Primeira Hora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</si>
  <si>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[fig:vfs:2135]</t>
  </si>
  <si>
    <t>Atraso na Análise do Indicador - Abril 2026: Taxa de Transferência para Centro Cirúrgico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</si>
  <si>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[fig:vfs:2136]</t>
  </si>
  <si>
    <t>Atraso na Análise do Indicador - Abril 2026: Taxa de Hemorragia Pós Parto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</si>
  <si>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[fig:vfs:2137]</t>
  </si>
  <si>
    <t>Atraso na Análise do Indicador - Abril 2026: Nº de Atendimentos no Centro de Parto Normal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</si>
  <si>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[fig:vfs:2138]</t>
  </si>
  <si>
    <t>Atraso na Análise do Indicador - Abril 2026: Taxa de Intervenção Obstétrica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</si>
  <si>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[fig:vfs:2139]</t>
  </si>
  <si>
    <t>Atraso na Análise do Indicador - Abril 2026: Nº de Atendimentos no Pronto Atendimento Materno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</si>
  <si>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[fig:vfs:2140]</t>
  </si>
  <si>
    <t>Atraso na Análise do Indicador - Abril 2026: Taxa de Ocupação na Sala Vermelha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</si>
  <si>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[fig:vfs:2141]</t>
  </si>
  <si>
    <t>Atraso na Análise do Indicador - Abril 2026: Taxa de Tempo Porta-Médico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</si>
  <si>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[fig:vfs:2142]</t>
  </si>
  <si>
    <t>Atraso na Análise do Indicador - Abril 2026: Taxa de Testagem Positivas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</si>
  <si>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[fig:vfs:2143]</t>
  </si>
  <si>
    <t>Atraso na Análise do Indicador - Abril 2026: Tempo Médio de Permanência - Clínica Pediátrica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</si>
  <si>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[fig:vfs:2144]</t>
  </si>
  <si>
    <t>Atraso na Análise do Indicador - Abril 2026: Taxa de Mortalidade - Clínica Pediátrica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</si>
  <si>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[fig:vfs:2145]</t>
  </si>
  <si>
    <t>Atraso na Análise do Indicador - Abril 2026: Taxa de Reinternação em 30 Dias - Clínica Pediátrica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</si>
  <si>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[fig:vfs:2146]</t>
  </si>
  <si>
    <t>Atraso na Análise do Indicador - Abril 2026: Número Total de pacientes Internados da Pediatria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</si>
  <si>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[fig:vfs:2147]</t>
  </si>
  <si>
    <t>Atraso na Análise do Indicador - Abril 2026: Taxa de Mortalidade - UCI Neonatal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</si>
  <si>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[fig:vfs:2148]</t>
  </si>
  <si>
    <t>Atraso na Análise do Indicador - Abril 2026:Taxa de Reinternação em 24 horas - UCI Neonatal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</si>
  <si>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[fig:vfs:2149]</t>
  </si>
  <si>
    <t>Atraso na Análise do Indicador - Abril 2026: Número de Pacientes Internados na UCI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</si>
  <si>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[fig:vfs:2150]</t>
  </si>
  <si>
    <t>Atraso na Análise do Indicador - Abril 2026: Taxa de Pacientes em Aleitamento Materno Exclusivo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</si>
  <si>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[fig:vfs:2151]</t>
  </si>
  <si>
    <t>Atraso na Análise do Indicador - Abril 2026: Taxa de Transferência para UTI NEO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</si>
  <si>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[fig:vfs:2152]</t>
  </si>
  <si>
    <t>Atraso na Análise do Indicador - Abril 2026:  Taxa de Absenteismo em Consultas Ambulatoriais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</si>
  <si>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[fig:vfs:2153]</t>
  </si>
  <si>
    <t>Atraso na Análise do Indicador - Abril 2026: Percentual de Pacientes com Tempo de Espera Superior a 30 Minutos no Ambulatório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</si>
  <si>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[fig:vfs:2154]</t>
  </si>
  <si>
    <t>Atraso na Análise do Indicador - Abril 2026: Número Total de Atendimento na Sala de Terapia Infusional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</si>
  <si>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[fig:vfs:2155]</t>
  </si>
  <si>
    <t>Atraso na Análise do Indicador - Abril 2026:  Taxa de Atraso na Administração de Medicação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</si>
  <si>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[fig:vfs:2156]</t>
  </si>
  <si>
    <t>PENDÊNCIA DE ALTA MÉDICA</t>
  </si>
  <si>
    <t>NC 3577 / 2026</t>
  </si>
  <si>
    <t>O Prontuário nº: 350081 (E. V. C. da C.), encontra-se sem a Alta Médica pois a paciente evadiu da unidade no dia 10/05/2026, o médico plantonista e a equipe assistencial não realizou o protocolo de alta, sendo necessária realizar Alta Administrativa no dia 12/05/2026.</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</si>
  <si>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[fig:vfs:2157]</t>
  </si>
  <si>
    <t>Atraso na Análise do Indicador - Abril 2026: Taxa de Absenteísmo em Atendimento na Sala de Terapia Infusional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</si>
  <si>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[fig:vfs:2158]</t>
  </si>
  <si>
    <t>Atraso na Análise do Indicador - Abril 2026:  Taxa de Não Conformidades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</si>
  <si>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[fig:vfs:2159]</t>
  </si>
  <si>
    <t>Atraso na Análise do Indicador - Abril 2026: Tempo de Elaboração do Laudo de Urgência e Emergência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</si>
  <si>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[fig:vfs:2160]</t>
  </si>
  <si>
    <t>Atraso na Análise do Indicador - Abril 2026:  Taxa de Hemoculturas Contaminadas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</si>
  <si>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[fig:vfs:2161]</t>
  </si>
  <si>
    <t>Atraso na Análise do Indicador - Abril 2026: Taxa de Exames Solicitados como Urgentes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</si>
  <si>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[fig:vfs:2162]</t>
  </si>
  <si>
    <t>Atraso na Análise do Indicador - Abril 2026: Quantitativo de Exames Realizados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</si>
  <si>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[fig:vfs:2163]</t>
  </si>
  <si>
    <t>Atraso na Análise do Indicador - Abril 2026: Taxa de Re-Coletas de Amostras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</si>
  <si>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[fig:vfs:2164]</t>
  </si>
  <si>
    <t>Atraso na Análise do Indicador - Abril 2026:  Taxa de Exames Retificados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</si>
  <si>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[fig:vfs:2165]</t>
  </si>
  <si>
    <t>Atraso na Análise do Indicador - Abril 2026:  Taxa de Exames com Liberação Superior a Meta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</si>
  <si>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[fig:vfs:2166]</t>
  </si>
  <si>
    <t>Atraso na Análise do Indicador - Abril 2026: Acompanhamento Transfusional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</si>
  <si>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[fig:vfs:2167]</t>
  </si>
  <si>
    <t>Atraso na Análise do Indicador - Abril 2026: Taxa de Atraso da Primeira Cirurgia do Dia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</si>
  <si>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[fig:vfs:2168]</t>
  </si>
  <si>
    <t>Atraso na Análise do Indicador - Abril 2026: Taxa de Ocupação de Sala Cirúrgica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</si>
  <si>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[fig:vfs:2169]</t>
  </si>
  <si>
    <t>Atraso na Análise do Indicador - Abril 2026: Taxa de Intercorrências na Sala de Recuperação Pós Anestésica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</si>
  <si>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[fig:vfs:2170]</t>
  </si>
  <si>
    <t>Atraso na Análise do Indicador - Abril 2026:  Desinfecção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</si>
  <si>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[fig:vfs:2171]</t>
  </si>
  <si>
    <t>Atraso na Análise do Indicador - Abril 2026: Esterilização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</si>
  <si>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[fig:vfs:2172]</t>
  </si>
  <si>
    <t>Atraso na Análise do Indicador - Abril 2026: Disponibilidade de Equipamentos Críticos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</si>
  <si>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[fig:vfs:2173]</t>
  </si>
  <si>
    <t>Atraso na Análise do Indicador - Abril 2026:  Índice de Falha em Indicadores Químicos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</si>
  <si>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[fig:vfs:2174]</t>
  </si>
  <si>
    <t>Atraso na Análise do Indicador - Abril 2026: Índice de Falha em Indicadores Biológicos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</si>
  <si>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[fig:vfs:2175]</t>
  </si>
  <si>
    <t>Atraso na Análise do Indicador - Abril 2026: Índice de Não Conformidade na Embalagem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</si>
  <si>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[fig:vfs:2176]</t>
  </si>
  <si>
    <t>Atraso na Análise do Indicador - Abril 2026: Tempo Médio de Internação na Unidade de Internação Cirúrgica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</si>
  <si>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12/05/2026 -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[fig:vfs:2177]</t>
  </si>
  <si>
    <t>NÃO ACIONAMENTO DO SERVIÇO DE PSICOLOGIA PARA COMUNICAÇÃO DE NOTÍCIAS DIFÍCEIS</t>
  </si>
  <si>
    <t>NC 3599 / 2026</t>
  </si>
  <si>
    <t>Observou-se, no dia de hoje, a não solicitação prévia de acompanhamento psicológico para comunicação de notícias difíceis, apesar da existência de momento oportuno para acionamento da equipe de Psicologia.
O acionamento ocorreu apenas após a realização das comunicações, com objetivo de suporte à mobilização emocional decorrente das informações transmitidas. A situação foi identificada em relação aos seguintes pacientes/familiares:
E. C. B. (leito 21) - Comunicação de amputação;
G. C. D. S. (leito 18) - Comunicação de prognóstico crítico e planejamento terapêutico;
I. P. D. R. (leito 19) - Comunicação de prognóstico crítico e planejamento terapêutico.
Ressalta-se a importância do acionamento prévio da Psicologia em situações de comunicação de notícias difíceis, visando suporte adequado ao paciente, familiares e equipe assistencial durante o processo.</t>
  </si>
  <si>
    <t>IMPACTO DE TREINAMENTO SETORIAL NA TRANSFERÊNCIA DO PACIENTE DA SRPA PARA ENFERMARIA</t>
  </si>
  <si>
    <t>NC 3600 / 2026</t>
  </si>
  <si>
    <t>PACIENTE PROVENIENTE DO PS DEU ENTRADA NO CENTRO CIRÚRGICO ÀS 09:35, VINDO DA RECEPÇÃO, PARA REALIZAÇÃO DE PROCEDIMENTO CIRÚRGICO ELETIVO. ÀS 12:19 FOI SOLICITADA VAGA DE INTERNAÇÃO EM ENFERMARIA. APÓS TÉRMINO DO PROCEDIMENTO, PACIENTE ENCAMINHADO A SRPA ÀS 11:35, PERMANECENDO EM RECUPERAÇÃO PÓS-ANESTESICA AGUARDANDO LIBERAÇÃO DO LEITO. 
ÀS 13:50 OCORREU A REGULAÇÃO DO LEITO. POSTERIORMENTE, ÀS 14:09, FOI REALIZADO CONTATO COM A ENFERMARIA PARA SOLICITAR A TRANSFERÊNCIA DO PACIENTE. NA OCASIÃO, A ENFERMEIRA DO SETOR INFORMOU QUE ESTAVA SENDO REALIZADO TREINAMENTO NO LEITO DESTINADO AO PACIENTE, SENDO NECESSÁRIO AGUARDAR O TÉRMINO DA ATIVIDADE PARA RECEBIMENTO.
O PACIENTE PERMANECEU EM SRPA ATÉ ÀS 17:45, HORÁRIO EM QUE A ENFERMARIA COMPARECEU PARA REALIZAR TRANSFERÊNCIA. 
DURANTE O PERIODO PROLONGADO DE PERMANENCIA NA SRPA, O PACIENTE APRESENTOU MULTIPLAS QUEIXAS RELACIONADAS AO TEMPO DE ESPERA, QUESTIONANDO O MOTIVO DE OUTROS PACIENTES ESTAREM SENDO LIBERADOS ANTERIORMENTE. O ACOMPANHANTE TAMBÉM DEMONSTROU INSATISFAÇÃO E DESCONFORTO DIANTE DA SITUAÇÃO. 
RESSALTA-SE O DESGASTE GERADO PARA A EQUIPE ASSISTENCIAL, QUE PERMANECEU EM SITUAÇÃO DELICADA FRENTE AOS QUESTIONAMENTOS DO PACIENTE E ACOMPANHANTE, CONSIDERANDO A LIMITAÇÃO EM EXPOR QUESTÕES INTERNAS DO FLUXO INSTITUCIONAL. TAL SITUAÇÃO PODE OCASIONAR RECLAMAÇÕES FORMAIS EM OUVIDORIA E/OU EXPOSIÇÃO NEGATIVA DA INSTITUIÇÃO EM REDES SOCIAIS. 
EMBORA TREINAMENTOS SEJAM ESSENCIAIS PARA CAPACITAÇÃO DAS EQUIPES, REFORÇA-SE A NECESSIDADE DE PLANEJAMENTO DAS ATIVIDADES DE FORMA QUE NÃO IMPACTEM DIRETAMENTE NA ASSISTÊNCIA, FLUXO INSTITUCIONAL E EXPERIÊNCIA DO PACIENTE, EVITANDO PROLONGAMENTO DESNECESSÁRIO DA PERMANÊNCIA EM SETORES CRÍTICOS COM SRPA.</t>
  </si>
  <si>
    <t>PLACA NÃO CONFORME</t>
  </si>
  <si>
    <t>NC 3601 / 2026</t>
  </si>
  <si>
    <t>NOTIFICO CLÍNICA ORTOPÉDICA POR NÃO CONFORMIDADE RELACIONADA À PLACA DE IDENTIFICAÇÃO DO PACIENTE DO DIA 10/05/26. RESSALTO QUE, MESMO NA AUSÊNCIA DE IMPRESSORA NO SETOR, HÁ DISPONÍVEL PLANO DE CONTINGÊNCIA JÁ IMPRESSO PARA UTILIZAÇÃO, VISANDO GARANTIR A SEGURANÇA DO PACIENTE E O CUMPRIMENTO DOS PROTOCOLOS INSTITUCIONAIS. ORIENTO MAIOR ATENÇÃO QUANTO À IDENTIFICAÇÃO CORRETA DOS PACIENTES.</t>
  </si>
  <si>
    <t>Atraso na Análise do Indicador - Abril 2026: Diárias de Pacientes na Unidade de Internação Cirúrgica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</si>
  <si>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[fig:vfs:2188]</t>
  </si>
  <si>
    <t>Atraso na Análise do Indicador - Abril 2026: Taxa de Ocupação da Unidade de Internação Cirúrgica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</si>
  <si>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[fig:vfs:2189]</t>
  </si>
  <si>
    <t>Atraso na Análise do Indicador - Abril 2026: Taxa de Altas Médica Realizadas até as 10h (Clínica Cirúrgica)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</si>
  <si>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[fig:vfs:2190]</t>
  </si>
  <si>
    <t>Atraso na Análise do Indicador - Abril 2026: Tempo Médio de Internação da Unidade de Internação Ortopédica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</si>
  <si>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[fig:vfs:2191]</t>
  </si>
  <si>
    <t>Atraso na Análise do Indicador - Abril 2026:  Diárias de Pacientes na Unidade de Internação Ortopédica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</si>
  <si>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[fig:vfs:2192]</t>
  </si>
  <si>
    <t>Atraso na Análise do Indicador - Abril 2026: Taxa de Ocupação da Unidade de Internação Ortopédica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</si>
  <si>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[fig:vfs:2193]</t>
  </si>
  <si>
    <t>Atraso na Análise do Indicador - Abril 2026:  Tempo Médio de Internação - Clínica Psicossocial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</si>
  <si>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[fig:vfs:2194]</t>
  </si>
  <si>
    <t>Atraso na Análise do Indicador - Abril 2026: Reinternação de Pacientes em até 30 dias após Alta Hospitalar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</si>
  <si>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[fig:vfs:2195]</t>
  </si>
  <si>
    <t>Atraso na Análise do Indicador - Abril 2026: Tempo Médio de Internação - Clínica Médica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</si>
  <si>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[fig:vfs:2196]</t>
  </si>
  <si>
    <t>Atraso na Análise do Indicador - Abril 2026: Reinternações de Pacientes em até 30 dias após Alta Hospitalar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</si>
  <si>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[fig:vfs:2197]</t>
  </si>
  <si>
    <t>Atraso na Análise do Indicador - Abril 2026: Taxa de Óbitos + 24hs - Clinica Médica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</si>
  <si>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[fig:vfs:2198]</t>
  </si>
  <si>
    <t>Atraso na Análise do Indicador - Abril 2026:  Tempo Médio de Atendimento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</si>
  <si>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[fig:vfs:2200]</t>
  </si>
  <si>
    <t>Atraso na Análise do Indicador - Abril 2026: Percentual de Atendimento em 24 horas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</si>
  <si>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[fig:vfs:2201]</t>
  </si>
  <si>
    <t>Atraso na Análise do Indicador - Abril 2026: Percentual de Satisfação do Cliente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</si>
  <si>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[fig:vfs:2202]</t>
  </si>
  <si>
    <t>Atraso na Análise do Indicador - Abril 2026:  Satisfação do Usuário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</si>
  <si>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[fig:vfs:2203]</t>
  </si>
  <si>
    <t>Atraso na Análise do Indicador - Abril 2026: NPS (Net Promoter Score)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</si>
  <si>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[fig:vfs:2204]</t>
  </si>
  <si>
    <t>Atraso na Análise do Indicador - Abril 2026:  Índice de ações de melhoria (do ISP) tratadas no prazo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</si>
  <si>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[fig:vfs:2205]</t>
  </si>
  <si>
    <t>Atraso na Análise do Indicador - Abril 2026: Quantidade de Voluntários Ativos no Período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</si>
  <si>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[fig:vfs:2206]</t>
  </si>
  <si>
    <t>Atraso na Análise do Indicador - Abril 2026: Número de Profissionais Vinculados (Estrutura)</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</si>
  <si>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[fig:vfs:2207]</t>
  </si>
  <si>
    <t>Atraso na Análise do Indicador - Abril 2026: Registro e Acompanhamento das Atividades Acadêmicas (Processo)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</si>
  <si>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[fig:vfs:2208]</t>
  </si>
  <si>
    <t>Atraso na Análise do Indicador - Abril 2026: Avaliação de Desempenho dos Internos/residentes (Resultado)</t>
  </si>
  <si>
    <t>Formalizo, por meio deste registro, o descumprimento do prazo de análise de dados previsto no Contrato de Interação de Processos vigente nesta instituição.
Conforme as diretrizes de gestão de indicadores, o prazo limite para a inserção da análise no sistema é o dia 10 de cada mês. No entanto, consta em sistema a seguinte pendência relativa ao ciclo de Abril
Data da Verificação: 13/05/2026 - Até o presente momento sem dados de Abril
Impacto do Registro: A ausência do lançamento tempestivo compromete a consolidação dos resultados globais, atrasa a análise crítica da diretoria e gera uma fragilidade no processo de monitoramento exigido para a manutenção da nossa acreditação.
Este registro será anexado ao histórico de desempenho do processo para fins de rastreabilidade e futuras auditorias de qualidade. Solicitamos que a análise seja realizada imediatamente para minimizar o impacto no fechamento do período.
[fig:vfs:2209]</t>
  </si>
  <si>
    <t>Falta assinatura de enfermagem</t>
  </si>
  <si>
    <t>NC 3623 / 2026</t>
  </si>
  <si>
    <t>Pendência recorrente de assinatura e carimbo nas Evoluções de Enfermagem.
Portuário: 342478  J. A. F .
Venho por meio deste relatar uma situação que vem ocorrendo com frequência durante a organização dos prontuários:
As enfermeiras realizam as evoluções de enfermagem diretamente no sistema, porém não finalizam o registro com assinatura e carimbo quando o documento é impresso.
Com isso, a equipe responsável pela montagem do prontuário físico precisa imprimir essas evoluções para arquivamento. Após a impressão, os documentos ficam pendentes de assinatura, carimbo e nº do COREN da enfermeira responsável.
Consequências:
1. O prontuário fica irregular e sem validade legal;
2. Gera glosa no faturamento por falta de comprovação da assistência de enfermagem;
3. Risco ético legal para a profissional e para a instituição em caso de auditoria ou processo judicial.
Pedimos à coordenação e supervisão de enfermagem que orientem a equipe quanto à obrigatoriedade de assinar e carimbar todas as evoluções após a impressão, garantindo a validade do documento e o fechamento correto do prontuário.
Contamos com a colaboração de todos para regularizar essa pendência e evitar prejuízos à assistência e ao faturamento.</t>
  </si>
  <si>
    <t>CADASTRO ERRADO DE PACIENTE E FALTA DE DADOS</t>
  </si>
  <si>
    <t>NC 3624 / 2026</t>
  </si>
  <si>
    <t>PACIENTE: RONIVON BARBOSA DOS SANTOS ( 355288) CADASTRADO COM NOME ERRADO (RONIVAN) E TAMBEM SEM NUMERO DE RG.</t>
  </si>
  <si>
    <t xml:space="preserve">RECEPÇÃO CADASTRANDO PACIENTES COM FALTA DE DADOS </t>
  </si>
  <si>
    <t>NC 3625 / 2026</t>
  </si>
  <si>
    <t>PACIENTE: ANA CLARA OLIVEIRA DE ARUAJO (356006) CADASTRADA SEM NOME DO PAI, SEM NUMERO DE RG , SEM CPF E SEM NATURALIDADE.</t>
  </si>
  <si>
    <t xml:space="preserve">RECEPCAO CADASTRANDO PACIENTE COM FALTA DE DAOS </t>
  </si>
  <si>
    <t>NC 3626 / 2026</t>
  </si>
  <si>
    <t>PACIENTE: RAFAELA PEREIRA SILVA ( 190605) FALTANDO NOME DO PAI.</t>
  </si>
  <si>
    <t>Utilização da cadeira de coleta do Pronto Socorro para fazer medicação</t>
  </si>
  <si>
    <t>NC 3627 / 2026</t>
  </si>
  <si>
    <t>Gerência Ambulatorial e de Apoio Diagnóstico  / Unidade de Análises Clínicas</t>
  </si>
  <si>
    <t>Wiracles Alves de Araujo</t>
  </si>
  <si>
    <t>Informamos que a cadeira de coleta do Pronto Socorro vem sendo utilizada para administração de medicações, situação que tem impactado diretamente o fluxo de atendimento do laboratório.
Considerando que a técnica de laboratório necessita aguardar a finalização dos procedimentos realizados pela enfermagem para efetuar as coletas, ocorre aumento no tempo de espera dos pacientes, ocasionando prejuízos à qualidade e à agilidade do atendimento.
Ressaltamos que o fluxo operacional do setor depende da atuação ágil e integrada de todas as equipes, sendo fundamental que os espaços e recursos destinados às coletas laboratoriais sejam preservados para sua finalidade específica, a fim de evitar atrasos e contribuir para a prevenção de superlotação no serviço.
Solicitamos, portanto, a colaboração da equipe quanto à adequada utilização da cadeira de coleta, visando a manutenção da organização e eficiência do atendimento prestado aos pacientes.</t>
  </si>
  <si>
    <t>Identificação inadequada do paciente.</t>
  </si>
  <si>
    <t>NC 3628 / 2026</t>
  </si>
  <si>
    <t>Foi identificada divergência na identificação do leito da paciente, uma vez que a sinalização à beira-leito indica o leito nº 29, enquanto a requisição de exames registra o leito nº 04.
A inconsistência no processo de identificação dos leitos fragiliza a segurança assistencial, aumentando o risco de erros por parte da equipe multiprofissional e podendo comprometer a segurança do paciente.
Recomenda-se a conferência e padronização das informações de identificação dos leitos, a fim de garantir a rastreabilidade e a segurança dos processos assistenciais.</t>
  </si>
  <si>
    <t>IDENTIFICAÇÃO INADEQUADA DO PACIENTE</t>
  </si>
  <si>
    <t>NC 3629 / 2026</t>
  </si>
  <si>
    <t>Foi identificada divergência na identificação do leito da paciente, uma vez que a sinalização à beira-leito indica o leito nº 29 para a paciente A.A de S. Enquanto a requisição de exames registra o leito nº 29 para a paciente J.B. dos S.
A inconsistência no processo de identificação dos leitos fragiliza a segurança assistencial, aumentando o risco de erros por parte da equipe multiprofissional e podendo comprometer a segurança do paciente.
Recomenda-se a conferência e padronização das informações de identificação dos leitos, a fim de garantir a rastreabilidade e a segurança dos processos assistenciais.</t>
  </si>
  <si>
    <t xml:space="preserve">IDENTENFICAÇÃO DE AMOSTRAS NÃO CONDIZENTE COM A SOLICITAÇÃO MÉDICA </t>
  </si>
  <si>
    <t>NC 3630 / 2026</t>
  </si>
  <si>
    <t>Foi identificado pela equipe do laboratório no ato da retirada das amostras da UCI, que a identificação realizada nas amostras não estavam em conformidade com a descrição da solicitação médica.
Enquanto as amostras estavam identificadas como: RN GI de J. e RN GII de J. as solicitações médicas estavam identificadas como: RN IG J.M.S.R e RN J.M.S.R.
A identificação incorreta ou equivocada das amostras podem levar a erros no processamento das amostras e atrasos na liberações de resultados.</t>
  </si>
  <si>
    <t>falha no processo de comunicação relacionada ao protocolo de SEPSE</t>
  </si>
  <si>
    <t>NC 3631 / 2026</t>
  </si>
  <si>
    <t>Devido a inconsistencia na identificação entre as amostras e a solicitação de exames a profissional do laboratório (biomédica plantonista) a partir do questionamento foi sinalizada que se tratava de um protocolo SEPSE, não havendo comunicação prévia no ato da solicitação de retirada da amostra.</t>
  </si>
  <si>
    <t xml:space="preserve">Não conformidade no envio de materiais ao expurgo - CME  </t>
  </si>
  <si>
    <t>NC 3632 / 2026</t>
  </si>
  <si>
    <t>Por meio desta, notificamos o setor da UCI, referente à identificação de não conformidade no envio de materiais contaminados ao expurgo/CME, observada em 13/05/2026, às 15h00, sendo constatada a presença de luvas de procedimento, frascos contendo secreções e sacos contaminados juntamente aos materiais encaminhados para processamento, conforme evidenciado nas fotos em anexo.
Ressaltamos que tais ocorrências representam risco ocupacional aos colaboradores, risco de contaminação cruzada e comprometimento da segurança do processo de trabalho, estando em desacordo com as boas práticas de processamento de materiais e normas de segurança assistencial.</t>
  </si>
  <si>
    <t>Reincidência de não conformidade no fluxo de entrega e acondicionamento de materiais ao expurgo/CME</t>
  </si>
  <si>
    <t>NC 3633 / 2026</t>
  </si>
  <si>
    <t>Por meio desta, notificamos o setor da UCI referente à reincidência de não conformidades no fluxo de entrega e acondicionamento de materiais encaminhados ao expurgo/CME, identificada em 11/05/2025, às 11h20.
Foi constatado que não houve encaminhamento de materiais no sábado e domingo, sendo estes entregues apenas na segunda-feira, ocasionando grande acúmulo de demanda e aumento significativo do fluxo de materiais no setor, impactando diretamente a rotina operacional do CME/expurgo.
Durante o recebimento, foi identificado ainda o envio inadequado de luvas contaminadas juntamente aos materiais encaminhados ao expurgo, configurando falha no processo de segregação e descarte de resíduos contaminados.
Ressaltamos que o setor já havia sido comunicado previamente sobre tais ocorrências, especialmente considerando a quantidade reduzida de materiais respiratórios disponíveis, fato que pode impactar diretamente o processamento, a disponibilidade dos materiais e a continuidade assistencial. No entanto, observamos que a situação tem se tornado recorrente, exigindo reforço imediato das orientações e cumprimento do fluxo estabelecido.</t>
  </si>
  <si>
    <t>Ausência de papel toalha - Clínica Cirúrgica</t>
  </si>
  <si>
    <t>NC 3634 / 2026</t>
  </si>
  <si>
    <t>Em visita ao setor de Clínica Cirúrgica, foi observada a ausência de papel toalha para secagem das mãos após a higienização. A falta do material compromete a adequada realização da higiene das mãos, podendo favorecer riscos de contaminação cruzada, disseminação de microrganismos e prejuízos à segurança de pacientes e colaboradores, além de impactar diretamente no cumprimento das medidas de prevenção e controle de infecções relacionadas à assistência à saúde. Notifico para melhorias dos processos.</t>
  </si>
  <si>
    <t>Ausência de papel toalha - Clínica Médica</t>
  </si>
  <si>
    <t>NC 3635 / 2026</t>
  </si>
  <si>
    <t>Em visita ao setor de Clínica Médica, foi observada a ausência de papel toalha para secagem das mãos após a higienização. A falta do material compromete a adequada realização da higiene das mãos, podendo favorecer riscos de contaminação cruzada, disseminação de microrganismos e prejuízos à segurança de pacientes e colaboradores, além de impactar diretamente no cumprimento das medidas de prevenção e controle de infecções relacionadas à assistência à saúde. Notifico para melhorias dos processos.</t>
  </si>
  <si>
    <t xml:space="preserve">Não seguimento do fluxo instituído </t>
  </si>
  <si>
    <t>NC 3636 / 2026</t>
  </si>
  <si>
    <t>Durante a manhã do dia 14/05/2026, foi identificado que havia três pacientes em tratamento clínico no CGO I, sendo solicitada a transferência dessas pacientes para os leitos de tratamento clínico do CGO II, pela gestão do setor. Entretanto, no período da tarde, a técnica de enfermagem Lourrane verificou que as pacientes ainda permaneciam no CGO I, e foi informada que a equipe do respectivo setor permaneceria assistindo essas pacientes. Diante disso, as parturientes que se encontravam no CPN foram encaminhadas para o CGO II, ocupando os leitos de tratamento clínico. Ressalta-se a necessidade de que quaisquer mudanças relacionadas aos setores sejam previamente alinhadas entre as supervisões, a fim de evitar informações desencontradas, atrasos nas movimentações internas das pacientes e de seus recém-nascidos (RNs), bem como impactos na organização dos leitos e da assistência prestada.</t>
  </si>
  <si>
    <t>quebra de contrato de integração</t>
  </si>
  <si>
    <t>NC 3637 / 2026</t>
  </si>
  <si>
    <t>Tipo de evento: QUEBRA DE CONTRATO DE INTEGRAÇÃO
Data da ocorrência: 15/05/2026  Hora: 13:20 
*Setor notificador: CGO2
*Setor envolvido: Centro Cirúrgico
DESCRIÇÃO DO FATO
Paciente: F. S. L
Prontuário: 258303
Proveniente do Centro Cirúrgico, foi encaminhado para esta unidade no dia 15/05/206  às 13:20 em desacordo com o fluxo estabelecido entre as supervisões.
Não conformidade identificada:
Paciente encaminhado sem comunicação prévia/enfermeiro não avisado, conforme fluxo estabelecido entre os supervisores dos setores.
CONSEQUÊNCIA / RISCO GERADO
Atraso na assistência
Sobrecarga da equipe que recebeu sem preparo
AÇÃO IMEDIATA TOMADA PELA UNIDADE
Paciente admitido, prescrição checada, familiares orientados, 
SUGESTÃO DE BARREIRA / MELHORIA
Para evitar recorrência, sugere-se: Revisar o fluxo estabelecido de alta da RPA com toda equipe do CC em educação continuada.
Objetivo da notificação: Contribuir para a segurança do paciente e alinhamento dos processos assistenciais entre setores, conforme Metas Internacionais de Segurança nº 2: Comunicação</t>
  </si>
  <si>
    <t>RECEBIMENTO DE PACIENTE COM ACESSO VENOSO PERIFÉRICO FORA  DO PADRÃO INSTITUCIONAL</t>
  </si>
  <si>
    <t>NC 3638 / 2026</t>
  </si>
  <si>
    <t>Tipo de evento: RECEBIMENTO DE PACIENTE COM ACESSO VENOSO PERIFÉRICO FORA  DO PADRÃO INSTITUCIONAL
Data da ocorrência: 15/05/2026  Hora: 13:20 
*Setor notificador: CGO2
*Setor envolvido: Centro Cirúrgico
DESCRIÇÃO DO FATO
Paciente: F. S.L
Prontuário: 258303
Proveniente do Centro Cirúrgico, foi encaminhado para esta unidade no dia 15/05/206  às 13:20, o paciente acima apresentando acesso venoso periférico em desacordo com o protocolo da instituição.
Não conformidade identificada:
fixação inadequada com esparadrapo, sem tegaderme, veio com os 2 acessos no  mesmo braço (mse)
acesso sem tampinha no scrub the hub
CONSEQUÊNCIA / RISCO GERADO
risco de infecção 
AÇÃO IMEDIATA TOMADA PELA UNIDADE
Paciente admitida, realizado a troca do acesso, 
SUGESTÃO DE BARREIRA / MELHORIA
Para evitar recorrência, sugere-se: alinhamento para padronização feita pela instituição para garantir a continuidade da assistência segura no pós-operatório</t>
  </si>
  <si>
    <t xml:space="preserve">Não alinhamento do fluxo de regulação. </t>
  </si>
  <si>
    <t>NC 3639 / 2026</t>
  </si>
  <si>
    <t>Às 20h54, foi encaminhada ao setor materno a regulação do leito de isolamento do paciente R.S.S., proveniente da UPA. Apesar de se tratar de paciente da pediatria, devido à necessidade de isolamento, o mesmo foi alocado no leito de isolamento do CGO I.
Entretanto, houve falha na antecipação por parte da equipe do NIR quanto à avaliação prévia da possibilidade de remanejamento da paciente que ocupava o leito de isolamento do CGO II naquele momento, considerando que a mesma não possuía indicação de permanência em isolamento, podendo ter sido transferida para enfermaria.
Apesar de ter ocorrido o remanejamento da puérpera, não foi realizada a movimentação intersetorial da criança, que permaneceu durante toda a noite no leito de isolamento do CGO I.</t>
  </si>
  <si>
    <t xml:space="preserve">Acionamento incompleto da equipe de transporte </t>
  </si>
  <si>
    <t>NC 3640 / 2026</t>
  </si>
  <si>
    <t>No dia 13/05/2026, foi identificado o acionamento inadequado da equipe de transporte, sendo este realizado pela enfermeira Alice Rabelo, do setor Clínica Cirúrgica, para encaminhamento de paciente ao SADT. A paciente encontrava-se em precaução por contato, porém essa informação não foi previamente comunicada ao maqueiro responsável pela condução.
Destaca-se que o maqueiro não compõe a equipe assistencial e, portanto, não possui atribuição técnica relacionada à avaliação ou identificação dos tipos de precaução, sendo sua responsabilidade limitada ao transporte seguro da paciente entre o setor de origem e o setor de destino.
Diante do ocorrido, reforça-se a necessidade de comunicação efetiva entre as equipes assistenciais e de apoio, garantindo que todas as informações pertinentes às medidas de precaução sejam transmitidas previamente ao transporte interno, visando à segurança do paciente, dos profissionais envolvidos e à prevenção de riscos assistenciais.
[fig:vfs:2217]</t>
  </si>
  <si>
    <t>Não Conformidade Relacionada à Ausência de Papel-Toalha para Higienização das Mãos na UTI.</t>
  </si>
  <si>
    <t>NC 3641 / 2026</t>
  </si>
  <si>
    <t>Foi evidenciado durante inspeção no setor da UTI, foi observado a ausência de papel-toalha para secagem das mãos em pontos destinados à higienização das mãos. Ressalta-se que a disponibilização adequada de insumos faz parte das medidas essenciais para prevenção e controle das Infecções Relacionadas à Assistência à Saúde (IRAS), conforme recomendações da ANVISA e da Organização Mundial da Saúde (OMS). Informamos que os colaboradores vêm sendo orientados e cobrados diariamente quanto à adesão correta à higienização das mãos, incluindo os 5 momentos preconizados pela OMS. Entretanto, a equipe assistencial tem relatado dificuldade na manutenção da prática devido à falta de insumos e de estrutura adequada para realização segura e efetiva do procedimento. A ausência de papel-toalha compromete a etapa correta de secagem das mãos após lavagem com água e sabão, podendo impactar diretamente na adesão dos profissionais às medidas de segurança do paciente e aumentar o risco de contaminação cruzada e disseminação de microrganismos no ambiente assistencial.
Diante do exposto, solicita-se regularização imediata do abastecimento de insumos indispensáveis à assistência, garantindo condições adequadas para execução das práticas de prevenção e controle de infecção, bem como maior segurança aos pacientes e profissionais de saúde.</t>
  </si>
  <si>
    <t>Não Conformidade Relacionada à Ausência de Sabão Líquido para Higienização das Mãos na UTI.</t>
  </si>
  <si>
    <t>NC 3642 / 2026</t>
  </si>
  <si>
    <t>Foi evidenciado durante inspeção realizada no setor da UTI a ausência de sabão líquido em pontos destinados à higienização das mãos, impossibilitando a execução adequada da técnica de lavagem das mãos pelos profissionais assistenciais. Ressalta-se que a disponibilização contínua de insumos básicos, como sabão líquido, papel-toalha e preparação alcoólica, constitui medida obrigatória e indispensável para prevenção e controle das Infecções Relacionadas à Assistência à Saúde (IRAS), conforme recomendações da ANVISA e da Organização Mundial da Saúde (OMS). Informamos que os colaboradores vêm sendo orientados e cobrados diariamente quanto à adesão correta à higienização das mãos, incluindo os 5 momentos preconizados pela OMS, sendo esta uma das principais barreiras na prevenção da transmissão cruzada de microrganismos no ambiente hospitalar. Contudo, a equipe assistencial tem relatado dificuldades recorrentes relacionadas à ausência de insumos e falhas estruturais que comprometem a execução segura e efetiva da prática. A indisponibilidade de sabão líquido nos dispensadores compromete diretamente a segurança assistencial, especialmente em situações em que há sujidade visível nas mãos ou contato com matéria orgânica, ocasiões em que a lavagem com água e sabão é indispensável. Tal não conformidade pode impactar negativamente na adesão da equipe às práticas de segurança do paciente, aumentando o risco de contaminação cruzada, disseminação de microrganismos multirresistentes e ocorrência de IRAS.
Diante do exposto, solicita-se regularização imediata do abastecimento dos insumos necessários para higienização das mãos, bem como monitoramento contínuo dos pontos de abastecimento, a fim de garantir condições adequadas para assistência segura.</t>
  </si>
  <si>
    <t xml:space="preserve">NÃO ACIONAMENTO DO SERVIÇO DE PSICOLOGIA PARA DEMANDA DE PERDA GESTACIONAL </t>
  </si>
  <si>
    <t>NC 3643 / 2026</t>
  </si>
  <si>
    <t>Identificou-se a passagem de paciente admitida por perda gestacional, submetida ao procedimento de curetagem, com posterior alta hospitalar, sem que houvesse acionamento do serviço de psicologia. Dessa forma, a paciente não recebeu acolhimento psicológico institucional durante a internação.
Ressalta-se que a Lei do Luto Materno e Parental orienta que todas as mulheres e famílias em situação de luto perinatal recebam assistência psicológica ainda no âmbito hospitalar, com encaminhamento para continuidade do suporte na rede municipal de saúde. Além disso, o fluxograma institucional de acionamento da psicologia preconiza os casos de perda gestacional como atendimentos prioritários.
Paciente ACC ? admitida em 12/05, no período da tarde, com alta hospitalar em 13/05, no período da manhã.</t>
  </si>
  <si>
    <t>ENCAMINHAMENTO DE PACIENTE AO CENTRO CIRÚRGICO COM PRONTUÁRIO INCOMPLETO</t>
  </si>
  <si>
    <t>NC 3644 / 2026</t>
  </si>
  <si>
    <t>PACIENTE A.B.S (296116) ADMITIDO NO CENTRO CIRÚRGICO PROVENIENTE DA UTI PARA REALIZAÇÃO DE PROCEDIMENTO CIRÚRGICO, APRESENTANDO PRONTUÁRIO INCOMPLETO NO MOMENTO DA ADMISSÃO AO SETOR. CONSTATOU-SE AUSÊNCIA DE DOCUMENTOS ESSENCIAIS PARA O FLUXO PRÉ-OPERATÓRIO INSTITUCIONAL, CONTENDO INICIALMENTE APENAS PRESCRIÇÃO MÉDICA E BALANÇO HÍDRICO, SEM SOLICITAÇÃO CIRÚRGICA, EVOLUÇÕES MÉDICAS, AVALIAÇÃO CLÍNICA, EXAMES LABORATORIAIS E DEMAIS REGISTROS NECESSÁRIOS PARA CONFERÊNCIA ASSISTENCIAL E REALIZAÇÃO ADEQUADA DO CHECKLIST DE CIRURGIA SEGURA.
DIANTE DA AUSÊNCIA DOCUMENTAL, O SETOR DE ORIGEM FOI ACIONADO, ATRAVÉS DA ENFERMEIRA RESPONSÁVEL PELO PACIENTE, PARA COMPLEMENTAÇÃO DO PRONTUÁRIO E ADEQUAÇÃO AO FLUXO INSTITUCIONAL DE ENCAMINHAMENTO AO CENTRO CIRÚRGICO. APÓS CONTATO INICIAL, O PRONTUÁRIO PERMANECEU INCOMPLETO, SENDO NECESSÁRIA INTERVENÇÃO E ALINHAMENTO ENTRE A COORDENAÇÃO DA LINHA CIRÚRGICA E SUPERVISÃO DA UTI. SOMENTE APÓS O ESCALONAMENTO DA SITUAÇÃO, A DOCUMENTAÇÃO OBRIGATÓRIA FOI ENCAMINHADA DE FORMA COMPLETA AO SETOR.
A SITUAÇÃO OCASIONOU ATRASO NO FLUXO ASSISTENCIAL, NECESSIDADE DE RETRABALHO ENTRE EQUIPES E RISCO POTENCIAL À SEGURANÇA DO PACIENTE, CONSIDERANDO A IMPORTÂNCIA DO ACESSO INTEGRAL ÀS INFORMAÇÕES CLÍNICAS PARA RASTREABILIDADE, CONTINUIDADE DA ASSISTÊNCIA E TOMADA DE DECISÃO SEGURA NO PERÍODO PERIOPERATÓRIO.
RESSALTA-SE A NECESSIDADE DE REFORÇO QUANTO AO CUMPRIMENTO DO FLUXO INSTITUCIONAL DE ENCAMINHAMENTO DE PACIENTES AO CENTRO CIRÚRGICO, GARANTINDO QUE TODA DOCUMENTAÇÃO OBRIGATÓRIA ACOMPANHE O PACIENTE ANTES DA TRANSFERÊNCIA ENTRE SETORES.</t>
  </si>
  <si>
    <t xml:space="preserve">RECEPCAO CADASTRANDO PACIENTE COM FALTA DE DADOS </t>
  </si>
  <si>
    <t>NC 3645 / 2026</t>
  </si>
  <si>
    <t>PACIENTE: JACKSON CARVALHO DA SILVA  ( PROTUARIO 355286) CADASTRADO SEM CPF E SEM NATURALIDADE</t>
  </si>
  <si>
    <t>NC 3646 / 2026</t>
  </si>
  <si>
    <t>PACIENTE: VITORIA KAROLINE SOBRAL LOPES ( 248310) FALTA O NUMERO DO RG.
PACIENTE: JOELMA ALVES DA SILVA (356305) FALTA NOME DO PAI, NATURALIDADE E CPF.</t>
  </si>
  <si>
    <t>QUEBRA DE CONTRATO DE INTEGRAÇÃO</t>
  </si>
  <si>
    <t>NC 3647 / 2026</t>
  </si>
  <si>
    <t>17/05/2026</t>
  </si>
  <si>
    <t>Tipo de evento: QUEBRA DE CONTRATO DE INTEGRAÇÃO
Data da ocorrência: 17/05/2026  Hora: 12:00
*Setor notificador: CGO2
*Setor envolvido: Centro Cirúrgico
DESCRIÇÃO DO FATO
Paciente: G. S. S
Prontuário: 333257
Proveniente do Centro Cirúrgico, foi encaminhado para esta unidade no dia 17/05/206  às 12:00 em desacordo com o fluxo estabelecido entre as supervisões.
Não conformidade identificada:
Paciente encaminhado sem comunicação prévia/enfermeiro não avisado, conforme fluxo estabelecido entre os supervisores dos setores.
CONSEQUÊNCIA / RISCO GERADO
Atraso na assistência
Sobrecarga da equipe que recebeu sem preparo
O pede para buscar, não aciona com antecedencia o maqueiro, a tecnica fica esperando o maqueiro
AÇÃO IMEDIATA TOMADA PELA UNIDADE
Paciente admitido, prescrição checada, familiares orientados, 
SUGESTÃO DE BARREIRA / MELHORIA
Para evitar recorrência, sugere-se: Revisar o fluxo estabelecido de alta da RPA com toda equipe do CC em educação continuada.
Objetivo da notificação: Contribuir para a segurança do paciente e alinhamento dos processos assistenciais entre setores, conforme Metas Internacionais de Segurança nº 2: Comunicação</t>
  </si>
  <si>
    <t>NC 3648 / 2026</t>
  </si>
  <si>
    <t>Tipo de evento: QUEBRA DE CONTRATO DE INTEGRAÇÃO
Data da ocorrência: 17/05/2026  Hora: 18:00
*Setor notificador: CGO2
*Setor envolvido: Centro Cirúrgico
DESCRIÇÃO DO FATO
Paciente: C. F. Q
Prontuário: 292924
Proveniente do Centro Cirúrgico, foi encaminhado para esta unidade no dia 17/05/206  às 18:00 em desacordo com o fluxo estabelecido entre as supervisões.
Não conformidade identificada:
Paciente encaminhado sem comunicação prévia/enfermeiro não avisado, conforme fluxo estabelecido entre os supervisores dos setores.
CONSEQUÊNCIA / RISCO GERADO
Atraso na assistência
Sobrecarga da equipe que recebeu sem preparo
AÇÃO IMEDIATA TOMADA PELA UNIDADE
Paciente admitido, prescrição checada, familiares orientados, 
SUGESTÃO DE BARREIRA / MELHORIA
Para evitar recorrência, sugere-se: Revisar o fluxo estabelecido de alta da RPA com toda equipe do CC em educação continuada.
Objetivo da notificação: Contribuir para a segurança do paciente e alinhamento dos processos assistenciais entre setores, conforme Metas Internacionais de Segurança nº 2: Comunicação</t>
  </si>
  <si>
    <t>NOTIFICAÇÃO A SITUAÇÃO DA LIMPEZA NO SETOR</t>
  </si>
  <si>
    <t>NC 3649 / 2026</t>
  </si>
  <si>
    <t>Venho, por meio desta, registrar insatisfação quanto aos serviços de limpeza realizados no setor dia 17/05/26 durante o noturno, considerando que a execução das atividades não está ocorrendo de forma eficiente e adequada às necessidades do ambiente.
Foi observado que a equipe da limpeza passou pelo setor em duas ocasiões durante o plantão, porém o lixo da copa não foi recolhido, assim como outros lixos do setor permanecem sem retirada.
Além disso, a limpeza do setor está sendo realizada de maneira superficial, deixando evidente a ausência de higienização adequada em diversos locais. Alguns ambientes não estão sendo limpos, e os que recebem limpeza apresentam execução insatisfatória, sem a devida atenção e eficiência necessárias para manutenção de um ambiente organizado, seguro e apropriado.
Solicitamos maior atenção da equipe responsável, bem como reforço na supervisão das atividades realizadas, a fim de garantir a correta execução da limpeza e coleta de resíduos do setor.
Sem mais, seguem registradas as observações para as devidas providências.</t>
  </si>
  <si>
    <t>DISTRIBUIÇÃO DE MEDICAMENTOS</t>
  </si>
  <si>
    <t>NC 3650 / 2026</t>
  </si>
  <si>
    <t>CONFORME NOVO FLUXO, EQUIPE FOI A FARMACIA SATELITE BUSCAR MEDICAÇÕES DE ÀS 10HS, NA QUAL NÃO FORAM ENTREGUES POR FALTA DE PREPARO. QUESTIONO AUXILIAR DA SATELITE , O MESMO RELATA QUE DEU PRIORIDADE AO PAM, POIS MEDICAÇÕES SÓ ESTAVAM PARA 12HS. PORÉM CONFORME FLUXO, TODAS AS MEDICAÇÕES DE 11HS ATÉ 19HS DEVEM SER DISPENSADAS ÀS 10HS. TECNICA VOLTA NA SATÉLITE ÀS 11:40HS, O MESMO AINDA NÃO TINHA FINALIZADO A MONTAGEM. 12:10HS NOVAMENTE SEM ENTREGA, ATRASANDO MEDICAÇÕES.</t>
  </si>
  <si>
    <t>PENDÊNCIA DE ASSINATURA MEDICA</t>
  </si>
  <si>
    <t>NC 3651 / 2026</t>
  </si>
  <si>
    <t>Ana Carolina Aragao Nascimento</t>
  </si>
  <si>
    <t>Prezados,
Informamos que foram identificadas evoluções médicas registradas sem a devida assinatura do profissional responsável, em desacordo com os critérios de registro e validação documental exigidos pela instituição.
Ressaltamos que já foram realizadas tentativas de regularização junto aos responsáveis, incluindo solicitações para coleta das assinaturas pendentes, porém, até o presente momento, não obtivemos retorno, situação que persiste há mais de uma semana.
Dessa forma, solicitamos que o setor realize a verificação e regularização das pendências apontadas, garantindo que todas as evoluções estejam devidamente assinadas, a fim de assegurar a conformidade dos prontuários, a rastreabilidade das informações e o cumprimento das normas institucionais e legais vigentes.
Reforçamos a importância da atenção contínua quanto ao correto preenchimento e validação dos registros assistenciais.
Ficamos à disposição para quaisquer esclarecimentos. 
I.J.S CRM -PA 14591</t>
  </si>
  <si>
    <t>Substituição de cadeira inadequada ao posto de trabalho</t>
  </si>
  <si>
    <t>NC 3652 / 2026</t>
  </si>
  <si>
    <t>Prezados(as),
Por meio desta, fica registrada a necessidade de substituição da cadeira atualmente utilizada pelo colaborador que exerce a função de Auxiliar Administrativo, tendo em vista que o mobiliário disponibilizado consiste em uma cadeira de plástico, inadequada às atividades desempenhadas e às condições ergonômicas exigidas para a função.
Considerando que as atividades administrativas demandam permanência prolongada na posição sentada, utilização contínua de computador e execução de tarefas de escritório, faz-se necessária a disponibilização de cadeira ergonômica apropriada, com condições adequadas de conforto, apoio e segurança, em conformidade com os princípios de ergonomia e saúde ocupacional previstos na legislação trabalhista e na NR-17.
Dessa forma, solicitamos a substituição da cadeira atual por equipamento compatível com a atividade exercida, visando prevenir desconfortos, riscos ergonômicos e possíveis prejuízos à saúde do trabalhador, além de proporcionar melhores condições de trabalho.
Solicitamos que as providências cabíveis sejam adotadas com a maior brevidade possível.</t>
  </si>
  <si>
    <t>RECEPCAO CADASTRANDO PACIENTE COM FALTA DE DADOS</t>
  </si>
  <si>
    <t>NC 3653 / 2026</t>
  </si>
  <si>
    <t>PACIENTE: IVANILDE SILVA DE SOUSA (336341) CADASTRADO SEM NATURALIDADE, SEM NOME DO PAI E SEM NUMERO DE RG.</t>
  </si>
  <si>
    <t>DIVERGÊNCIA DE INSTRUMENTAL EM CAIXA DE CURETAGEM</t>
  </si>
  <si>
    <t>NC 3654 / 2026</t>
  </si>
  <si>
    <t>PACIENTE M.C.S., PRONTUÁRIO 180003, ENCAMINHADA AO CENTRO CIRÚRGICO PARA REALIZAÇÃO DE CURETAGEM DE URGÊNCIA.
AO REALIZAR ABERTURA DA CAIXA DE INSTRUMENTAL DESTINADA AO PROCEDIMENTO, FOI IDENTIFICADA AUSÊNCIA DE 01 PINÇA CURETA SCHROEDER. ALÉM DISSO, CONSTATOU-SE PRESENÇA DE 02 PINÇAS EXCEDENTES ? 01 PINÇA DE DISSECÇÃO COM DENTE E 01 PINÇA DE DISSECÇÃO SEM DENTE ? MATERIAIS QUE NÃO PERTENCEM À COMPOSIÇÃO PADRÃO DA CAIXA DE CURETAGEM.
A DIVERGÊNCIA FOI IDENTIFICADA PREVIAMENTE AO INÍCIO DO PROCEDIMENTO E SINALIZADA POR ESCRITO NO CHECKLIST DA CAIXA DE INSTRUMENTAL. DEVIDO À POSSIBILIDADE DE PROSSEGUIR COM SEGURANÇA, O MÉDICO OPTOU POR MANTER O PROCEDIMENTO SEM NECESSIDADE DE ABERTURA DE NOVA CAIXA DE INSTRUMENTAL. 
REALIZADO NOTIFICAÇÃO COM OBJETIVO DE REGISTRO E PREVENÇÃO DE NOVAS OCORRÊNCIAS SEMELHANTES.</t>
  </si>
  <si>
    <t xml:space="preserve">Autorização do primeiro procedimento </t>
  </si>
  <si>
    <t>NC 3655 / 2026</t>
  </si>
  <si>
    <t>Informo que o procedimento foi entregue para realização da AIH referente ao primeiro procedimento cirúrgico no dia 04/05/2026, porém até o momento não houve devolutiva/documentação de retorno para minha conferência e continuidade do processo.</t>
  </si>
  <si>
    <t>NC 3656 / 2026</t>
  </si>
  <si>
    <t>PACIENTE: DOM ENRICO PAIVS LOPES (356569) ESTA SEM NATURALIDADE E NOME DO PAI.</t>
  </si>
  <si>
    <t>NC 3657 / 2026</t>
  </si>
  <si>
    <t>PACIENTE: CELIA RODRIGUES DE OLIVEIRA ( 289761) ESTA SEM NATURALIDADE, SEM NOME DO PAI, SEM CPF E SEM NUMERO DE RG</t>
  </si>
  <si>
    <t>NC 3658 / 2026</t>
  </si>
  <si>
    <t>PACIENTE: ERIKA SANTIAGO SOUSA(356348) ESTA SEM O NOME DO PAI E NUMERO DE RG.</t>
  </si>
  <si>
    <t>NC 3659 / 2026</t>
  </si>
  <si>
    <t>PACIENTE: MARIA CELESTE SARGES (347706) ESTA SEM NATURALIDADE, SEM CPF E SEM NUMERO DE RG.</t>
  </si>
  <si>
    <t>NC 3660 / 2026</t>
  </si>
  <si>
    <t>Prezados,
Informamos que permanecem pendentes de envio:
a 2ª Avaliação de Desempenho (25/11/2025) da colaboradora D.C.V.A.;
a 1ª Avaliação de Desempenho (15/05/2026) da colaboradora V.S.;
a 1ª Avaliação de Desempenho (15/05/2026) da colaboradora N.S.F.
As avaliações estão sob responsabilidade desta coordenação de setor e seguem pendentes, apesar das tentativas de alinhamento já realizadas.
Ressaltamos que a não entrega dentro do prazo compromete os processos da Gestão de Pessoas, configurando não conformidade.
Solicitamos a regularização imediata da pendência. As evidências das comunicações realizadas seguem anexadas.</t>
  </si>
  <si>
    <t>envio de material danificado para cme</t>
  </si>
  <si>
    <t>NC 3661 / 2026</t>
  </si>
  <si>
    <t>Informamos que, no dia 18/05/2026, às 17h, a Caixa de Cesariana nº 08 foi encaminhada à CME com um porta-agulha quebrado. Ressaltamos que a ocorrência foi previamente comunicada pela enfermeira plantonista do Centro Cirúrgico antes do envio do material.
Solicitamos atenção quanto à conferência e integridade dos instrumentais antes do encaminhamento à CME.</t>
  </si>
  <si>
    <t>Risco de Acidente com Material Perfurocortante - Envio Inadequado de Caixa de Cateterismo Umbilical pela UCI Neonatal</t>
  </si>
  <si>
    <t>NC 3662 / 2026</t>
  </si>
  <si>
    <t>Informamos que, na data de hoje, 18/05/2026 às 15:00 horas, foi encaminhada pela UCI Neonatal ao expurgo da CME uma caixa de cateterismo umbilical contendo uma agulha de sutura em seu interior, expondo as colaboradoras do setor a risco de acidente com material perfurocortante. Reforçamos a importância da conferência adequada dos materiais antes do envio à CME, visando garantir a segurança dos profissionais e evitar recorrências.</t>
  </si>
  <si>
    <t xml:space="preserve">Pendência nas Avaliações de Desempenho </t>
  </si>
  <si>
    <t>NC 3663 / 2026</t>
  </si>
  <si>
    <t>Informamos que permanecem pendentes de envio:
a 1ª (28/11/2025) e 2ª (06/01/2026) Avaliação de Desempenho da colaboradora J.S.S.;
a 1ª (09/01/2026) e 2ª (17/02/2026) Avaliação de Desempenho da colaboradora M.S.M.;
a 1ª (20/02/2026) e 2ª (31/03/2026) Avaliação de Desempenho da colaboradora D.A.A.;
a 2ª (21/04/2026) Avaliação de Desempenho da colaboradora A.S.S.L.;
a 1ª (13/03/2026) e 2ª (21/04/2026) Avaliação de Desempenho da colaboradora A.J.M.L.;
a 1ª (13/03/2026) e 2ª (21/04/2026) Avaliação de Desempenho da colaboradora I.S.S.;
a 2ª (21/04/2026) Avaliação de Desempenho da colaboradora M.P.S.;
a 2ª (21/04/2026) Avaliação de Desempenho da colaboradora N.R.C.;
a 1ª (17/04/2026) Avaliação de Desempenho da colaboradora A.L.A.;
a 1ª (24/04/2026) Avaliação de Desempenho da colaboradora A.M.S.C.;
a 1ª (24/04/2026) Avaliação de Desempenho da colaboradora E.R.S.;
a 1ª (24/04/2026) Avaliação de Desempenho da colaboradora G.L.S.;
a 1ª (24/04/2026) Avaliação de Desempenho da colaboradora J.S.S.A.;
As avaliações estão sob responsabilidade desta coordenação de setor e seguem pendentes, apesar das tentativas de alinhamento já realizadas.
Ressaltamos que a não entrega dentro do prazo compromete os processos da Gestão de Pessoas, configurando não conformidade.
Solicitamos a regularização imediata da pendência. As evidências das comunicações realizadas seguem anexadas.</t>
  </si>
  <si>
    <t>NC 3664 / 2026</t>
  </si>
  <si>
    <t>Tipo de evento: QUEBRA DE CONTRATO DE INTEGRAÇÃO
Data da ocorrência: 19/05/2026  Hora: 10:00
*Setor notificador: CGO2
*Setor envolvido: CPN
DESCRIÇÃO DO FATO
Paciente: V. F.M
Prontuário: 356666
Proveniente do CPN, foi encaminhado para esta unidade no dia 19/05/206  às 10:00 em desacordo com o fluxo estabelecido entre as supervisões.
Não conformidade identificada:
Paciente encaminhado sem comunicação prévia/enfermeiro não avisado, conforme fluxo estabelecido entre os supervisores dos setores.
CONSEQUÊNCIA / RISCO GERADO
Atraso na assistência
Sobrecarga da equipe que recebeu sem preparo
AÇÃO IMEDIATA TOMADA PELA UNIDADE
Paciente admitido, prescrição checada, familiares orientados, 
SUGESTÃO DE BARREIRA / MELHORIA
Para evitar recorrência, sugere-se: Revisar o fluxo estabelecido de alta Do setor com toda equipe do CPN em educação continuada.
Objetivo da notificação: Contribuir para a segurança do paciente e alinhamento dos processos assistenciais entre setores, conforme Metas Internacionais de Segurança nº 2: Comunicação</t>
  </si>
  <si>
    <t>Manifestação Reclamação</t>
  </si>
  <si>
    <t>OV 0566 / 2026</t>
  </si>
  <si>
    <t>Diretoria Geral / Ouvidoria</t>
  </si>
  <si>
    <t>Analisada</t>
  </si>
  <si>
    <t>À Sra. Aline Santos Brabo
Supervisora de Enfermagem da UTI adulto HGP/ASELC
Assunto: Reclamação 
Prezada Supervisora,
Recebemos, em nossa Ouvidoria, de forma presencial, no âmbito do setor hospitalar, a reclamação apresentada pela Sra. Maria Claudia de Aragão Dias Farias, mãe da paciente Ana Cecilia Dias Farias, referente ao atendimento prestado pela equipe do Hospital durante o período em que a paciente permaneceu internada na Unidade de Terapia Intensiva (UTI) e no Pronto Socorro (PS), conforme descrito no documento anexo a este registro.  
Neste sentido, solicitamos que essa supervisão compartilhe com sua equipe e responda via interact , para registro e devolutiva aos usuários.
Desde já agradecemos a colaboração para melhoria dos serviços prestados e nos colocamos à disposição.
Atenciosamente;  -- 
Carla Sena
Assistente da Ouvidoria
(94)99156-5765
Ouvidoria do Hospital Geral de Parauapebas Associação de Saúde, Esporte, Lazer e Cultura - ASELC 
Parauapebas - PA</t>
  </si>
  <si>
    <t>Aprovação</t>
  </si>
  <si>
    <t>Ouvidoria</t>
  </si>
  <si>
    <t xml:space="preserve">Manifestação </t>
  </si>
  <si>
    <t>OV 0567 / 2026</t>
  </si>
  <si>
    <t>À Sra. Débora de Oliveira AlvarengaSupervisora da Clínica Cirúrgica e ortopédica do HGP/ASELC
Assunto: Elogio
Prezada Supervisora, recebemos em nossa ouvidoria através das urnas instaladas nos setores do hospital, diversos elogios referente ao atendimento ofertado pela equipe de enfermagem desta clínica, conforme relatado nos formulário retirados das urnas e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Carla Sena
Assistente da Ouvidoria
(94)99156-5765Ouvidoria do Hospital Geral de Parauapebas Associação de Saúde, Esporte, Lazer e Cultura - ASELC 
Parauapebas - PA</t>
  </si>
  <si>
    <t>Manifestação</t>
  </si>
  <si>
    <t>OV 0568 / 2026</t>
  </si>
  <si>
    <t>Aceita</t>
  </si>
  <si>
    <t>Ao Sr. Alfredo Gomes BarbosaCoordenador da equipe de Fisioterapia do HGP/ASELC
Assunto: Elogio 
Prezado, recebemos em nossa ouvidoria através das urnas instaladas nos setores do hospital os elogios da senhora Tayslene Kananda e Thamires Rabelo , referente ao atendimento ofertado pela equipe de  fisioterapeutas , conforme relatado no documento anexo a este registro..
Neste sentido, solicitamos que essa coordenação compartilhe com sua equipe e responda via interact anexando o formulário de feedback positivo da colaboradora para registro e devolutiva aos usuários.
Desde já agradecemos a colaboração para melhoria dos serviços prestados e nos colocamos à disposição.
Atenciosamente;
-- 
Carla Sena
Assistente da Ouvidoria
(94)99156-5765
Ouvidoria do Hospital Geral de Parauapebas Associação de Saúde, Esporte, Lazer e Cultura - ASELC 
Parauapebas - PA</t>
  </si>
  <si>
    <t>Análise</t>
  </si>
  <si>
    <t>OV 0569 / 2026</t>
  </si>
  <si>
    <t>À Sra. Larissa Talita da Silva
Supervisora de Enfermagem da Clínica Pediátrica e UCI HGP/ASELC
Assunto: Elogio
Prezada Supervisora, recebemos em nossa ouvidoria através das urnas instaladas nos setores do hospital diversos elogios, referente ao atendimento ofertado pela equipe desta clínica , conforme relatado no documento anexo a este registro.Neste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t>
  </si>
  <si>
    <t>OV 0570 / 2026</t>
  </si>
  <si>
    <t>À Sra. Larissa Talita da Silva
Supervisora de Enfermagem da Clínica Pediátrica e UCI HGP/ASELC
Assunto: Reclamação
Prezada Supervisora, recebemos em nossa ouvidoria através das urnas instaladas nos setores do hospital, a reclamação da senhora Kéulle dos Santos Silva, referente ao período em que esteve com seu filho internado, ocasião em que, segundo relato, não foi realizada a troca do lençol da cama onde a criança se encontrava, conforme descrito no documento anexo a este registro.Neste sentido, solicitamos que essa supervisão faça uma análise da manifestação e responda via interact à esta Ouvidoria no prazo de 20 dias conforme a Lei nº 13.460/2017.
Desde já agradecemos a colaboração para melhoria dos serviços prestados ao usuário do SUS e nos colocamos à disposição.
Atenciosamente;
-- 
Carla Sena
Assistente da Ouvidoria
(94)99156-5765Ouvidoria do Hospital Geral de Parauapebas Associação de Saúde, Esporte, Lazer e Cultura - ASELC 
Parauapebas - PA</t>
  </si>
  <si>
    <t>OV 0571 / 2026</t>
  </si>
  <si>
    <t>À Sra. Elane Cristina Bendelack B. Fernandes
Supervisora de Internação e Recepção do HGP/ASELC
Assunto: Elogio
Prezada Supervisora, recebemos em nossa ouvidoria através das urnas instaladas no hospital  o elogio da senhora Linda Inês, referente ao atendimento ofertado pelo colaborador Alex Silva e a Raquel  (agente de portaria), conforme relatado no documento anexo a este registro.
Neste sentido, solicitamos que essa supervisão compartilhe com sua equipe e responda via interact anexando o formulário de feedback positivo do colaborador, para registro e devolutiva aos usuários.
Desde já agradecemos a colaboração para melhoria dos serviços prestados aos usuários e nos colocamos à disposição.
Atenciosamente;
-- 
Carla Sena
Assistente da Ouvidoria
(94)99156-5765
Ouvidoria do Hospital Geral de Parauapebas Associação de Saúde, Esporte, Lazer e Cultura - ASELC 
Parauapebas - PA</t>
  </si>
  <si>
    <t>OV 0572 / 2026</t>
  </si>
  <si>
    <t>Ao Sr. Mardone Lima da Silva 
Supervisor de Enfermagem do Pronto Atendimento Adulto do HGP/ASELC
Assunto: Elogio
Prezado Supervisor, recebemos em nossa ouvidoria através das urnas instaladas nos setores do Hospital diversos elogios referentes ao atendimento prestado pela equipe de enfermagem do Pronto Atendimento Adulto (Pronto-Socorro),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e nos colocamos à disposição.
Atenciosamente; 
-- 
Carla Sena
Assistente da Ouvidoria
(94)99156-5765
Ouvidoria do Hospital Geral de Parauapebas Associação de Saúde, Esporte, Lazer e Cultura - ASELC 
Parauapebas - PA</t>
  </si>
  <si>
    <t>OV 0573 / 2026</t>
  </si>
  <si>
    <t>À Sra. Marisol Luise Vilhene da Silva
Supervisora de Enfermagem da Clínica Médica e Psicossocial do HGP/ASELC
Assunto: Elogio
Prezada Supervisora, recebemos em nossa ouvidoria  através das urnas instaladas nos setores do hospital diversos elogios, referente ao atendimento recebido pela equipe de enfermagem  e pela  Ala da  psicossocial,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 
Carla Sena
Assistente da Ouvidoria
(94)99156-5765
Ouvidoria do Hospital Geral de Parauapebas Associação de Saúde, Esporte, Lazer e Cultura - ASELC 
Parauapebas - PA</t>
  </si>
  <si>
    <t>OV 0574 / 2026</t>
  </si>
  <si>
    <t>À Sra. Nadja Keilane Dantas EspinolaSupervisora de Atendimento do SADT do HGP/ASELC
Assunto: Elogio
Prezada Supervisora, recebemos em nossa ouvidoria através das urnas instaladas nos setores do hospital diversos elogios, referente  ao atendimento recebido pela equipe,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 
Carla Sena
Assistente da Ouvidoria
(94)99156-5765Ouvidoria do Hospital Geral de Parauapebas Associação de Saúde, Esporte, Lazer e Cultura - ASELC 
Parauapebas - PA</t>
  </si>
  <si>
    <t>OV 0575 / 2026</t>
  </si>
  <si>
    <t>À Sra. Elane Cristina Bendelack B. Fernandes
Supervisora de Internação e Recepção do HGP/ASELC
Assunto: Elogio
Prezada Supervisora, recebemos em nossa ouvidoria através das urnas instaladas no hospital  o elogio da senhora Talyta Samara Brito , referente ao atendimento ofertado pela colaboradora Neide  (Recepção do ambulatório ), conforme relatado no documento anexo a este registro.
Neste sentido, solicitamos que essa supervisão compartilhe com sua equipe e responda via interact anexando o formulário de feedback positivo do colaborador, para registro e devolutiva aos usuários.
Desde já agradecemos a colaboração para melhoria dos serviços prestados aos usuários e nos colocamos à disposição.
Atenciosamente;
-- 
Carla Sena
Assistente da Ouvidoria
(94)99156-5765
Ouvidoria do Hospital Geral de Parauapebas Associação de Saúde, Esporte, Lazer e Cultura - ASELC 
Parauapebas - PA</t>
  </si>
  <si>
    <t>OV 0576 / 2026</t>
  </si>
  <si>
    <t>À Sra. Aline Santos Brabo
Supervisora de Enfermagem da UTI adulto HGP/ASELC
Assunto: 
Prezada Supervisora, recebemos em nossa ouvidoria através das urnas instaladas nos setores do hospital a Reclamação da senhora Luana Lima referente à disponibilidade de Equipamentos de Proteção Individual (EPIs) durante o período de visitas na Unidade de Terapia Intensiva (UTI).,  conforme relatado no documento anexo a este registro.
Neste sentido, solicitamos que essa supervisão compartilhe com sua equipe e responda via interact anexando o formulário de feedback , para registro e devolutiva aos usuários.
Desde já agradecemos a colaboração para melhoria dos serviços prestados e nos colocamos à disposição.
Atenciosamente;  
-- 
Carla Sena
Assistente da Ouvidoria
(94)99156-5765
Ouvidoria do Hospital Geral de Parauapebas Associação de Saúde, Esporte, Lazer e Cultura - ASELC 
Parauapebas - PA</t>
  </si>
  <si>
    <t>OV 0577 / 2026</t>
  </si>
  <si>
    <t>Ao Sr. Gustavo Cintra Silva
Coordenador de Facilities do HGP/ASELC
Assunto: Elogio 
Prezado Coordenador, recebemos em nossa ouvidoria através das urnas instaladas nos setores do hospital Elogio da senhora Tilene Pimentel de Almeida à colaboradora Vanilza, do setor de Limpeza do Hospital, manifestando satisfação quanto à excelência e à qualidade do trabalho prestado , conforme relatado no documento anexo a este registro.
Neste sentido, solicitamos que essa coordenação faça uma análise das reclamações e responda via interact à Ouvidoria no prazo de 20 dias, conforme a Lei nº 13.460/2017.
Desde já, agradecemos a colaboração para a melhoria dos serviços prestados ao usuário e nos colocamos à disposição.
-- Atenciosamente
-- 
Carla Sena
Assistente da Ouvidoria
(94)99156-5765
Ouvidoria do Hospital Geral de Parauapebas Associação de Saúde, Esporte, Lazer e Cultura - ASELC 
Parauapebas - PA</t>
  </si>
  <si>
    <t>OV 0578 / 2026</t>
  </si>
  <si>
    <t>Ao Sr. Mardone Lima da Silva 
Supervisor de Enfermagem do Pronto Atendimento Adulto do HGP/ASELC
Assunto: Elogio
Prezado Supervisor, recebemos em nossa ouvidoria através das urnas instaladas nos setores do Hospital diversos elogios , referente ao atendimento recebido pela equipe de enfermagem do pronto atendimento adulto,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e nos colocamos à disposição.
Atenciosamente; 
-- 
Carla Sena
Assistente da Ouvidoria
(94)99156-5765
Ouvidoria do Hospital Geral de Parauapebas Associação de Saúde, Esporte, Lazer e Cultura - ASELC 
Parauapebas - PA</t>
  </si>
  <si>
    <t>OV 0579 / 2026</t>
  </si>
  <si>
    <t>À Sra. Débora de Oliveira Alvarenga
Supervisora da Clínica Cirúrgica e ortopédica do HGP/ASELC
Assunto: Elogio
Prezada Supervisora, recebemos em nossa ouvidoria através das urnas instaladas nos setores do hospital, diversos elogios referente ao atendimento ofertado pela equipe de enfermagem desta clínica, conforme relatado nos formulário retirados das urnas e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 
Carla Sena
Assistente da Ouvidoria
(94)99156-5765
Ouvidoria do Hospital Geral de Parauapebas Associação de Saúde, Esporte, Lazer e Cultura - ASELC 
Parauapebas - PA</t>
  </si>
  <si>
    <t>OV 0580 / 2026</t>
  </si>
  <si>
    <t>Ao Sr. Mardone Lima da Silva 
Supervisor de Enfermagem do Pronto Atendimento Adulto do HGP/ASELC
Assunto: Reclamação
Prezado Supervisor, Recebemos, por meio da Ouvidoria, diversas reclamações registradas tanto nas urnas instaladas nos setores do hospital quanto pela rede social (WhatsApp), referente a demora do  atendimento e classificação na  triagem ,  conforme relatado no documento anexo a este registro com data e horário.Neste sentido, solicitamos que essa supervisão faça uma análise da manifestação e responda via interact à esta Ouvidoria no prazo de 20 dias conforme a Lei nº 13.460/2017.
Desde já agradecemos a colaboração para melhoria dos serviços prestados ao usuário e nos colocamos à disposição.
Atenciosamente;-- 
Carla Sena
Assistente da Ouvidoria
(94)99156-5765
Ouvidoria do Hospital Geral de Parauapebas Associação de Saúde, Esporte, Lazer e Cultura - ASELC 
Parauapebas - PA</t>
  </si>
  <si>
    <t>OV 0581 / 2026</t>
  </si>
  <si>
    <t>Ao Sr. Mardone Lima da Silva 
Supervisor de Enfermagem do Pronto Atendimento Adulto do HGP/ASELC
Assunto: Elogio
Prezado Supervisor, recebemos em nossa ouvidoria através das urnas instaladas nos setores do Hospital diversos elogios , referente ao atendimento recebido pela equipe de enfermagem do pronto atendimento adulto,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e nos colocamos à disposição.
Atenciosamente; 
-- 
Carla Sena
Assistente da Ouvidoria
(94)99156-5765
Ouvidoria do Hospital Geral de Parauapebas Associação de Saúde, Esporte, Lazer e Cultura - ASELC 
Parauapebas - PA</t>
  </si>
  <si>
    <t>OV 0582 / 2026</t>
  </si>
  <si>
    <t>À Sra. Nadja Keilane Dantas Espinola
Supervisora de Atendimento do SADT do HGP/ASELC
Assunto: Elogio
Prezada Supervisora, recebemos em nossa ouvidoria através das urnas instaladas nos setores do hospital os elogios das senhoras Erleane Rosa e  Eluziane Rosa , referente  ao atendimento recebido pela equipe,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 
Carla Sena
Assistente da Ouvidoria
(94)99156-5765
Ouvidoria do Hospital Geral de Parauapebas Associação de Saúde, Esporte, Lazer e Cultura - ASELC 
Parauapebas - PA</t>
  </si>
  <si>
    <t>OV 0583 / 2026</t>
  </si>
  <si>
    <t>À Sra. Nadja Keilane Dantas Espinola
Supervisora de Atendimento do SADT do HGP/ASELC
Assunto: Reclamação
Prezada Supervisora, recebemos em nossa ouvidoria de forma presencial a reclamação da senhora Géssica Silva, referente à recusa na realização do exame de abdome total, conforme descrito no documento anexo a este registro.
Neste sentido, solicitamos que essa supervisão responda à esta Ouvidoria no prazo de 20 dias conforme a Lei nº 13.460/2017.
Desde já agradecemos a colaboração para melhoria dos serviços prestados ao usuário e nos colocamos à disposição.
Observação: A resposta da manifestação deve ser respondida via interact para registro e devolutiva ao usuário.
Atenciosamente;
-- 
Carla Sena
Assistente da Ouvidoria
(94)99156-5765
Ouvidoria do Hospital Geral de Parauapebas Associação de Saúde, Esporte, Lazer e Cultura - ASELC 
Parauapebas - PA</t>
  </si>
  <si>
    <t>OV 0584 / 2026</t>
  </si>
  <si>
    <t>À Sra. Dayana Luz dos Santos
Supervisora de Enfermagem do PAM do HGP/ASELC
Assunto: Elogio
Prezada Supervisora, recebemos em nossa ouvidoria através das urnas instaladas nos setores do hospital o elogio do senhor Jaderson Sousa Marques , referente ao atendimento ofertado pela equipe de enfermagem do CPN, conforme relatado no documento anexo a este registro.Neste sentido, solicitamos que essa supervisão compartilhe com sua equipe e responda via interact anexando o formulário de feedback positivo aos colaboradores elogiados, para registro e devolutiva aos usuários.  
Desde já agradecemos a colaboração para melhoria dos serviços prestados ao usuário e nos colocamos à disposição.
Atenciosamente;
-- 
Carla Sena
Assistente da Ouvidoria
(94)99156-5765
Ouvidoria do Hospital Geral de Parauapebas Associação de Saúde, Esporte, Lazer e Cultura - ASELC 
Parauapebas - PA</t>
  </si>
  <si>
    <t>OV 0585 / 2026</t>
  </si>
  <si>
    <t>À Sra. Dayana Luz dos Santos
Supervisora de Enfermagem do PAM do HGP/ASELC
Assunto: Reclamação
Prezada Supervisora, Recebemos por meio da Ouvidoria, a reclamação das Sras. Diancleide de Oliveira e Maiara, registrada por meio das urnas instaladas nos setores do hospital e pela rede social (WhatsApp), referente ao atendimento prestado, conforme relatado no documento anexo a este registro.  Neste sentido, solicitamos que essa supervisão faça uma análise da reclamação e responda via interact à esta Ouvidoria no prazo de 20 dias conforme a Lei nº 13.460/2017.
Desde já agradecemos a colaboração para melhoria dos serviços prestados ao usuário e nos colocamos à disposição.
Atenciosamente;
-- 
Carla Sena
Assistente da Ouvidoria
(94)99156-5765
Ouvidoria do Hospital Geral de Parauapebas Associação de Saúde, Esporte, Lazer e Cultura - ASELC 
Parauapebas - PA</t>
  </si>
  <si>
    <t>OV 0586 / 2026</t>
  </si>
  <si>
    <t>À Sra. Larissa Talita da Silva
Supervisora de Enfermagem da Clínica Pediátrica e UCI HGP/ASELC
Assunto: Elogio
Prezada Supervisora, Recebemos, por meio da Ouvidoria, o elogio dos Srs. Geovane e Natanael Azevedo, registrado por meio das urnas instaladas nos setores do hospital e pela rede social (WhatsApp), referente ao atendimento ofertado pela equipe desta clínica, tanto na UCI quanto na Pediatria,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 
Carla Sena
Assistente da Ouvidoria
(94)99156-5765
Ouvidoria do Hospital Geral de Parauapebas Associação de Saúde, Esporte, Lazer e Cultura - ASELC 
Parauapebas - PA</t>
  </si>
  <si>
    <t>Reclamação</t>
  </si>
  <si>
    <t>OV 0587 / 2026</t>
  </si>
  <si>
    <t>À Sra. Débora de Oliveira Alvarenga
Supervisora da Clínica Cirúrgica e ortopédica do HGP/ASELC
Assunto: Reclamação
Prezada Supervisora, recebemos em nossa ouvidoria através das redes sociais (whatsapp) a reclamação da senhora Deise Alves da Costa, referente ao atendimento e conduta da colaboradora Domingas, conforme relatado no documento anexo a este registro.
Neste sentido, solicitamos que essa supervisão abra uma ação no interact e responda à esta Ouvidoria no prazo de 20 dias conforme a Lei nº 13.460/2017.
Desde já agradecemos a colaboração para melhoria dos serviços prestados ao usuário e nos colocamos à disposição.
Atenciosamente
Carla Conceição
Ouvidora
(94)99156-5765
Ouvidoria do Hospital Geral de Parauapebas Associação de Saúde, Esporte, Lazer e Cultura - ASELC 
Parauapebas - PA</t>
  </si>
  <si>
    <t>Sugestão</t>
  </si>
  <si>
    <t>OV 0588 / 2026</t>
  </si>
  <si>
    <t>À Sra. Marisol Luise Vilhene da Silva
Supervisora de Enfermagem da Clínica Médica e Psicossocial do HGP/ASELC
Assunto: Sugestão
Prezada Supervisora, recebemos em nossa ouvidoria  através das urnas instaladas nos setores do hospital a sugestão da senhora Eliania Lima, referente a atenção dos profissionais aos pacientes, conforme relatado no documento anexo a este registro.
Neste sentido,  solicitamos que essa supervisão compartilhe com sua equipe e responda com justificativa plausível ao usuário via interact, para registro e devolutiva.
Desde já agradecemos a colaboração para melhoria dos serviços prestados aos usuários e nos colocamos à disposição.
Atenciosamente;
Carla Conceição
Ouvidora
(94)99156-5765
Ouvidoria do Hospital Geral de Parauapebas Associação de Saúde, Esporte, Lazer e Cultura - ASELC 
Parauapebas - PA     </t>
  </si>
  <si>
    <t>OV 0589 / 2026</t>
  </si>
  <si>
    <t>À Sra. Elane Cristina Bendelack B. Fernandes
Supervisora de Internação, recepção e portaria do HGP/ASELC
Assunto: Reclamação
Prezada Supervisora, recebemos em nossa ouvidoria através das redes sociais (Whatsapp) a reclamação do senhor Leandro Pereira da Silva, referente ao abandono e desorganização da recepção do pronto atendimento adulto, o que para ele soa como um total desrespeito e ofensa como cidadão do Município ter presenciado tal cena, conforme relatado no documento anexo a este registro.
Neste sentido, solicitamos que essa supervisão faça uma análise da manifestação e responda via interact à esta Ouvidoria no prazo de 20 dias conforme a Lei nº 13.460/2017.
Desde já agradecemos a colaboração para melhoria dos serviços prestados ao usuário e nos colocamos à disposição.
Atenciosamente;
Carla Conceição
Ouvidora
(94)99156-5765
Ouvidoria do Hospital Geral de Parauapebas Associação de Saúde, Esporte, Lazer e Cultura - ASELC 
Parauapebas - PA    </t>
  </si>
  <si>
    <t>Elogio</t>
  </si>
  <si>
    <t>OV 0590 / 2026</t>
  </si>
  <si>
    <t>Efetiva</t>
  </si>
  <si>
    <t>À Sra. Marisol Luise Vilhene da Silva
Supervisora de Enfermagem da Clínica Médica e Psicossocial do HGP/ASELC
Assunto: Elogio
Prezada Supervisora, recebemos em nossa ouvidoria  através das urnas instaladas nos setores do hospital os elogios dos Srs. Reinaldo Santos e Willas Lima, referente ao atendimento recebido pelas colaboradoras Francisca (técnica de enfermagem) e Enfermeira Wilka,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Carla Conceição
Ouvidora
(94)99156-5765
Ouvidoria do Hospital Geral de Parauapebas Associação de Saúde, Esporte, Lazer e Cultura - ASELC 
Parauapebas - PA     </t>
  </si>
  <si>
    <t>OV 0591 / 2026</t>
  </si>
  <si>
    <t>À Sra. Ana Luiza Timoteo Costa
Supervisora do SND do HGP/ASELC
Assunto: Elogio 
Prezada Supervisora, recebemos em nossa ouvidoria através das urnas instaladas nos setores do hospital o elogio da senhora Lisiane Paixão,  referente à colaboradora Alzira (copeira), manifestando satisfação quanto à excelência e à qualidade do trabalho prestado,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Carla Conceição
Ouvidora
(94)99156-5765
Ouvidoria do Hospital Geral de Parauapebas Associação de Saúde, Esporte, Lazer e Cultura - ASELC 
Parauapebas - PA     </t>
  </si>
  <si>
    <t>OV 0592 / 2026</t>
  </si>
  <si>
    <t>Ao Sr. Gustavo Cintra Silva
Coordenador de Facilities do HGP/ASELC
Assunto: Elogio
Prezado Coordenador, recebemos em nossa ouvidoria através das urnas instaladas nos setores do hospital o Elogio da senhora Denise, referente ao serviço ofertado pela colaboradora da clínica médica da empresa de Limpeza do Hospital (top clean), manifestando satisfação quanto à excelência e à qualidade do trabalho prestado, conforme relatado no documento anexo a este registro.
Neste sentido, solicitamos que essa coordenação compartilhe com sua equipe e responda via interact anexando o formulário de feedback positivo da colaboradora elogiada, para registro e devolutiva aos usuários.  
Desde já agradecemos a colaboração para melhoria dos serviços prestados ao usuário e nos colocamos à disposição.
 Atenciosamente
Carla Conceição
Ouvidora
(94)99156-5765
Ouvidoria do Hospital Geral de Parauapebas Associação de Saúde, Esporte, Lazer e Cultura - ASELC 
Parauapebas - PA     </t>
  </si>
  <si>
    <t>OV 0593 / 2026</t>
  </si>
  <si>
    <t>Rosinete de Jesus Monteiro Santos</t>
  </si>
  <si>
    <t>Á Sra. Rosinete de Jesus Monteiro Santos
Supervisora do Ambulatório do HGP/ASELC
Assunto: Elogio
Prezada Supervisora, recebemos em nossa ouvidoria através das urnas instaladas nos setores do hospital diversos elogios, referente ao atendimento ofertado pela equipe do Ambulatório,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e nos colocamos à disposição.
Atenciosamente;
-- 
Carla Conceição 
Ouvidora(94)99156-5765
Ouvidoria do Hospital Geral de Parauapebas Associação de Saúde, Esporte, Lazer e Cultura - ASELC 
Parauapebas - PA</t>
  </si>
  <si>
    <t>OV 0594 / 2026</t>
  </si>
  <si>
    <t>À Sra. Nadja Keilane Dantas Espinola
Supervisora de Atendimento do SADT do HGP/ASELC
Assunto: Elogio
Prezada Supervisora, recebemos em nossa ouvidoria através das urnas instaladas nos setores do hospital diversos elogios, referente  ao atendimento recebido pela equipe,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 
Carla Conceição
Ouvidora
(94)99156-5765
Ouvidoria do Hospital Geral de Parauapebas Associação de Saúde, Esporte, Lazer e Cultura - ASELC 
Parauapebas - PA</t>
  </si>
  <si>
    <t>OV 0595 / 2026</t>
  </si>
  <si>
    <t>À Sra. Elane Cristina Bendelack B. Fernandes
Supervisora de Internação e Recepção do HGP/ASELC
Assunto: Elogio
Prezada Supervisora, recebemos em nossa ouvidoria através das urnas instaladas no hospital  o elogio do senhor Samuel Cutrim da Silva, referente ao atendimento ofertado pela colaboradora Benedita Marques (Recepcionista), conforme relatado no documento anexo a este registro.
Neste sentido, solicitamos que essa supervisão compartilhe com sua equipe e responda via interact anexando o formulário de feedback positivo da colaboradora, para registro e devolutiva aos usuários.
Desde já agradecemos a colaboração para melhoria dos serviços prestados aos usuários e nos colocamos à disposição.
Atenciosamente;
-- 
Carla Conceição
Ouvidora
(94)99156-5765
Ouvidoria do Hospital Geral de Parauapebas Associação de Saúde, Esporte, Lazer e Cultura - ASELC 
Parauapebas - PA</t>
  </si>
  <si>
    <t>OV 0596 / 2026</t>
  </si>
  <si>
    <t>À Sra. Elane Cristina Bendelack B. Fernandes
Supervisora de Internação e Recepção do HGP/ASELC
Assunto: Elogio
Prezada Supervisora, recebemos em nossa ouvidoria através das urnas instaladas no hospital  o elogio da senhora Cidiane de Araújo, referente ao atendimento ofertado pela colaboradora Janaina (Posso ajudar), conforme relatado no documento anexo a este registro.
Neste sentido, solicitamos que essa supervisão compartilhe com sua equipe e responda via interact anexando o formulário de feedback positivo da colaboradora, para registro e devolutiva aos usuários.
Desde já agradecemos a colaboração para melhoria dos serviços prestados aos usuários e nos colocamos à disposição.
Atenciosamente;
-- 
Carla Conceição
Ouvidora
(94)99156-5765
Ouvidoria do Hospital Geral de Parauapebas Associação de Saúde, Esporte, Lazer e Cultura - ASELC 
Parauapebas - PA</t>
  </si>
  <si>
    <t>OV 0597 / 2026</t>
  </si>
  <si>
    <t>À Sra. Débora de Oliveira Alvarenga
Supervisora da Clínica Cirúrgica e ortopédica do HGP/ASELC
Assunto: Reclamação
Prezada Supervisora, recebemos em nossa ouvidoria através das urnas instaladas nos setores do hospital a reclamação do senhor Fabiano dos Santos, referente ao barulho na enfermaria do plantão noturno e a falta de corrimão no banheiro para que o paciente possa se apoiar, conforme relatado no documento anexo a este registro.
Neste sentido, solicitamos que essa supervisão abra uma ação no interact e responda à esta Ouvidoria no prazo de 20 dias conforme a Lei nº 13.460/2017.
Desde já agradecemos a colaboração para melhoria dos serviços prestados ao usuário e nos colocamos à disposição.
Atenciosamente
-- 
Carla Conceição
Ouvidora
(94)99156-5765
Ouvidoria do Hospital Geral de Parauapebas Associação de Saúde, Esporte, Lazer e Cultura - ASELC 
Parauapebas - PA</t>
  </si>
  <si>
    <t>OV 0598 / 2026</t>
  </si>
  <si>
    <t>À Sra. Débora de Oliveira Alvarenga
Supervisora da Clínica Cirúrgica e ortopédica do HGP/ASELC
Assunto: Elogio
Prezada Supervisora, recebemos em nossa ouvidoria através das urnas instaladas nos setores do hospital, diversos elogios referente ao atendimento ofertado pela equipe de enfermagem desta clínica, conforme relatado nos formulário retirados das urnas e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Carla Conceição
Ouvidora
(94)99156-5765
Ouvidoria do Hospital Geral de Parauapebas Associação de Saúde, Esporte, Lazer e Cultura - ASELC 
Parauapebas - PA</t>
  </si>
  <si>
    <t>OV 0599 / 2026</t>
  </si>
  <si>
    <t>Ao Sr. Mardone Lima da Silva 
Supervisor de Enfermagem do Pronto Atendimento Adulto do HGP/ASELC
Assunto: Elogio
Prezado Supervisor, recebemos em nossa ouvidoria através das urnas instaladas nos setores do Hospital o elogio da senhora Samara Rosa e do senhor Samuel Cutrim, referente ao atendimento recebido dos(as) colaboradores(as) Uclenes e Nilson (técnico de enfermagem) do pronto atendimento adulto,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e nos colocamos à disposição.
Atenciosamente; 
Carla Conceição
Ouvidora
(94)99156-5765
Ouvidoria do Hospital Geral de Parauapebas Associação de Saúde, Esporte, Lazer e Cultura - ASELC 
Parauapebas - PA</t>
  </si>
  <si>
    <t>OV 0600 / 2026</t>
  </si>
  <si>
    <t>À Sra. Marisol Luise Vilhene da Silva
Supervisora de Enfermagem da Clínica Médica e Psicossocial do HGP/ASELC
Assunto: Elogio
Prezada Supervisora, recebemos em nossa ouvidoria  através das urnas instaladas nos setores do hospital diversos elogios, referente ao atendimento recebido pela equipe de enfermagem desta clínica,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 
Carla Conceição
Ouvidora
(94)99156-5765
Ouvidoria do Hospital Geral de Parauapebas Associação de Saúde, Esporte, Lazer e Cultura - ASELC 
Parauapebas - PA</t>
  </si>
  <si>
    <t>OV 0601 / 2026</t>
  </si>
  <si>
    <t>À Sra. Aline Santos Brabo
Supervisora de Enfermagem da UTI adulto HGP/ASELC
Assunto: Elogio
Prezada Supervisora, recebemos em nossa ouvidoria através das urnas instaladas nos setores do hospital o elogio da senhora Antonia Ilma Barbosa, referente ao atendimento recebido pela equipe de enfermeiros, técnicos e médicos deste setor, que está grata em manifestar que teve um atendimento humanizado e foi muito bem acolhida por todos,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e nos colocamos à disposição.
Atenciosamente;  
-- 
Carla Conceição
Ouvidora
(94)99156-5765
Ouvidoria do Hospital Geral de Parauapebas Associação de Saúde, Esporte, Lazer e Cultura - ASELC 
Parauapebas - PA</t>
  </si>
  <si>
    <t>OV 0602 / 2026</t>
  </si>
  <si>
    <t>Adriana Gomes Ribeiro Colares</t>
  </si>
  <si>
    <t>À Sra. Dra. Adriana Gomes Ribeiro Colares
Gerente Médica do Pronto Atendimento Adulto do HGP/ASELC
Assunto: Elogio
Prezada Dra, recebemos em nossa ouvidoria através das urnas instaladas nos setores do hospital o elogio da senhora Mirian Ferreira da Silva, referente ao atendimento recebido pela profissional Dra. Ricarda, conforme relatado no documento anexo a este registro.
Neste sentido, solicitamos que essa Gerencia compartilhe com sua equipe e responda via interact anexando o formulário de feedback positivo, para registro e devolutiva aos usuários.
Desde já agradecemos a colaboração para melhoria dos serviços prestados e nos colocamos à disposição.
Atenciosamente;
Carla Conceição
Ouvidora
(94)99156-5765
Ouvidoria do Hospital Geral de Parauapebas Associação de Saúde, Esporte, Lazer e Cultura - ASELC 
Parauapebas - PA     </t>
  </si>
  <si>
    <t>OV 0603 / 2026</t>
  </si>
  <si>
    <t>À Sra. Débora de Oliveira Alvarenga
Supervisora da Clínica Cirúrgica e ortopédica do HGP/ASELC
Assunto: Elogio
Prezada Supervisora, recebemos em nossa ouvidoria através das urnas instaladas nos setores do hospital, diversos elogios referente ao atendimento ofertado pela equipe de enfermagem desta clínica, conforme relatado nos formulário retirados das urnas e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 
Carla Conceição
Ouvidora
(94)99156-5765
Ouvidoria do Hospital Geral de Parauapebas Associação de Saúde, Esporte, Lazer e Cultura - ASELC 
Parauapebas - PA     </t>
  </si>
  <si>
    <t>OV 0604 / 2026</t>
  </si>
  <si>
    <t>Em Aceite</t>
  </si>
  <si>
    <t>À Sra. Larissa Talita da Silva
Supervisora de Enfermagem da Clínica Pediátrica e UCI HGP/ASELC
Assunto: Elogio
Prezada Supervisora, recebemos em nossa ouvidoria através das urnas instaladas nos setores do hospital o elogio da senhora Maiara Cavalcante e Maria Madalena, referente ao atendimento ofertado pela equipe desta clínica,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Carla Conceição
Ouvidora
(94)99156-5765
Ouvidoria do Hospital Geral de Parauapebas Associação de Saúde, Esporte, Lazer e Cultura - ASELC 
Parauapebas - PA     </t>
  </si>
  <si>
    <t>OV 0605 / 2026</t>
  </si>
  <si>
    <t>À Sra. Dayana Luz dos Santos
Supervisora de Enfermagem do PAM do HGP/ASELC
Assunto: Elogio
Prezada Supervisora, recebemos em nossa ouvidoria através das urnas instaladas nos setores do hospital o elogio da senhora Taiomara de Souza Pereira, referente ao atendimento ofertado pela equipe médica e de  enfermagem do Pronto Atendimento Materno nos dias 04,05 e 06/02/2026, conforme relatado no documento anexo a este registro.
Neste sentido, solicitamos que essa supervisão compartilhe com sua equipe e responda via interact anexando o formulário de feedback positivo aos colaboradores elogiados, para registro e devolutiva aos usuários.  Desde já agradecemos a colaboração para melhoria dos serviços prestados ao usuário e nos colocamos à disposição.
Atenciosamente;
-- 
Carla Conceição
Ouvidora
(94)99156-5765
Ouvidoria do Hospital Geral de Parauapebas Associação de Saúde, Esporte, Lazer e Cultura - ASELC 
Parauapebas - PA     </t>
  </si>
  <si>
    <t>OV 0606 / 2026</t>
  </si>
  <si>
    <t>À Sra. Aline Santos Brabo
Supervisora de Enfermagem da UTI adulto HGP/ASELC
Assunto: Elogio
Prezada Supervisora, recebemos em nossa ouvidoria através das urnas instaladas nos setores do hospital diversos elogios, referente ao atendimento recebido pela equipe de enfermeiros, técnicos deste setor,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e nos colocamos à disposição.
Atenciosamente;  
-- 
Carla Conceição
Ouvidora
(94)99156-5765
Ouvidoria do Hospital Geral de Parauapebas Associação de Saúde, Esporte, Lazer e Cultura - ASELC 
Parauapebas - PA     </t>
  </si>
  <si>
    <t>OV 0607 / 2026</t>
  </si>
  <si>
    <t>À Sra. Marisol Luise Vilhene da Silva
Supervisora de Enfermagem da Clínica Médica e Psicossocial do HGP/ASELC
Assunto: Elogio
Prezada Supervisora, recebemos em nossa ouvidoria  através das urnas instaladas nos setores do hospital diversos elogios, referente ao atendimento recebido pela equipe de enfermagem desta clínica,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Carla Conceição
Ouvidora
(94)99156-5765
Ouvidoria do Hospital Geral de Parauapebas 
Associação de Saúde, Esporte, Lazer e Cultura - ASELC 
Parauapebas - PA</t>
  </si>
  <si>
    <t>OV 0608 / 2026</t>
  </si>
  <si>
    <t>À Sra. Elane Cristina Bendelack B. Fernandes
Supervisora de Internação e Recepção do HGP/ASELC
Assunto: Elogio
Prezada Supervisora, recebemos em nossa ouvidoria através das urnas instaladas no hospital  o elogio do senhor Luis, referente ao atendimento ofertado pela colaboradora Mercês (Posso ajudar), conforme relatado no documento anexo a este registro.
Neste sentido, solicitamos que essa supervisão compartilhe com sua equipe e responda via interact anexando o formulário de feedback positivo da colaboradora, para registro e devolutiva aos usuários.
Desde já agradecemos a colaboração para melhoria dos serviços prestados aos usuários e nos colocamos à disposição.
Atenciosamente;
-- 
Carla Conceição
Ouvidora
(94)99156-5765
Ouvidoria do Hospital Geral de Parauapebas Associação de Saúde, Esporte, Lazer e Cultura - ASELC 
Parauapebas - PA     </t>
  </si>
  <si>
    <t>OV 0609 / 2026</t>
  </si>
  <si>
    <t>Ao Sr. Mardone Lima da Silva 
Supervisor de Enfermagem do Pronto Atendimento Adulto do HGP/ASELC
Assunto: Elogio
Prezado Supervisor, recebemos em nossa ouvidoria através das urnas instaladas nos setores do Hospital o elogio da senhora Marilena Almeida, referente ao atendimento ofertado pelo colaborador Nilson (técnico de enfermagem) do pronto atendimento adulto,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e nos colocamos à disposição.
Atenciosamente; 
-- 
Carla Conceição
Ouvidora
(94)99156-5765
Ouvidoria do Hospital Geral de Parauapebas Associação de Saúde, Esporte, Lazer e Cultura - ASELC 
Parauapebas - PA     </t>
  </si>
  <si>
    <t>OV 0610 / 2026</t>
  </si>
  <si>
    <t>À Sra. Dra. Adriana Gomes Ribeiro Colares
Gerente Médica do Pronto Atendimento Adulto do HGP/ASELC
Assunto: Elogio
Prezada Dra, recebemos em nossa ouvidoria através das redes sociais o elogio do senhor Edmar Nascimento, referente ao atendimento recebido pelos profissionais Dra. Geovana Santana e Dr. Tiago Tabosa, conforme relatado no documento anexo a este registro.
Neste sentido, solicitamos que essa Gerência compartilhe com sua equipe e responda via interact anexando o formulário de feedback positivo, para registro e devolutiva aos usuários.
Desde já agradecemos a colaboração para melhoria dos serviços prestados e nos colocamos à disposição.
Atenciosamente;
-- 
Carla Conceição
Ouvidora
(94)99156-5765
Ouvidoria do Hospital Geral de Parauapebas Associação de Saúde, Esporte, Lazer e Cultura - ASELC 
Parauapebas - PA     </t>
  </si>
  <si>
    <t>OV 0611 / 2026</t>
  </si>
  <si>
    <t>Ao Sr. Mardone Lima da Silva 
Supervisor de Enfermagem do Pronto Atendimento Adulto do HGP/ASELC
Assunto: Elogio
Prezado Supervisor, recebemos em nossa ouvidoria através das redes sociais (whatsapp) o elogio do senhor  Edmar Nascimento, referente ao atendimento ofertado pela colaboradora Letícia Almeida (técnica de enfermagem) do pronto atendimento adulto,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e nos colocamos à disposição.
Atenciosamente; 
-- 
Carla Conceição
Ouvidora
(94)99156-5765
Ouvidoria do Hospital Geral de Parauapebas Associação de Saúde, Esporte, Lazer e Cultura - ASELC 
Parauapebas - PA     </t>
  </si>
  <si>
    <t>OV 0612 / 2026</t>
  </si>
  <si>
    <t>À Sra. Aline Santos Brabo
Supervisora de Enfermagem da UTI adulto HGP/ASELC
Assunto: Elogio
Prezada Supervisora, recebemos em nossa ouvidoria através das urnas instaladas nos setores do hospital o elogio da senhora Elany Garcia, referente ao atendimento recebido pela equipe da enfermeira Ivis,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e nos colocamos à disposição.
Atenciosamente;  
Carla Conceição
Ouvidora
(94)99156-5765
Ouvidoria do Hospital Geral de Parauapebas Associação de Saúde, Esporte, Lazer e Cultura - ASELC 
Parauapebas - PA     </t>
  </si>
  <si>
    <t>OV 0613 / 2026</t>
  </si>
  <si>
    <t>À Sra. Aline Santos Brabo
Supervisora de Enfermagem da UTI adulto HGP/ASELC
Assunto: Reclamação 
Prezada Supervisora, recebemos em nossa Ouvidoria através das urnas instaladas nos setores do hospital, a reclamação da Sra. Simone Silva Souza, referente a conduta da colaboradora Poliana (técnica de enfermagem) em seu atendimento, conforme descrito no documento anexo a este registro.  
Neste sentido, solicitamos que essa supervisão faça uma análise da manifestação e responda à esta Ouvidoria no prazo de 20 dias conforme a Lei nº 13.460/2017.
Desde já agradecemos a colaboração para melhoria dos serviços prestados e nos colocamos à disposição.
Atenciosamente;  --
-- 
Carla Conceição
Ouvidora
(94)99156-5765
Ouvidoria do Hospital Geral de Parauapebas Associação de Saúde, Esporte, Lazer e Cultura - ASELC 
Parauapebas - PA</t>
  </si>
  <si>
    <t>OV 0614 / 2026</t>
  </si>
  <si>
    <t>Ao Sr. Mardone Lima da Silva 
Supervisor de Enfermagem do Pronto Atendimento Adulto do HGP/ASELC
Assunto: Reclamação
Prezado Supervisor, recebemos em nossa ouvidoria através do e-mail institucional a reclamação da senhora Silvana Oliveira, referente à conduta dos colaboradores de plantão no posto de enfermagem, e a demora no atendimento de medicação da paciente E K O S,  conforme relatado no documento anexo a este registro com data e horário.
Neste sentido, solicitamos que essa supervisão faça uma análise da manifestação e responda via interact à esta Ouvidoria no prazo de 20 dias conforme a Lei nº 13.460/2017.
Desde já agradecemos a colaboração para melhoria dos serviços prestados ao usuário e nos colocamos à disposição.
Atenciosamente;
-- 
Carla Conceição
Ouvidora
(94)99156-5765
Ouvidoria do Hospital Geral de Parauapebas Associação de Saúde, Esporte, Lazer e Cultura - ASELC 
Parauapebas - PA     </t>
  </si>
  <si>
    <t>OV 0615 / 2026</t>
  </si>
  <si>
    <t>À Sra. Elane Cristina Bendelack B. Fernandes
Supervisora de Internação, recepção e portaria do HGP/ASELC
Assunto: Reclamação
Prezada Supervisora, recebemos em nossa ouvidoria através das urnas instaladas nos setores do hospital a reclamação do senhor Frederico Lopes de Souza, referente ao favoritismo no atendimento da recepção geral do Hospital, conforme relatado no documento anexo a este registro.
Neste sentido, solicitamos que essa supervisão faça uma análise da manifestação e responda via interact à esta Ouvidoria no prazo de 20 dias conforme a Lei nº 13.460/2017.Desde já agradecemos a colaboração para melhoria dos serviços prestados ao usuário e nos colocamos à disposição.
Atenciosamente;
-- 
Carla Conceição
Ouvidora
(94)99156-5765
Ouvidoria do Hospital Geral de Parauapebas Associação de Saúde, Esporte, Lazer e Cultura - ASELC 
Parauapebas - PA     </t>
  </si>
  <si>
    <t>OV 0616 / 2026</t>
  </si>
  <si>
    <t>À Sra. Débora de Oliveira Alvarenga
Supervisora da Clínica Cirúrgica e ortopédica do HGP/ASELC
Assunto: Reclamação
Prezada Supervisora, recebemos em nossa ouvidoria através das redes sociais (whatsapp) a reclamação da senhora Geciene, referente ao atendimento e conduta da colaboradora Tamiris (técnica de enfermagem) que de forma desrespeitosa e desumana tratou o paciente de nome Antonio (leito 29), conforme relatado no documento anexo a este registro.
Neste sentido, solicitamos que essa supervisão faça uma análise da manifestação e responda via interact e responda à esta Ouvidoria no prazo de 20 dias conforme a Lei nº 13.460/2017.
Desde já agradecemos a colaboração para melhoria dos serviços prestados ao usuário e nos colocamos à disposição.
Atenciosamente
-- 
Carla Conceição
Ouvidora
(94)99156-5765
Ouvidoria do Hospital Geral de Parauapebas Associação de Saúde, Esporte, Lazer e Cultura - ASELC 
Parauapebas - PA     </t>
  </si>
  <si>
    <t>OV 0617 / 2026</t>
  </si>
  <si>
    <t>À Sra. Dayana Luz dos Santos
Supervisora de Enfermagem do PAM do HGP/ASELC
Assunto: Elogio
Prezada Supervisora, recebemos em nossa ouvidoria através das urnas instaladas nos setores do hospital diversos elogios de usuários satisfeitos com a equipe do Pronto Atendimento Materno, conforme relatado no documento anexo a este registro.Neste sentido, solicitamos que essa supervisão compartilhe com sua equipe e responda via interact anexando o formulário de feedback positivo aos colaboradores elogiados, para registro e devolutiva aos usuários.  Desde já agradecemos a colaboração para melhoria dos serviços prestados ao usuário e nos colocamos à disposição.
Atenciosamente;
-- 
Carla Conceição
Ouvidora
(94)99156-5765
Ouvidoria do Hospital Geral de Parauapebas Associação de Saúde, Esporte, Lazer e Cultura - ASELC 
Parauapebas - PA</t>
  </si>
  <si>
    <t>OV 0618 / 2026</t>
  </si>
  <si>
    <t>À Sra. Débora de Oliveira Alvarenga
Supervisora da Clínica Cirúrgica e ortopédica do HGP/ASELC
Assunto: Elogio
Prezada Supervisora, recebemos em nossa ouvidoria através das urnas instaladas nos setores do hospital, diversos elogios de usuários satisfeitos com  atendimento ofertado pela equipe de enfermagem desta clínica, conforme relatado nos formulário retirados das urnas e anexo a este registro.
Neste sentido, solicitamos que essa supervisão compartilhe com sua equipe e responda via interact anexando o formulário de feedback positivo dos colaboradores mencionados, para registro e devolutiva aos usuários.
Desde já agradecemos a colaboração para melhoria dos serviços prestados aos usuários e nos colocamos à disposição.
Atenciosamente
-- 
Carla Conceição
Ouvidora
(94)99156-5765
Ouvidoria do Hospital Geral de Parauapebas Associação de Saúde, Esporte, Lazer e Cultura - ASELC 
Parauapebas - PA</t>
  </si>
  <si>
    <t>OV 0619 / 2026</t>
  </si>
  <si>
    <t>À Sra. Aline Santos Brabo
Supervisora de Enfermagem da UTI adulto HGP/ASELC
Assunto: Elogio
Prezada Supervisora, recebemos em nossa ouvidoria através das urnas instaladas nos setores do hospital o elogio da senhora Cláudia Aparecida e Giselia Sousa, referente ao atendimento recebido pela equipe, conforme relatado no documento anexo a este registro.
Neste sentido, solicitamos que essa supervisão compartilhe com sua equipe e responda via interact anexando o formulário de feedback positivo dos colaboradores mencionados, para registro e devolutiva aos usuários.
Desde já agradecemos a colaboração para melhoria dos serviços prestados e nos colocamos à disposição.
Atenciosamente;  
-- 
Carla Conceição
Ouvidora
(94)99156-5765
Ouvidoria do Hospital Geral de Parauapebas Associação de Saúde, Esporte, Lazer e Cultura - ASELC 
Parauapebas - PA</t>
  </si>
  <si>
    <t>OV 0620 / 2026</t>
  </si>
  <si>
    <t>À Sra. Nadja Keilane Dantas Espinola
Supervisora de Atendimento do SADT do HGP/ASELC
Assunto: Elogio
Prezada Supervisora, recebemos em nossa ouvidoria através das urnas instaladas nos setores do hospital o elogio da senhora Ane Karoline, referente  ao atendimento recebido pela equipe de recepção, conforme relatado no documento anexo a este registro. Neste sentido, solicitamos que essa supervisão compartilhe com sua equipe e responda via interact anexando o formulário de feedback positivo, para registro e devolutiva aos usuários.
Desde já agradecemos a colaboração para melhoria dos serviços prestados aos usuários e nos colocamos à disposição.
Atenciosamente;-- 
Carla Conceição
Ouvidora
(94)99156-5765
Ouvidoria do Hospital Geral de Parauapebas Associação de Saúde, Esporte, Lazer e Cultura - ASELC 
Parauapebas - PA</t>
  </si>
  <si>
    <t>OV 0621 / 2026</t>
  </si>
  <si>
    <t>À Sra. Elane Cristina Bendelack B. Fernandes
Supervisora de Internação e Recepção do HGP/ASELC
Assunto: Elogio
Prezada Supervisora, recebemos em nossa ouvidoria através das urnas instaladas no hospital  o elogio da senhora Barbara Sousa, referente ao atendimento ofertado pela colaboradora Janaína (Posso ajudar) e a recepcionista do setor de Imagem(SADT), conforme relatado no documento anexo a este registro.
Neste sentido, solicitamos que essa supervisão compartilhe com sua equipe e responda via interact anexando o formulário de feedback positivo da colaboradora, para registro e devolutiva aos usuários.
Desde já agradecemos a colaboração para melhoria dos serviços prestados aos usuários e nos colocamos à disposição.
Atenciosamente;
-- 
Carla Conceição
Ouvidora
(94)99156-5765
Ouvidoria do Hospital Geral de Parauapebas Associação de Saúde, Esporte, Lazer e Cultura - ASELC 
Parauapebas - PA</t>
  </si>
  <si>
    <t>OV 0622 / 2026</t>
  </si>
  <si>
    <t>OV 0623 / 2026</t>
  </si>
  <si>
    <t>À Sra. Larissa Talita da Silva
Supervisora de Enfermagem da Clínica Pediátrica e UCI HGP/ASELC
Assunto: Elogio
Prezada Supervisora, recebemos em nossa ouvidoria através das urnas instaladas nos setores do hospital diversos elogios, referente ao atendimento ofertado pela equipe da Enfermeira Poliana, bem como, a satisfação das usuárias com o acolhimento gentil e humanizado de toda equipe, conforme relatado no documento anexo a este registro.Neste sentido, solicitamos que essa supervisão compartilhe com sua equipe e responda via interact anexando o formulário de feedback positivo dos colaboradores mencionados, para registro e devolutiva aos usuários.
Desde já agradecemos a colaboração para melhoria dos serviços prestados aos usuários e nos colocamos à disposição.
Atenciosamente;
-- 
Carla Conceição
Ouvidora
(94)99156-5765
Ouvidoria do Hospital Geral de Parauapebas Associação de Saúde, Esporte, Lazer e Cultura - ASELC 
Parauapebas - PA</t>
  </si>
  <si>
    <t>OV 0624 / 2026</t>
  </si>
  <si>
    <t>Ao Sr. Mardone Lima da Silva 
Supervisor de Enfermagem do Pronto Atendimento Adulto do HGP/ASELC
Assunto: Elogio
Prezado Supervisor, recebemos em nossa ouvidoria através das redes sociais (whatsapp) o elogio da senhora Kátia Maria e do senhor Rogério Cunha, referente ao atendimento ofertado pelos(as) colaboradores(as) Nilson, Matheus, Alife (técnico de enfermagem), enfermeiros e médicos do pronto atendimento adulto, conforme relatado no documento anexo a este registro, manifestando satisfação com o atendimento.
Neste sentido,  solicitamos que essa supervisão compartilhe com sua equipe e responda via interact anexando o formulário de feedback positivo dos colaboradores, para registro e devolutiva aos usuários.
Desde já agradecemos a colaboração para melhoria dos serviços prestados e nos colocamos à disposição.
Atenciosamente; 
-- 
Carla Conceição
Ouvidora
(94)99156-5765
Ouvidoria do Hospital Geral de Parauapebas Associação de Saúde, Esporte, Lazer e Cultura - ASELC 
Parauapebas - PA     </t>
  </si>
  <si>
    <t>OV 0625 / 2026</t>
  </si>
  <si>
    <t>À Sra. Elane Cristina Bendelack B. Fernandes
Supervisora de Internação e Recepção do HGP/ASELC
Assunto: Elogio
Prezada Supervisora, recebemos em nossa ouvidoria através das urnas instaladas no hospital  e WhatsApp diversos elogios, referente ao atendimento ofertado pelas colaboradoras da recepção, conforme relatado no documento anexo a este registro.
Neste sentido, solicitamos que essa supervisão compartilhe com sua equipe e responda via interact anexando o formulário de feedback positivo da colaboradora, para registro e devolutiva aos usuários.
Desde já agradecemos a colaboração para melhoria dos serviços prestados aos usuários e nos colocamos à disposição.
Atenciosamente
-- 
Carla Conceição
Ouvidora
(94)99156-5765
Ouvidoria do Hospital Geral de Parauapebas Associação de Saúde, Esporte, Lazer e Cultura - ASELC 
Parauapebas - PA     </t>
  </si>
  <si>
    <t>Denúncia</t>
  </si>
  <si>
    <t>OV 0626 / 2026</t>
  </si>
  <si>
    <t>A Sra. Dra.Evilane Gonçalves Lima
Gerente Médica da CGO do HGP/ASELC
Assunto: Denúncia
Prezada Dra, recebemos em nossa ouvidoria através das redes sociais whatsapp a reclamação da Sra Mariana Gomes Nunes Pinto, referente ao seu relato que fora encaminhado no dia 25/02/2026 dizendo: " __Que estava em gestação de alto risco, com colo curto e cerclagem, e deu entrada no hospital no dia 17 com fortes dores, sendo internada. Informa que inicialmente foi atendida pelo médico Dr. Jean, sem intercorrências. Posteriormente, relata que a médica Dra. Bárbara realizou um toque considerado agressivo, que teria causado dor, rompimento de um ponto da cerclagem e sangramento. Durante a internação, o médico Dr. Douglas avaliou que o sangramento poderia estar relacionado à cerclagem e cogitou conceder alta, apesar das queixas de dor. A paciente afirma que continuou apresentando dores, e na madrugada sua bolsa rompeu, sendo novamente avaliada. Segundo o relato, a médica Dra. Camila realizou a retirada da cerclagem de forma dolorosa e posteriormente conduziu o parto. A paciente informa que sofreu laceração de segundo grau, necessitando de quatro pontos. Após o parto, no dia 23, retornou ao hospital com dor abdominal, diarreia e calafrios, sendo atendida pelo Dr. Douglas, que suspeitou de diarreia infecciosa decorrente do uso de antibióticos. No entanto, a paciente relata que posteriormente eliminou resíduos do parto, alegando que não foi realizada a devida limpeza uterina após o parto, motivo pelo qual registra a denúncia e solicita providências"__. Segue em anexo as evidências apresentadas.
Neste sentido, solicitamos que essa gerência médica consolide os fatos e responda via interact à esta Ouvidoria no prazo de 20 dias conforme a Lei nº 13.460/2017.
Desde já agradecemos a colaboração para melhoria dos serviços prestados ao usuário e nos colocamos à disposição.
Carla Conceição
Ouvidora
(94)99156-5765
Ouvidoria do Hospital Geral de Parauapebas Associação de Saúde, Esporte, Lazer e Cultura - ASELC 
Parauapebas - PA     </t>
  </si>
  <si>
    <t>OV 0627 / 2026</t>
  </si>
  <si>
    <t>Ao Sr. Mardone Lima da Silva 
Supervisor de Enfermagem do Pronto Atendimento Adulto do HGP/ASELC
Assunto: Reclamação
Prezado Supervisor,
A Ouvidoria informa que recebeu, por meio das urnas instaladas nos setores do hospital, manifestação do senhor Fabrício Saraiva, referente ao atendimento no setor de Pronto Atendimento (sala vermelha).
De acordo com o relato do usuário, ao ser encaminhado para a sala de cirurgia no dia 04/03/2026, houve solicitação para que fosse realizada sua higienização previamente ao procedimento. Entretanto, segundo o manifestante, a enfermeira responsável não realizou o procedimento, sendo relatado ainda que algumas colaboradoras teriam demonstrado atitude de desconforto ou nojo diante da situação.
Diante do exposto, encaminhamos a presente manifestação para apuração dos fatos e adoção das providências cabíveis, conforme descrito no documento anexo que contém a data do ocorrido.
Solicitamos, por gentileza, o envio de parecer ou esclarecimentos a esta Ouvidoria via interact, dentro do prazo estabelecido conforme a Lei nº 13.460/2017.
Desde já agradecemos a colaboração para melhoria dos serviços prestados ao usuário e nos colocamos à disposição.
Atenciosamente;
Carla Conceição
Ouvidora
(94)99156-5765
Ouvidoria do Hospital Geral de Parauapebas 
Associação de Saúde, Esporte, Lazer e Cultura - ASELC 
Parauapebas - PA</t>
  </si>
  <si>
    <t>Execução</t>
  </si>
  <si>
    <t>OV 0628 / 2026</t>
  </si>
  <si>
    <t>À Supervisora da Clínica Gineco-Obstetrícia
Daniella Gomes de Oliveira Costa
Assunto: Reclamação - Conduta de colaboradora
Prezada Supervisora,
A Ouvidoria recebeu relato anônimo de uma usuária, referente a uma situação ocorrida no dia 04 de março do corrente ano, durante o plantão diurno, na Clínica Gineco-Obstetrícia.
Segundo o relato, a técnica de enfermagem identificada como Luzenir teria se referido à filha da manifestante, uma recém-nascida, chamando-a de "mosquito", pelo fato de a criança ser uma bebê PIG (pequena para a idade gestacional). A usuária informa que essa forma de tratamento teria ocorrido mais de três vezes durante o plantão.
Ainda conforme a manifestante, ao questionar a colaboradora sobre a forma inadequada de se referir à criança, foi informada de que estaria "estressada", sendo mencionado pela profissional que considerava normal chamar a criança dessa maneira.
Diante do exposto, a usuária registra grande revolta, considerando a situação como desrespeitosa e preconceituosa em relação à sua filha.
Nesse sentido, encaminhamos a presente manifestação para conhecimento, apuração dos fatos e adoção das providências que julgar pertinentes, solicitando, por gentileza, devolutiva à Ouvidoria por meio do sistema Interact, para fins de registro e resposta ao usuário em 20 dias conforme determina a Lei 13.460/2017.
Desde já agradecemos a colaboração e reforçamos a importância da manutenção de uma assistência pautada no respeito, na ética e na humanização do atendimento.
Permanecemos à disposição para quaisquer esclarecimentos.
Atenciosamente,
Carla Conceição
Ouvidora
(94)99156-5765
Ouvidoria do Hospital Geral de Parauapebas Associação de Saúde, Esporte, Lazer e Cultura - ASELC 
Parauapebas - PA</t>
  </si>
  <si>
    <t>OV 0629 / 2026</t>
  </si>
  <si>
    <t>À Sra. Rosinete de Jesus Monteiro Santos
Supervisora do Ambulatório do HGP/ASELC
Assunto: Reclamação
Prezada Supervisora, recebemos em nossa ouvidoria através das urnas instaladas nos setores do hospital a reclamação da senhora Flávia da Silva, referente a demora no atendimento no dia 02/03/2026 no ambulatório, que segundo seu relato, a espera foi mais de 03h, conforme relatado no documento anexo a este registro.
Neste sentido, solicitamos que essa supervisão faça uma análise da manifestação e responda via interact à esta Ouvidoria no prazo de 20 dias conforme a Lei nº 13.460/2017.
Desde já agradecemos a colaboração para melhoria dos serviços prestados ao usuário e nos colocamos à disposição.
Atenciosamente;
Carla Conceição
Ouvidora
(94)99156-5765
Ouvidoria do Hospital Geral de Parauapebas Associação de Saúde, Esporte, Lazer e Cultura - ASELC 
Parauapebas - PA     </t>
  </si>
  <si>
    <t>OV 0630 / 2026</t>
  </si>
  <si>
    <t>À Sra. Débora de Oliveira Alvarenga
Supervisora da Clínica Cirúrgica e ortopédica do HGP/ASELC
Assunto: Elogio
Prezada Supervisor,
A Ouvidoria recebeu, por meio das urnas instaladas nos setores do hospital, diversos elogios referentes ao atendimento prestado pela equipe de enfermagem da clínica cirúrgica e ortopédica, conforme descrito no documento anexo a este registro, no qual o usuário manifesta sua satisfação com a assistência recebida.
Diante disso, solicitamos a gentileza de compartilhar o referido reconhecimento com a equipe envolvida e realizar a devida resposta via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</si>
  <si>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0631 / 2026</t>
  </si>
  <si>
    <t>À Sra. Elane Cristina Bendelack B. Fernandes
Supervisora de Internação e Recepção do HGP/ASELC
Assunto: Elogio
Prezada Supervisora,
A Ouvidoria recebeu, por meio das urnas instaladas nos setores do hospital, diversos elogios referentes ao atendimento prestado pela colaboradora da recepção Neide, pela colaboradora Janaína "Posso Ajudar", bem como pelos maqueiros Antônia Andreina e Wanderson, conforme descrito no documento anexo a este registro.
Diante disso, solicitamos a gentileza de compartilhar o referido reconhecimento com a equipe envolvida e realizar a devida resposta via sistema Interact, anexando o Formulário de Feedback Positivo dos Colaboradores, para fins de registro e posterior devolutiva aos usuários.
Desde já agradecemos a colaboração, ressaltando que o reconhecimento das boas práticas contribui significativamente para a valorização dos profissionais e para a melhoria contínua dos serviços prestados aos usuários.
Permanecemos à disposição para quaisquer esclarecimentos.
Atenciosamente,
Carla Conceição
Ouvidora
(94)99156-5765
Ouvidoria do Hospital Geral de Parauapebas Associação de Saúde, Esporte, Lazer e Cultura - ASELC 
Parauapebas - PA     </t>
  </si>
  <si>
    <t>OV 0632 / 2026</t>
  </si>
  <si>
    <t>À Sra. Aline Santos Brabo
Supervisora de Enfermagem da UTI adulto HGP/ASELC
Assunto: Elogio
Prezada Supervisora da UTI,A Ouvidoria recebeu, por meio das redes sociais (WhatsApp) e das urnas instaladas nos setores do hospital, diversos elogios referentes ao atendimento prestado pelos(as) colaboradores(as) Mayara, Gardênia, Francineide, Eliane, Antônia, Ernandes, Manoel, bem como pelos demais membros da equipe médica e de enfermagem, conforme descrito no documento anexo a este registro, no qual o usuário manifesta sua satisfação com a assistência recebida.
Diante disso, solicitamos a gentileza de compartilhar o referido reconhecimento com a equipe envolvida e realizar a devida resposta via sistema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</si>
  <si>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0633 / 2026</t>
  </si>
  <si>
    <t>Ao Sr. Mardone Lima da Silva 
Supervisor de Enfermagem do Pronto Atendimento Adulto do HGP/ASELC
Assunto: Elogio
Prezado Supervisor,
A Ouvidoria recebeu, por meio das redes sociais (WhatsApp), diversos elogios referentes ao atendimento prestado pelas colaboradoras Enfermeira Maria Beatriz, Edneia e Elizangela (Técnica de Enfermagem), conforme descrito no documento anexo a este registro, no qual o usuário manifesta sua satisfação com a assistência recebida.
Diante disso, solicitamos a gentileza de compartilhar o referido reconhecimento com a equipe envolvida e realizar a devida resposta via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</si>
  <si>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0634 / 2026</t>
  </si>
  <si>
    <t>À Sra. Lorena do Nascimento Barreto
Supervisora de Enfermagem do PAM do HGP/ASELC
Assunto: Elogio
Prezada Supervisora,
A Ouvidoria recebeu, por meio das urnas instaladas nos setores do hospital,  diversos elogio(s) referente(s) ao atendimento prestado pelos(as) colaboradores(as) Florzinha, Gizelia, Luciana, Gracilene e Raniele, bem como pelos demais membros da equipe médica e de enfermagem do setor CPN-PAM, conforme descrito no documento anexo a este registro, no qual o usuário manifesta sua satisfação com a assistência recebida.
Diante disso, solicitamos a gentileza de compartilhar o referido reconhecimento com a equipe envolvida e realizar a resposta via sistema Interact, anexando o Formulário de Feedback Positivo dos Colaboradores, para fins de registro e posterior devolutiva ao usuário.
A Ouvidoria agradece a colaboração e ressalta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</si>
  <si>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0635 / 2026</t>
  </si>
  <si>
    <t>À Sra.  Camila Amanda Cardoso dos Santos
Gerente do Ambulatório do HGP/ASELC
Assunto: Reclamação
Prezada Gerente, recebemos em nossa ouvidoria através das urnas instaladas nos setores do hospital a reclamação de forma anônima, referente a conduta da supervisora do SADT, que segundo seu relato, a mesma falou com tom muito alto na frente de outros pacientes, conforme relatado no documento anexo a este registro.
Neste sentido, solicitamos que essa supervisão faça uma análise da manifestação e responda via interact à esta Ouvidoria no prazo de 20 dias conforme a Lei nº 13.460/2017.
Desde já agradecemos a colaboração para melhoria dos serviços prestados ao usuário e nos colocamos à disposição.
Atenciosamente;
Carla Conceição
Ouvidora
(94)99156-5765
Ouvidoria do Hospital Geral de Parauapebas Associação de Saúde, Esporte, Lazer e Cultura - ASELC 
Parauapebas - PA     </t>
  </si>
  <si>
    <t>OV 0636 / 2026</t>
  </si>
  <si>
    <t>À Supervisora da Clínica Gineco-Obstetrícia
Daniella Gomes de Oliveira Costa
Assunto: Elogio
Prezada Supervisora,
A Ouvidoria recebeu, por meio das urnas instaladas nos setores do hospital, diversos elogios referentes ao atendimento prestado pelos(as) colaboradores(as) Claudia, Denise e Franceilda, conforme descrito no documento anexo a este registro, no qual os usuários manifestam sua satisfação com a assistência recebida.
Diante disso, solicitamos a gentileza de compartilhar o referido reconhecimento com a equipe envolvida e realizar a devida resposta via sistema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t>
  </si>
  <si>
    <t>OV 0637 / 2026</t>
  </si>
  <si>
    <t>À Sra. Rosinete de Jesus Monteiro Santos
Supervisora do Ambulatório do HGP/ASELC
Assunto: Reclamação
Prezada Supervisora, recebemos em nossa ouvidoria através das urnas instaladas nos setores do hospital a reclamação da senhora Marcia dos Santos, referente ao agendamento de forma equivocada ao seu filho K L no atendimento ambulatorial no dia 11/03/2026, conforme relatado no documento anexo a este registro.
Neste sentido, solicitamos que essa supervisão faça uma análise da manifestação e responda via interact à esta Ouvidoria no prazo de 20 dias conforme a Lei nº 13.460/2017.
Desde já agradecemos a colaboração para melhoria dos serviços prestados ao usuário e nos colocamos à disposição.
Atenciosamente;
-- 
Carla Conceição
Ouvidora
(94)99156-5765
Ouvidoria do Hospital Geral de Parauapebas Associação de Saúde, Esporte, Lazer e Cultura - ASELC 
Parauapebas - PA     </t>
  </si>
  <si>
    <t>OV 0638 / 2026</t>
  </si>
  <si>
    <t>À Sra. Débora de Oliveira Alvarenga
Supervisora da Clínica Cirúrgica e Ortopédica do HGP/ASELC
Assunto: Encaminhamento de Reclamação
Prezada Supervisora,
A Ouvidoria do Hospital Geral de Parauapebas recebeu, por meio das urnas instaladas nos setores da unidade, manifestações das Sras. Ana Letícia e Ingrid de Sousa, conforme descrito no documento anexo a este registro.
A Sra. Ana Letícia relata conduta inadequada do técnico de enfermagem Felipe, que, segundo a manifestação, não prestou o devido apoio ao paciente e adotou postura que gerou temor.
Já a Sra. Ingrid de Sousa informa que, por diversas vezes, solicitou colchão de ar em razão de dores, tendo recebido apenas promessas de atendimento por parte do enfermeiro Giuliano, sem que a demanda fosse efetivamente atendida.
Diante do exposto, solicitamos a gentileza de proceder com a análise das referidas manifestações, bem como a adoção das providências cabíveis. Reforçamos a necessidade de encaminhar resposta a esta Ouvidoria por meio do sistema Interact, no prazo de até 20 (vinte) dias, conforme estabelecido pela Lei nº 13.460/2017.
Agradecemos a colaboração de Vossa Senhoria para a melhoria contínua dos serviços prestados aos usuários e colocamo-nos à disposição para quaisquer esclarecimentos.
Atenciosamente,
Carla Conceição
Ouvidora
(94)99156-5765
Ouvidoria do Hospital Geral de Parauapebas Associação de Saúde, Esporte, Lazer e Cultura - ASELC 
Parauapebas - PA     </t>
  </si>
  <si>
    <t>OV 0639 / 2026</t>
  </si>
  <si>
    <t>Ao Sr. Gustavo Cintra Silva
Coordenador de Facilities do HGP/ASELC
Assunto: Elogio
Prezado Coordenador, A Ouvidoria recebeu, por meio das urnas instaladas nos setores do hospital, manifestação de elogio do senhor Lucas Eduardo de Oliveira, referente ao serviço prestado pela colaboradora da clínica cirúrgica, vinculada à empresa de limpeza (Top Clean). O usuário expressa sua satisfação quanto à excelência e à qualidade do trabalho realizado, conforme detalhado no documento anexo a este registro. Diante do exposto, solicitamos a gentileza de compartilhar o referido elogio com a equipe envolvida e de encaminhar resposta por meio do sistema Interact, com a devida anexação do formulário de feedback positivo da colaboradora elogiada, para fins de registro e devolutiva à usuária. Agradecemos, desde já, a colaboração e o comprometimento desta coordenação na melhoria contínua dos serviços prestados, colocando-nos à disposição para quaisquer esclarecimentos.
Atenciosamente,
-- 
Carla Conceição
Ouvidora
(94)99156-5765
Ouvidoria do Hospital Geral de Parauapebas Associação de Saúde, Esporte, Lazer e Cultura - ASELC 
Parauapebas - PA</t>
  </si>
  <si>
    <t>OV 0640 / 2026</t>
  </si>
  <si>
    <t>À Sra. Marisol Luise Vilhene da Silva
Supervisora de Enfermagem da Clínica Médica e Psicossocial do HGP/ASELC
Assunto: Manifestação - Denúncia de conduta profissional
Prezada Supervisora, A Ouvidoria recebeu manifestação de denúncia referente à conduta da enfermeira identificada como Eliane, conforme relato da responsável por paciente internada. Segundo a manifestante, sua filha, que apresentava quadro de convulsões, saiu da UTI com acesso venoso na região do pescoço, fixado com esparadrapo, o qual não estava adequadamente aderido, considerando inclusive os movimentos decorrentes das crises convulsivas. Diante da situação, a responsável buscou auxílio junto à equipe de enfermagem, sendo informada por outro profissional que apenas a referida enfermeira poderia realizar a troca do curativo. Ainda conforme o relato, ao ser acionada, a enfermeira Eliane apresentou-se em tom alterado, dirigindo-se à acompanhante de forma ríspida e questionando a retirada do material, sem oportunizar diálogo adequado. A manifestante relata ter se sentido constrangida diante da postura e da forma de comunicação adotada, especialmente por se tratar de um momento delicado, em que a paciente havia apresentado crise convulsiva recente. Após a intervenção, a profissional realizou o procedimento e retirou-se, não havendo, segundo a usuária, retratação quanto à forma de abordagem inicial. Diante do exposto, solicitamos análise da situação relatada via áudio enviado pelo WhatsApp, bem como esclarecimentos acerca das condutas adotadas, e, se pertinente, a implementação de medidas orientativas junto à equipe, visando a humanização do atendimento e a segurança do paciente. Neste sentido, encaminhamos para que essa supervisão realize a análise da presente manifestação e envie resposta por meio do sistema Interact, no prazo de até 20 (vinte) dias, conforme preconiza a Lei nº 13.460/2017, com devolutiva a esta Ouvidoria. 
Atenciosamente,
-- 
Carla Conceição
Ouvidora
(94)99156-5765
Ouvidoria do Hospital Geral de Parauapebas Associação de Saúde, Esporte, Lazer e Cultura - ASELC 
Parauapebas - PA</t>
  </si>
  <si>
    <t>OV 0641 / 2026</t>
  </si>
  <si>
    <t>À Sra. Débora de Oliveira Alvarenga
Supervisora da Clínica Cirúrgica e ortopédica do HGP/ASELC
Assunto: Elogio
Prezada Supervisora Ouvidoria recebeu, por meio das urnas instaladas nos setores do hospital, diversos elogios referentes ao atendimento prestado pela equipe de enfermagem da clínica cirúrgica e ortopédica, conforme descrito no documento anexo a este registro, no qual o usuário manifesta sua satisfação com a assistência recebida. Diante disso, solicitamos a gentileza de compartilhar o referido reconhecimento com a equipe envolvida e realizar a devida resposta via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 
Carla Conceição
Ouvidora
(94)99156-5765
Ouvidoria do Hospital Geral de Parauapebas Associação de Saúde, Esporte, Lazer e Cultura - ASELC 
Parauapebas - PA</t>
  </si>
  <si>
    <t>OV 0642 / 2026</t>
  </si>
  <si>
    <t>À Sra. Elane Cristina Bendelack B. Fernandes
Supervisora de Internação e Recepção do HGP/ASELC
Assunto: Elogio
Prezada Supervisora, A Ouvidoria recebeu, por meio das urnas instaladas nos setores do hospital, diversos elogios referentes ao atendimento prestado pelos(as) colaboradores(as) Joseline e Vicente, conforme descrito no documento anexo a este registro. Diante disso, solicitamos a gentileza de compartilhar o referido reconhecimento com a equipe envolvida e realizar a devida resposta via sistema Interact, anexando o Formulário de Feedback Positivo dos Colaboradores, para fins de registro e posterior devolutiva aos usuários. Desde já agradecemos a colaboração, ressaltando que o reconhecimento das boas práticas contribui significativamente para a valorização dos profissionais e para a melhoria contínua dos serviços prestados aos usuários. Permanecemos à disposição para quaisquer esclarecimentos. 
Atenciosamente,
-- 
Carla Conceição
Ouvidora
(94)99156-5765
Ouvidoria do Hospital Geral de Parauapebas Associação de Saúde, Esporte, Lazer e Cultura - ASELC 
Parauapebas - PA</t>
  </si>
  <si>
    <t>OV 0643 / 2026</t>
  </si>
  <si>
    <t>À Sra. Lorena do Nascimento Barreto
Supervisora de Enfermagem do PAM do HGP/ASELC
Assunto: Elogio
Prezada Supervisora, A Ouvidoria recebeu, por meio das urnas instaladas nos setores do hospital,  diversos elogio(s) referente(s) ao atendimento prestado pelos(as) colaboradores(as) da equipe de enfermagem do setor CPN-PAM, conforme descrito no documento anexo a este registro, no qual o usuário manifesta sua satisfação com a assistência recebida. Diante disso, solicitamos a gentileza de compartilhar o referido reconhecimento com a equipe envolvida e realizar a resposta via sistema Interact, anexando o Formulário de Feedback Positivo dos Colaboradores, para fins de registro e posterior devolutiva ao usuário. A Ouvidoria agradece a colaboração e ressalta que o reconhecimento das boas práticas contribui significativamente para a valorização dos profissionais e para a melhoria contínua dos serviços prestados. Permanecemos à disposição para quaisquer esclarecimentos.
Atenciosamente,
-- 
Carla Conceição
Ouvidora
(94)99156-5765
Ouvidoria do Hospital Geral de Parauapebas Associação de Saúde, Esporte, Lazer e Cultura - ASELC 
Parauapebas - PA</t>
  </si>
  <si>
    <t>OV 0644 / 2026</t>
  </si>
  <si>
    <t>À Sra. Aline Santos Brabo
Supervisora de Enfermagem da UTI adulto HGP/ASELC
Assunto: Elogio
Prezada Supervisora da UTI,A Ouvidoria recebeu, por meio  das urnas instaladas nos setores do hospital, o elogio referente ao atendimento prestado por toda equipe médica e de enfermagem, conforme descrito no documento anexo a este registro, no qual o usuário manifesta sua satisfação com a assistência recebida. Diante disso, solicitamos a gentileza de compartilhar o referido reconhecimento com a equipe envolvida e realizar a devida resposta via sistema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 
Carla Conceição
Ouvidora(94)99156-5765Ouvidoria do Hospital Geral de Parauapebas Associação de Saúde, Esporte, Lazer e Cultura - ASELC 
Parauapebas - PA</t>
  </si>
  <si>
    <t>OV 0645 / 2026</t>
  </si>
  <si>
    <t>À Sra. Nadja Keilane Dantas Espinola
Supervisora de Atendimento do SADT do HGP/ASELC
Assunto: Elogio
Prezada Supervisora, A Ouvidoria recebeu, por meio das urnas instaladas nos setores do hospital, manifestação de elogio da senhora Tatiane dos Reis, referente ao atendimento prestado pelas colaboradoras Ellen e Francisca, durante a realização de exame de eletrocardiograma, conforme descrito no documento anexo a este registro. Neste sentido, solicitamos a gentileza de compartilhar o referido elogio com a equipe envolvida e encaminhar resposta por meio do sistema Interact, com a devida anexação do formulário de feedback positivo, para fins de registro e devolutiva à usuária. Agradecemos, desde já, a colaboração dessa supervisão na melhoria contínua dos serviços prestados aos usuários e colocamo-nos à disposição para quaisquer esclarecimentos.
Atenciosamente,
-- 
Carla Conceição
Ouvidora
(94)99156-5765
Ouvidoria do Hospital Geral de Parauapebas Associação de Saúde, Esporte, Lazer e Cultura - ASELC 
Parauapebas - PA</t>
  </si>
  <si>
    <t>OV 0646 / 2026</t>
  </si>
  <si>
    <t>À Gerencia e Supervisão do Ambulatório
Assunto: Reclamação - Demora no atendimento em consulta agendada e retorno de pós-operatório
Prezadas,
A Ouvidoria recebeu manifestação dos usuários Cícero, 84 anos, e Antônio Lenilson Maciel, referente ao atendimento no setor de Ambulatório desta unidade.
Segundo relato, o Sr. Cícero compareceu para consulta agendada, enquanto o Sr. Antônio Lenilson Maciel esteve na unidade para retorno de pós-operatório. Informam que ambos permaneceram em espera das 08h às 16h, sem a devida resolutividade dentro de um tempo razoável. 
Ressaltam que o longo período de espera gerou desconforto, especialmente considerando a condição de saúde e a idade avançada de um dos pacientes.
Diante do exposto, solicitamos a análise do ocorrido, bem como a adoção de medidas que visem à melhoria no fluxo de atendimento, a fim de evitar situações semelhantes e garantir maior celeridade e qualidade na assistência prestada aos usuários.
Neste sentido,  encaminhamos para que essa gerência realize a análise da presente manifestação e envie resposta por meio do sistema Interact, no prazo de até 20 (vinte) dias, conforme preconiza a Lei nº 13.460/2017, com devolutiva a esta Ouvidoria.
Atenciosamente,
-- 
Carla Conceição
Ouvidora
(94)99156-5765
Ouvidoria do Hospital Geral de Parauapebas Associação de Saúde, Esporte, Lazer e Cultura - ASELC 
Parauapebas - PA     </t>
  </si>
  <si>
    <t>OV 0647 / 2026</t>
  </si>
  <si>
    <t>À Sra. Débora de Oliveira Alvarenga
Supervisora da Clínica Cirúrgica e Ortopédica do HGP/ASELC
Assunto: Encaminhamento de Reclamação
Prezada Supervisora, A Ouvidoria do Hospital Geral de Parauapebas recebeu, por meio das urnas instaladas nos setores da unidade, manifestações da Sra. Emanuele Silva, conforme descrito no documento anexo a este registro. A Sra. Emanuele Silva relata negligência por parte da equipe de enfermagem do diurno no dia 18/03/2026, segundo a manifestação, não prestou o devido apoio ao paciente que não foi mencionado o nome, em um momento de fragilidade e dor. Diante do exposto, solicitamos a gentileza de proceder com a análise das referidas manifestações, bem como a adoção das providências cabíveis. Reforçamos a necessidade de encaminhar resposta a esta Ouvidoria por meio do sistema Interact, no prazo de até 20 (vinte) dias, conforme estabelecido pela Lei nº 13.460/2017.Agradecemos a colaboração de Vossa Senhoria para a melhoria contínua dos serviços prestados aos usuários e colocamo-nos à disposição para quaisquer esclarecimentos.
-- 
Carla Conceição
Ouvidora
(94)99156-5765
Ouvidoria do Hospital Geral de Parauapebas Associação de Saúde, Esporte, Lazer e Cultura - ASELC 
Parauapebas - PA</t>
  </si>
  <si>
    <t>OV 0648 / 2026</t>
  </si>
  <si>
    <t>À Sra. Lorena do Nascimento Barreto
Supervisora de Enfermagem do PAM do HGP/ASELC
Assunto: Elogio
Prezada Supervisora, A Ouvidoria recebeu, por meio das urnas instaladas nos setores do hospital,  o elogio da senhora Marliana Duarte, referente ao atendimento prestado pelos(as) colaboradores(as) da equipe de enfermagem e médicos do setor CPN-PAM, conforme descrito no documento anexo a este registro, no qual o usuário manifesta sua satisfação com a assistência recebida. Diante disso, solicitamos a gentileza de compartilhar o referido reconhecimento com a equipe envolvida e realizar a resposta via sistema Interact, anexando o Formulário de Feedback Positivo dos Colaboradores, para fins de registro e posterior devolutiva ao usuário. A Ouvidoria agradece a colaboração e ressalta que o reconhecimento das boas práticas contribui significativamente para a valorização dos profissionais e para a melhoria contínua dos serviços prestados. Permanecemos à disposição para quaisquer esclarecimentos. 
Atenciosamente,
-- 
Carla Conceição
Ouvidora
(94)99156-5765
Ouvidoria do Hospital Geral de Parauapebas Associação de Saúde, Esporte, Lazer e Cultura - ASELC 
Parauapebas - PA     </t>
  </si>
  <si>
    <t>OV 0649 / 2026</t>
  </si>
  <si>
    <t>À Gerencia e Supervisão do Ambulatório
Assunto: Reclamação - Falha na comunicação do Ambulatório
Prezadas, A Ouvidoria recebeu manifestação do usuário Antônio Carlos da S. Martins,  referente a sua reclamação ao atendimento do setor de Ambulatório desta unidade. Segundo relato: "Fui notificado via WhatsApp pelo Ambulatório do Hospital Geral de Parauapebas, sendo questionado se eu ainda aguardava a realização de cirurgia. Respondi prontamente que sim; contudo, não houve qualquer retorno ou orientação adicional por parte do setor. Diante da ausência de informações, tive que me deslocar pessoalmente até o hospital para buscar esclarecimentos. Ao chegar, fui informado de que a mensagem se referia a uma cirurgia que já se encontrava previamente agendada.Ressalto minha insatisfação com a falha na comunicação, uma vez que, caso eu não tivesse comparecido presencialmente, poderia ter perdido a oportunidade de realizar o procedimento".Dessa forma, solicito que sejam adotadas medidas para melhoria na comunicação com os usuários, a fim de evitar transtornos semelhantes. Neste sentido,  encaminhamos para que essa gerência realize a análise da presente manifestação e envie resposta por meio do sistema Interact, no prazo de até 20 (vinte) dias, conforme preconiza a Lei nº 13.460/2017, com devolutiva a esta Ouvidoria.
-Atenciosamente,
Carla Conceição
Ouvidora
(94)99156-5765
Ouvidoria do Hospital Geral de Parauapebas Associação de Saúde, Esporte, Lazer e Cultura - ASELC 
Parauapebas - PA</t>
  </si>
  <si>
    <t>OV 0650 / 2026</t>
  </si>
  <si>
    <t>À Sra. Elane Cristina Bendelack B. Fernandes
Supervisora de Internação, recepção e portaria do HGP/ASELC
Assunto: Reclamação - Falta de orientação sobre registro de nascimento
Prezada Supervisora, A Ouvidoria recebeu a manifestação do usuário Eduardo Barrachi Fiuza, referente ao atendimento relacionado ao registro de nascimento nesta unidade. Segundo relato, o usuário informa que não foi devidamente orientado acerca do procedimento para obtenção de senha para realização do registro de nascimento de recém-nascidos durante o período de internação. Ressalta que permaneceu por dias no hospital acompanhando sua esposa em puerpério e, ainda assim, não recebeu informações sobre como proceder. Informa, ainda, que recebeu alta hospitalar nesta data e, devido à ausência de orientação prévia, será necessário retornar posteriormente à unidade exclusivamente para realizar o registro, o que lhe gerou transtorno e insatisfação. Diante do exposto, solicitamos análise do ocorrido, bem como a adoção de medidas para reforçar a orientação aos usuários quanto aos fluxos e procedimentos para registro de nascimento, a fim de evitar situações semelhantes. Neste sentido,  encaminhamos para que essa supervisão realize a análise da presente manifestação e envie resposta por meio do sistema Interact, no prazo de até 20 (vinte) dias, conforme preconiza a Lei nº 13.460/2017, com devolutiva a esta Ouvidoria.
Atenciosamente,
-- 
Carla Conceição
Ouvidora
(94)99156-5765
Ouvidoria do Hospital Geral de Parauapebas Associação de Saúde, Esporte, Lazer e Cultura - ASELC 
Parauapebas - PA</t>
  </si>
  <si>
    <t>OV 0651 / 2026</t>
  </si>
  <si>
    <t>À Sra. Marisol Luise Vilhene da Silva
Supervisora de Enfermagem da Clínica Médica e Psicossocial do HGP/ASELC
Assunto: Elogio
Prezada Supervisora, A Ouvidoria recebeu, por meio das urnas instaladas nos setores do hospital, diversos elogios referentes ao atendimento prestado pela equipe de enfermagem desta clínica, conforme descrito no documento anexo a este registro. Diante disso, parabenizamos a equipe pelo reconhecimento e solicitamos a gentileza de compartilhar este retorno positivo com todos os colaboradores envolvidos. Adicionalmente, pedimos que seja encaminhada resposta via Interact, com o devido preenchimento e anexo do formulário de feedback positivo, para fins de registro e devolutiva aos usuários. Agradecemos, desde já, pela colaboração e pelo comprometimento com a qualidade dos serviços prestados, colocando-nos à disposição para quaisquer esclarecimentos.
Atenciosamente,
-- 
Carla Conceição
Ouvidora
(94)99156-5765
Ouvidoria do Hospital Geral de Parauapebas Associação de Saúde, Esporte, Lazer e Cultura - ASELC 
Parauapebas - PA</t>
  </si>
  <si>
    <t>OV 0652 / 2026</t>
  </si>
  <si>
    <t>À Sra. Luciane dos Santos Silva Rocha
Coordenadora do Serviço Social do HGP/ASELC
Assunto: Elogio
Prezada Coordenadora,
A Ouvidoria recebeu, por meio das redes sociais (WhatsApp), o elogio da Sra. Karla Layane Marques Pereira, referente ao atendimento humanizado prestado pelo Assistente Social Sharlio Weverton, conforme descrito no documento anexo a este registro.
Diante do exposto, solicitamos a gentileza de compartilhar este reconhecimento com a equipe envolvida e de encaminhar a resposta por meio do Interact, com o devido preenchimento e anexação do formulário de feedback positivo, a fim de subsidiar o registro e a devolutiva à usuária.
Aproveitamos para agradecer a colaboração dessa Coordenação, fundamental para o fortalecimento e a melhoria contínua dos serviços prestados aos usuários. Permanecemos à disposição para quaisquer esclarecimentos.
Atenciosamente,</t>
  </si>
  <si>
    <t>OV 0653 / 2026</t>
  </si>
  <si>
    <t>À Sra. Débora de Oliveira Alvarenga
Supervisora da Clínica Cirúrgica e Ortopédica do HGP/ASELC
Assunto: Encaminhamento de Reclamação - Atendimento e Conduta Profissional
Prezada Supervisora,
A Ouvidoria recebeu manifestação do Sr. Carlos, esposo da paciente Sra. Leiliane Leal Meireles, referente ao atendimento prestado na Clínica Cirúrgica desta unidade, ocorrido no dia 01/04/2026, no período da madrugada até o turno da manhã.
Conforme relato, foram identificadas as seguintes situações:
Postura inadequada de colaboradora durante o atendimento, com abordagem considerada grosseira, ríspida e sem empatia;
Falha na comunicação quanto às orientações médicas, especialmente no que se refere ao preparo para exame externo, incluindo ausência de informação sobre administração prévia de medicação essencial;
Possível inconsistência na administração de dieta/medicação (divergência entre o prescrito e o fornecido), acompanhada de resposta inadequada ao questionamento do acompanhante;
Desorganização no processo de encaminhamento da paciente para exame externo, incluindo falta de preparo da equipe e condutas inadequadas durante a locomoção;
Conduta da profissional identificada como enfermeira Tassiane, descrita como pouco colaborativa, com postura considerada arrogante e ausência de esclarecimentos adequados quanto à negativa de deslocamento da paciente para realização do exame.
Diante do exposto, solicitamos:
Apuração detalhada dos fatos relatados;
Adoção de medidas cabíveis quanto às condutas identificadas;
Reforço das práticas de atendimento humanizado junto à equipe;
Melhoria na comunicação interna e com pacientes/acompanhantes, especialmente quanto a orientações de procedimentos e administração de medicações;
Retorno a esta Ouvidoria, via sistema oficial, com as providências adotadas no prazo de até 20 (vinte) dias, conforme estabelecido pela Lei nº 13.460/2017.
Atenciosamente,
Carla Conceição
Ouvidora
(94)99156-5765
Ouvidoria do Hospital Geral de Parauapebas Associação de Saúde, Esporte, Lazer e Cultura - ASELC 
Parauapebas - PA     </t>
  </si>
  <si>
    <t>OV 0654 / 2026</t>
  </si>
  <si>
    <t>À Sra. Rosinete de Jesus Monteiro Santos
Supervisora do Ambulatório do HGP/ASELC
Assunto: Reclamação
Prezada Supervisora,
A Ouvidoria recebeu manifestação do usuário Antônio de Sousa, acompanhante de sua mãe, Hildene Pinto de Sousa, referente ao atendimento no setor de Ambulatório desta unidade.
Segundo relato, informam que ambos permaneceram por muito tempo à espera da especialidade de urologista. Ressaltam que o longo período de espera gerou desconforto, especialmente considerando a condição de saúde da paciente.
Diante do exposto, solicitamos a análise do ocorrido, bem como a adoção de medidas que visem à melhoria no fluxo de atendimento, a fim de evitar situações semelhantes e garantir maior celeridade e qualidade na assistência prestada aos usuários.
Neste sentido,  encaminhamos para que essa supervisão realize a análise da presente manifestação e envie resposta por meio do sistema Interact, no prazo de até 20 (vinte) dias, conforme preconiza a Lei nº 13.460/2017, com devolutiva a esta Ouvidoria.
Atenciosamente,
Carla Conceição
Ouvidora
(94)99156-5765
Ouvidoria do Hospital Geral de Parauapebas Associação de Saúde, Esporte, Lazer e Cultura - ASELC 
Parauapebas - PA     </t>
  </si>
  <si>
    <t>OV 0655 / 2026</t>
  </si>
  <si>
    <t>À Sra. Marisol Luise Vilhene da Silva
Supervisora de Enfermagem da Clínica Médica e Psicossocial do HGP/ASELC
Assunto: Elogio
Prezada Supervisora,
A Ouvidoria recebeu, por meio das urnas instaladas nos setores do hospital, diversos elogios referentes ao atendimento prestado pelas colaboradoras de Enfermagem, conforme descrito no documento anexo a este registro, no qual o usuário manifesta sua satisfação com a assistência recebida.
Diante disso, solicitamos a gentileza de compartilhar o referido reconhecimento com a equipe envolvida e realizar a devida resposta via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 
Carla Conceição
Ouvidora
(94)99156-5765
Ouvidoria do Hospital Geral de Parauapebas Associação de Saúde, Esporte, Lazer e Cultura - ASELC 
Parauapebas - PA     </t>
  </si>
  <si>
    <t>OV 0656 / 2026</t>
  </si>
  <si>
    <t>Ao Sr. Mardone Lima da Silva 
Supervisor de Enfermagem do Pronto Atendimento Adulto do HGP/ASELC
Assunto: Reclamação
Prezado Supervisor,
A Ouvidoria informa que recebeu, por meio das urnas instaladas nos setores do hospital, manifestação do senhor Aneilton e do senhor Aldenir Rebouças, referente a demora no atendimento no setor de Pronto Atendimento.
De acordo com o relato dos usuários, a demora para receber medicação e para coletar o exame foi extremamente demorada causando muito desconforto e cansaço.
Diante do exposto, encaminhamos a presente manifestação para apuração dos fatos e adoção das providências cabíveis, conforme descrito no documento anexo que contém a data do ocorrido.
Solicitamos, por gentileza, o envio de parecer ou esclarecimentos a esta Ouvidoria via interact, dentro do prazo estabelecido conforme a Lei nº 13.460/2017.
Desde já agradecemos a colaboração para melhoria dos serviços prestados ao usuário e nos colocamos à disposição.
Atenciosamente;
Carla Conceição
Ouvidora
(94)99156-5765
Ouvidoria do Hospital Geral de Parauapebas Associação de Saúde, Esporte, Lazer e Cultura - ASELC 
Parauapebas - PA</t>
  </si>
  <si>
    <t>OV 0657 / 2026</t>
  </si>
  <si>
    <t>À Sra. Marisol Luise Vilhene da Silva
Supervisora de Enfermagem da Clínica Médica e Psicossocial do HGP/ASELC
Assunto: Elogio
Prezada Supervisora,
A Ouvidoria recebeu, por meio das urnas instaladas nos setores do hospital, diversos elogios referentes ao atendimento prestado pela equipe de enfermagem desta clínica, conforme descrito no documento anexo a este registro.
Diante disso, parabenizamos a equipe pelo reconhecimento e solicitamos a gentileza de compartilhar este retorno positivo com todos os colaboradores envolvidos.
Adicionalmente, pedimos que seja encaminhada resposta via Interact, com o devido preenchimento e anexo do formulário de feedback positivo, para fins de registro e devolutiva aos usuários.
Agradecemos, desde já, pela colaboração e pelo comprometimento com a qualidade dos serviços prestados, colocando-nos à disposição para quaisquer esclarecimentos.
Atenciosamente,
-- 
Carla Conceição
Ouvidora
(94)99156-5765
Ouvidoria do Hospital Geral de Parauapebas Associação de Saúde, Esporte, Lazer e Cultura - ASELC 
Parauapebas - PA  </t>
  </si>
  <si>
    <t>OV 0658 / 2026</t>
  </si>
  <si>
    <t>À Sra. Débora de Oliveira Alvarenga
Supervisora da Clínica Cirúrgica e ortopédica do HGP/ASELC
Assunto: Elogio
Prezada Supervisor,A Ouvidoria recebeu, por meio das urnas instaladas nos setores do hospital, diversos elogios referentes ao atendimento prestado pela equipe de enfermagem da clínica cirúrgica e ortopédica, conforme descrito no documento anexo a este registro, no qual o usuário manifesta sua satisfação com a assistência recebida.
Diante disso, solicitamos a gentileza de compartilhar o referido reconhecimento com a equipe envolvida e realizar a devida resposta via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prestados.Permanecemos à disposição para quaisquer esclarecimentos.
Atenciosamente;
Carla Conceição
Ouvidora
(94)99156-5765
Ouvidoria do Hospital Geral de Parauapebas Associação de Saúde, Esporte, Lazer e Cultura - ASELC 
Parauapebas - PA     </t>
  </si>
  <si>
    <t>OV 0659 / 2026</t>
  </si>
  <si>
    <t>À Sra. Débora de Oliveira Alvarenga
Supervisora da Clínica Cirúrgica e ortopédica do HGP/ASELC
Assunto: Elogio
Prezada Supervisor,
A Ouvidoria recebeu, por meio das urnas instaladas nos setores do hospital, diversos elogios referentes ao atendimento prestado pela equipe de enfermagem da clínica cirúrgica e ortopédica, conforme descrito no documento anexo a este registro, no qual o usuário manifesta sua satisfação com a assistência recebida.
Diante disso, solicitamos a gentileza de compartilhar o referido reconhecimento com a equipe envolvida e realizar a devida resposta via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</si>
  <si>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0660 / 2026</t>
  </si>
  <si>
    <t>À Sra. Ana Luiza Timoteo Costa
Supervisora do SND do HGP/ASELC
Assunto: Encaminhamento de Reclamação - Qualidade da Alimentação (22/04)
Prezada,
A Ouvidoria do Hospital Geral de Parauapebas vem, por meio deste, encaminhar reclamação recebida de diversos pacientes e acompanhantes, referente à alimentação ofertada no dia 22 de abril de 2026.
De acordo com os relatos, o mingau servido encontrava-se queimado e sem sabor, o que ocasionou insatisfação generalizada.
Os manifestantes destacam, ainda, que a situação gerou desperdício de alimentos, além de ser percebida como falta de respeito e de humanização no atendimento aos pacientes e seus acompanhantes.
Diante do exposto, solicitamos a gentileza de verificar o ocorrido, apurar as possíveis causas e adotar as providências cabíveis, a fim de evitar a reincidência de situações semelhantes. 
Solicitamos, por gentileza, o envio de parecer ou esclarecimentos a esta Ouvidoria via interact, dentro do prazo estabelecido conforme a Lei nº 13.460/2017.
Desde já agradecemos a colaboração para melhoria dos serviços prestados ao usuário e nos colocamos à disposição.
Atenciosamente,
Carla Conceição
Ouvidora
(94)99156-5765
Ouvidoria do Hospital Geral de Parauapebas Associação de Saúde, Esporte, Lazer e Cultura - ASELC 
Parauapebas - PA     </t>
  </si>
  <si>
    <t>OV 0661 / 2026</t>
  </si>
  <si>
    <t>À Supervisora da Clínica Gineco-Obstetrícia
Daniella Gomes de Oliveira Costa
Assunto: Encaminhamento de Manifestação de reclamação
Prezada Supervisora,
A Ouvidoria recebeu relato anônimo de usuária do leito 07 referente a uma ocorrência registrada no dia 24 de março do corrente ano, durante o plantão diurno, na Clínica Gineco-Obstetrícia.
De acordo com a manifestação, a técnica de enfermagem identificada como Fran teria adotado postura inadequada no atendimento, sendo descrita como grosseira e utilizando-se de conduta brusca no momento da administração de medicação (cetoprofeno), após a paciente relatar dor no acesso venoso.
Ainda segundo o relato, ao questionar a profissional sobre a dor e ardência no local do acesso, a paciente não teria recebido a devida atenção. Na sequência, a colaboradora teria se ausentado e retornado acompanhada de outra técnica de enfermagem (não identificada), que, ao manipular o acesso, o retirou de forma agressiva, ocasionando sangramento intenso. Posteriormente, ao realizar nova punção venosa, houve dificuldade e novo episódio de sangramento, gerando maior desconforto à paciente.
Diante do exposto, a manifestante expressa grande insatisfação e revolta, considerando a situação desrespeitosa e incompatível com os princípios de humanização e cuidado assistencial.Nesse sentido, encaminhamos a presente manifestação para conhecimento, apuração dos fatos e adoção das providências que julgar pertinentes.
Solicitamos, por gentileza, a devolutiva à Ouvidoria por meio do sistema Interact, para fins de registro e resposta ao usuário.
Desde já agradecemos a colaboração e reforçamos a importância da manutenção de uma assistência pautada no respeito, na ética e na humanização do atendimento.
Permanecemos à disposição para quaisquer esclarecimentos.
Atenciosamente,
Carla Conceição
Ouvidora
(94)99156-5765
Ouvidoria do Hospital Geral de Parauapebas Associação de Saúde, Esporte, Lazer e Cultura - ASELC 
Parauapebas - PA</t>
  </si>
  <si>
    <t>OV 0662 / 2026</t>
  </si>
  <si>
    <t>À Sra. Marisol Luise Vilhene da Silva
Supervisora de Enfermagem da Clínica Médica e Psicossocial do HGP/ASELC
Assunto: Elogio
Prezada Supervisora,
A Ouvidoria recebeu, por meio das urnas instaladas nos setores do hospital, diversos elogios referentes ao atendimento prestado pela equipe de enfermagem desta clínica, conforme descrito no documento anexo a este registro.
Diante disso, parabenizamos a equipe pelo reconhecimento e solicitamos a gentileza de compartilhar este retorno positivo com todos os colaboradores envolvidos.
Adicionalmente, pedimos que seja encaminhada resposta via Interact, com o devido preenchimento e anexo do formulário de feedback positivo, para fins de registro e devolutiva aos usuários.
Agradecemos, desde já, pela colaboração e pelo comprometimento com a qualidade dos serviços prestados, colocando-nos à disposição para quaisquer esclarecimentos.
Atenciosamente,
-- 
Carla Conceição
Ouvidora
(94)99156-5765
Ouvidoria do Hospital Geral de Parauapebas Associação de Saúde, Esporte, Lazer e Cultura - ASELC 
Parauapebas - PA     </t>
  </si>
  <si>
    <t>OV 0663 / 2026</t>
  </si>
  <si>
    <t>Ao Sr. Alfredo Gomes Barbosa
Coordenador da equipe de Fisioterapia do HGP/ASELC
Assunto: Elogio 
Prezado;
A Ouvidoria recebeu, por meio das urnas instaladas nos setores do hospital, o elogio da senhora Danielle Brandão referente ao atendimento prestado pelo(a) colaborador(a) Juliana (fisioterapeuta), conforme descrito no documento anexo a este registro, no qual o usuário manifesta sua satisfação com a assistência recebida.
Diante disso, solicitamos a gentileza de compartilhar o referido reconhecimento com a equipe envolvida e realizar a devida resposta via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</si>
  <si>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0664 / 2026</t>
  </si>
  <si>
    <t>À Sra. Mayara Soares Honorio
Gerencia da Clínica Intensiva adulto HGP/ASELC
Assunto: Elogio
Prezada Gerente,
A Ouvidoria recebeu, por meio das urnas instaladas nos setores do hospital, diversos elogios referentes ao atendimento prestado pelos(as) colaboradores(as) de Enfermagem da UTI, conforme descrito no documento anexo a este registro, no qual o usuário manifesta sua satisfação com a assistência recebida.
Diante disso, solicitamos a gentileza de compartilhar o referido reconhecimento com a equipe envolvida e realizar a devida resposta via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 
Carla Conceição
Ouvidora
(94)99156-5765
Ouvidoria do Hospital Geral de Parauapebas Associação de Saúde, Esporte, Lazer e Cultura - ASELC 
Parauapebas - PA     </t>
  </si>
  <si>
    <t>OV 0665 / 2026</t>
  </si>
  <si>
    <t>À Supervisora da Clínica Gineco-Obstetrícia
Daniella Gomes de Oliveira Costa
Assunto: Elogio
Prezada Supervisora,
A Ouvidoria recebeu, por meio das urnas instaladas nos setores do hospital, diversos elogios referentes ao atendimento prestado pelos(as) colaboradores(as) da equipe de enfermagem, conforme descrito no documento anexo a este registro, no qual os usuários manifestam sua satisfação com a assistência recebida.
Diante disso, solicitamos a gentileza de compartilhar o referido reconhecimento com a equipe envolvida e realizar a devida resposta via sistema Interact, anexando o Formulário de Feedback Positivo dos Colaboradores, para fins de registro e posterior devolutiva aos usuários.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</si>
  <si>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0666 / 2026</t>
  </si>
  <si>
    <t>Á Sra. Rosinete de Jesus Monteiro Santos
Supervisora do Ambulatório do HGP/ASELC
Assunto: Elogio
Prezada Supervisora;
A Ouvidoria recebeu, por meio das urnas instaladas nos setores do hospital,  o elogio anônimo, referente ao atendimento prestado pelo(a) colaborador(a) Marceline da equipe de enfermagem, conforme descrito no documento anexo a este registro, no qual o usuário manifesta sua satisfação com a assistência recebida.
Diante disso, solicitamos a gentileza de compartilhar o referido reconhecimento com a equipe envolvida e realizar a resposta via sistema Interact, anexando o Formulário de Feedback Positivo dos Colaboradores, para fins de registro e posterior devolutiva ao usuário.
A Ouvidoria agradece a colaboração e ressalta que o reconhecimento das boas práticas contribui significativamente para a valorização dos profissionais e para a melhoria contínua dos serviços prestados.
Permanecemos à disposição para quaisquer esclarecimentos.
Atenciosamente,
-- 
Carla Conceição
Ouvidora
(94)99156-5765
Ouvidoria do Hospital Geral de Parauapebas Associação de Saúde, Esporte, Lazer e Cultura - ASELC 
Parauapebas - PA     </t>
  </si>
  <si>
    <t>OV 0667 / 2026</t>
  </si>
  <si>
    <t>À Sra. Lorena do Nascimento Barreto
Supervisora de Enfermagem do PAM do HGP/ASELC
Assunto: Elogio
Prezada Supervisora,
A Ouvidoria recebeu, por meio das urnas instaladas nos setores do hospital,  o elogio da senhora Sunara Vieira e do senhor Manoel Braga, referente ao atendimento prestado pelos(as) colaboradores(as) da equipe de enfermagem do setor CPN-PAM, conforme descrito no documento anexo a este registro, no qual o usuário manifesta sua satisfação com a assistência recebida.
Diante disso, solicitamos a gentileza de compartilhar o referido reconhecimento com a equipe envolvida e realizar a resposta via sistema Interact, anexando o Formulário de Feedback Positivo dos Colaboradores, para fins de registro e posterior devolutiva ao usuário.
A Ouvidoria agradece a colaboração e ressalta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</si>
  <si>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0668 / 2026</t>
  </si>
  <si>
    <t>Nayara Seda Ferreira</t>
  </si>
  <si>
    <t>À Sra. Nayara Seda Ferreira
Supervisora de Atendimento do HGP/ASELC
Assunto: Elogio
Prezada Supervisora,
A Ouvidoria recebeu, por meio das urnas instaladas nos setores do hospital,  o elogio da senhora Maria Lima Bendelack, referente ao atendimento prestado pelo(a) colaborador(a) Neide da equipe de recepção conforme descrito no documento anexo a este registro, no qual o usuário manifesta sua satisfação com o atendimento recebido.
Diante disso, solicitamos a gentileza de compartilhar o referido reconhecimento com a equipe envolvida e realizar a resposta via sistema Interact, anexando o Formulário de Feedback Positivo dos Colaboradores, para fins de registro e posterior devolutiva ao usuário.
A Ouvidoria agradece a colaboração e ressalta que o reconhecimento das boas práticas contribui significativamente para a valorização dos profissionais e para a melhoria contínua dos serviços prestados.
Permanecemos à disposição para quaisquer esclarecimentos.
Atenciosamente,
-- 
Carla Conceição
Ouvidora
(94)99156-5765
Ouvidoria do Hospital Geral de Parauapebas Associação de Saúde, Esporte, Lazer e Cultura - ASELC 
Parauapebas - PA     </t>
  </si>
  <si>
    <t>OV 0669 / 2026</t>
  </si>
  <si>
    <t>Ao Sr. Gustavo Cintra Silva
Coordenador de Facilities do HGP/ASELC
Assunto: Elogio
Prezado Coordenador,
A Ouvidoria recebeu, por meio das urnas instaladas nos setores do hospital, manifestação de elogio da senhora Danielle L. Brandão , referente ao serviço prestado pelos (as) colaboradores (as) da clínica gineco-obstetrícia, vinculada à empresa de limpeza (Top Clean). 
O usuário expressa sua satisfação quanto à excelência e à qualidade do trabalho realizado, conforme detalhado no documento anexo a este registro.
Diante do exposto, solicitamos a gentileza de compartilhar o referido elogio com a equipe envolvida e de encaminhar resposta por meio do sistema Interact, com a devida anexação do formulário de feedback positivo da colaboradora elogiada, para fins de registro e devolutiva à usuária.Agradecemos, desde já, a colaboração e o comprometimento desta coordenação na melhoria contínua dos serviços prestados, colocando-nos à disposição para quaisquer esclarecimentos.
Atenciosamente,
Carla Conceição
Ouvidora
(94)99156-5765
Ouvidoria do Hospital Geral de Parauapebas Associação de Saúde, Esporte, Lazer e Cultura - ASELC 
Parauapebas - PA     </t>
  </si>
  <si>
    <t>OV 0670 / 2026</t>
  </si>
  <si>
    <t>À Sra. Marisol Luise Vilhene da Silva
Supervisora de Enfermagem da Clínica Médica e Psicossocial do HGP/ASELC
Assunto: Reclamação
Prezada Supervisora,
A Ouvidoria recebeu através das redes sociais (whatsapp) a manifestação da senhora Kátia Maria Santana Campos, referente a ocorrências na Clínica Médica.
De acordo com o relato, há insatisfação quanto às condições de higiene de paciente internado no leito 23, o qual se encontra sem acompanhante e apresenta comportamentos que comprometem a organização e a higiene do ambiente compartilhado, gerando desconforto aos demais pacientes.
A usuária também aponta insuficiência de enxoval hospitalar, especialmente lençóis e batas, relatando dificuldade recorrente na disponibilização desses itens para os leitos da unidade.
Adicionalmente, refere falhas no processo de troca de turno da equipe de enfermagem, com ausência de repasse adequado de informações e de identificação dos profissionais responsáveis, o que tem gerado insegurança aos acompanhantes.
Diante do exposto, encaminhamos a presente manifestação para conhecimento, apuração dos fatos e adoção das providências que julgar pertinentes.
Solicitamos, por gentileza, a devolutiva à Ouvidoria por meio do sistema Interact, para fins de registro e resposta ao usuário.
Desde já, agradecemos a colaboração e reforçamos a importância da manutenção de uma assistência pautada no respeito, na ética e na humanização do atendimento.
Atenciosamente;
Carla Conceição
Ouvidora
(94)99156-5765
Ouvidoria do Hospital Geral de Parauapebas Associação de Saúde, Esporte, Lazer e Cultura - ASELC 
Parauapebas - PA     </t>
  </si>
  <si>
    <t>OV 0671 / 2026</t>
  </si>
  <si>
    <t>* À Sra. Mayara Soares Honorio
* Gerencia da Clínica Intensiva adulto HGP/ASELC
* 
* Assunto: Reclamação
* 
* Prezada,
* A Ouvidoria do Hospital Geral de Parauapebas vem, por meio deste, encaminhar manifestação registrada pela usuária Gleiciane, neta do paciente Sr. Valdeci Lopes de Sousa, referente a situação ocorrida durante o horário de visita na Unidade de Terapia Intensiva (UTI). 
* De acordo com o relato, após o recebimento do boletim médico, foram prestadas informações acerca do quadro clínico do paciente, incluindo prognóstico desfavorável e definição de cuidados paliativos, os quais foram compreendidos pela familiar. 
* No entanto, a manifestante aponta divergências nas informações repassadas entre a equipe médica e a equipe de enfermagem, especialmente no que se refere à administração de dieta enteral e à condução dos cuidados assistenciais. 
* Ainda segundo a usuária, ao buscar esclarecimentos junto à equipe de enfermagem, foram apresentadas informações incompatíveis com aquelas previamente fornecidas pelo médico, gerando insegurança quanto à assistência prestada. 
* Relata também ausência de evidências de instalação de dieta e hidratação venosa no momento da visita, além de percepções de abordagem inadequada por parte da equipe, com falas contraditórias. 
* A manifestante destaca que tal situação ocasiona insegurança quanto à condução do cuidado e à comunicação entre a equipe multiprofissional, especialmente considerando o contexto de cuidados paliativos. 
* Diante disso, solicita maior clareza nas informações, bem como que o boletim médico seja realizado à beira leito e que haja acesso às informações sobre metas assistenciais e prescrições diárias do paciente.
* Diante do exposto, encaminhamos a presente manifestação para conhecimento, apuração dos fatos e adoção das providências que julgar pertinentes. 
* Solicitamos, por gentileza, devolutiva à Ouvidoria por meio do sistema Interact, para fins de registro e resposta ao usuário.
* Reforçamos a importância da comunicação efetiva entre as equipes e familiares, bem como da prestação de uma assistência segura, ética e humanizada.
* 
* Atenciosamente
Carla Conceição
Ouvidora
(94)99156-5765
Ouvidoria do Hospital Geral de Parauapebas Associação de Saúde, Esporte, Lazer e Cultura - ASELC 
Parauapebas - PA     </t>
  </si>
  <si>
    <t>OV 0672 / 2026</t>
  </si>
  <si>
    <t>À Sra. Débora de Oliveira Alvarenga
Supervisora da Clínica Cirúrgica e Ortopédica do HGP/ASELC
Assunto: Reclamação - Atendimento e Conduta Profissional
Prezada Supervisora,
A Ouvidoria do Hospital Geral de Parauapebas vem, por meio deste, encaminhar manifestação registrada pela usuária Rosilda Pereira Costa, referente ao atendimento recebido durante o período em que acompanhava seu esposo, o senhor Raimundo Conceição da Silva, internado no leito 17 da Clínica Cirúrgica desta unidade hospitalar.
Conforme relato, a usuária informa ter sido abordada pela técnica de enfermagem identificada como Kelly de forma inadequada, sendo tratada com falta de respeito, em tom ríspido e, em determinados momentos, com postura considerada ameaçadora. 
A conduta descrita teria ocasionado constrangimento e sensação de humilhação. 
A manifestante ressalta que, na condição de acompanhante, esperava ser tratada com cordialidade, respeito e consideração, o que, segundo relato, não ocorreu na situação apresentada.
Diante do exposto, a usuária registra sua insatisfação com a postura da profissional mencionada, solicitando a devida apuração dos fatos e a adoção das providências cabíveis.
Nesse sentido, encaminhamos a presente manifestação para conhecimento, apuração e providências que julgarem pertinentes. 
Solicitamos, por gentileza, devolutiva à Ouvidoria por meio do sistema Interact, para fins de registro e resposta ao usuário.
Reforçamos a importância da manutenção de uma assistência pautada no respeito, na ética e na humanização do atendimento.
Atenciosamente,
Carla Conceição
Ouvidora
(94)99156-5765
Ouvidoria do Hospital Geral de Parauapebas Associação de Saúde, Esporte, Lazer e Cultura - ASELC 
Parauapebas - PA     </t>
  </si>
  <si>
    <t>OV 0673 / 2026</t>
  </si>
  <si>
    <t>À Sra. Marisol Luise Vilhene da Silva
Supervisora de Enfermagem da Clínica Médica e Psicossocial do HGP/ASELC
Assunto: Reclamação 
Prezada Supervisora,
A Ouvidoria do Hospital Geral de Parauapebas vem, por meio deste, encaminhar manifestação registrada pela usuária Lindalva Pereira da Silva, irmã da paciente Ieda Bonfim Pereira, referente a situações vivenciadas durante o período de internação nesta unidade hospitalar.
Conforme relato, a usuária acompanhou a paciente por 24 dias, período em que enfrentou dificuldades relacionadas à estrutura disponibilizada aos acompanhantes, especialmente quanto às cadeiras, que, segundo descrito, não oferecem condições adequadas para permanência prolongada, ocasionando desconforto significativo.
Adicionalmente, a manifestante expressa insatisfação com a atuação de parte da equipe de enfermagem, relatando, em algumas ocasiões, falta de atenção, cuidado e de uma abordagem mais humanizada no atendimento aos pacientes.
Destaca, ainda, um episódio que gerou grande preocupação, no qual a paciente apresentou dificuldade para deglutir comprimidos e, ainda assim, teria sido submetida à administração medicamentosa de forma considerada inadequada, com utilização de seringa para administração oral. 
Após o ocorrido, segundo a usuária, houve agravamento do quadro clínico, incluindo infecção generalizada, comprometimento renal e pneumonia.
Diante do exposto, a manifestante registra sua preocupação e insatisfação com as situações relatadas, solicitando a devida apuração dos fatos e a adoção das providências cabíveis, visando garantir a segurança e a qualidade da assistência prestada.
Nesse sentido, encaminhamos a presente manifestação para conhecimento, acolhimento e, se pertinente, acompanhamento junto aos familiares, bem como para as providências cabíveis. 
Solicitamos, por gentileza, devolutiva à Ouvidoria por meio do sistema Interact, para fins de registro e resposta ao usuário.
Reforçamos a importância do suporte psicossocial aos pacientes e acompanhantes, especialmente em situações de fragilidade, contribuindo para uma assistência mais humanizada e integral.
Atenciosamente,
Carla Conceição
Ouvidora
(94)99156-5765
Ouvidoria do Hospital Geral de Parauapebas Associação de Saúde, Esporte, Lazer e Cultura - ASELC 
Parauapebas - PA     </t>
  </si>
  <si>
    <t>OV 0674 / 2026</t>
  </si>
  <si>
    <t>À Sra. Mariana Lopes Almeida
Coordenadora da Psicologia do HGP/ASELC
Assunto: Elogio
Prezada Psicóloga,
A Ouvidoria recebeu, por meio das redes sociais (WhatsApp), o elogio da Sra.  Vanessa Zannyelly referente ao atendimento humanizado prestado pelo Psicólogo David Lima, conforme descrito no documento anexo a este registro.
Diante do exposto, solicitamos a gentileza de compartilhar este reconhecimento com a equipe envolvida e de encaminhar a resposta por meio do Interact, com o devido preenchimento e anexação do formulário de feedback positivo, a fim de subsidiar o registro e a devolutiva à usuária.
Aproveitamos para agradecer a colaboração dessa Coordenação, fundamental para o fortalecimento e a melhoria contínua dos serviços prestados aos usuários. 
Permanecemos à disposição para quaisquer esclarecimentos.
Atenciosamente,
Carla Conceição
Ouvidora
(94)99156-5765
Ouvidoria do Hospital Geral de Parauapebas Associação de Saúde, Esporte, Lazer e Cultura - ASELC 
Parauapebas - PA     </t>
  </si>
  <si>
    <t>OV 0675 / 2026</t>
  </si>
  <si>
    <t>À Sra. Luciane dos Santos Silva Rocha
Coordenadora do Serviço Social do HGP/ASELC
Assunto: Elogio
Prezada Coordenadora,A Ouvidoria recebeu, por meio das redes sociais (WhatsApp), o elogio do Sr. Rafael Santos, do Sr. Samir Said Wariss e da Sra. Lindalva Pereira, referente ao atendimento humanizado prestado pela Assistente Social Lucilda Brandão, conforme descrito no documento anexo a este registro.
Diante do exposto, solicitamos a gentileza de compartilhar este reconhecimento com a equipe envolvida e de encaminhar a resposta por meio do Interact, com o devido preenchimento e anexação do formulário de feedback positivo, a fim de subsidiar o registro e a devolutiva à usuária.
Aproveitamos para agradecer a colaboração dessa Coordenação, fundamental para o fortalecimento e a melhoria contínua dos serviços prestados aos usuários. 
Permanecemos à disposição para quaisquer esclarecimentos.
Atenciosamente,
-- 
Carla Conceição
Ouvidora
(94)99156-5765
Ouvidoria do Hospital Geral de Parauapebas Associação de Saúde, Esporte, Lazer e Cultura - ASELC 
Parauapebas - PA     </t>
  </si>
  <si>
    <t>OV 0676 / 2026</t>
  </si>
  <si>
    <t>À Sra. Marisol Luise Vilhene da Silva
Supervisora de Enfermagem da Clínica Médica e Psicossocial do HGP/ASELC
Assunto: Elogio
Prezada Supervisora, recebemos em nossa ouvidoria  através das redes sociais (WhatsApp), o elogio da senhora Vanessa Zannyelly, aos(as) colaboradores (as) José, Felipe, Lucas, Zaquel e Ellen (Enfermeiros), Frank, Yara (Técnico de enfermagem) e ao Dr. Amarildo e Dr.Italo (Psiquiatra) no qual a usuária manifesta sua satisfação com a assistência recebida.
Diante disso, solicitamos a gentileza de compartilhar o referido reconhecimento com a equipe envolvida e realizar a resposta via sistema Interact, anexando o Formulário de Feedback Positivo dos Colaboradores, para fins de registro e posterior devolutiva ao usuário.
A Ouvidoria agradece a colaboração e ressalta que o reconhecimento das boas práticas contribui significativamente para a valorização dos profissionais e para a melhoria contínua dos serviços prestados.
Permanecemos à disposição para quaisquer esclarecimentos.
Atenciosamente
-- 
Carla Conceição
Ouvidora
(94)99156-5765
Ouvidoria do Hospital Geral de Parauapebas Associação de Saúde, Esporte, Lazer e Cultura - ASELC 
Parauapebas - PA     </t>
  </si>
  <si>
    <t>OV 0677 / 2026</t>
  </si>
  <si>
    <t>À Sra. Nayara Seda Ferreira
Supervisora de Atendimento do HGP/ASELC
Assunto: Reclamação.
Prezada Supervisora,
A Ouvidoria do Hospital Geral de Parauapebas vem, por meio deste, encaminhar manifestação registrada pelo usuário Ivan Santos Costa, recebida por meio das redes sociais (WhatsApp), referente à organização das filas para atendimento na recepção desta unidade.
Conforme relato, ao chegar ao hospital, o usuário identificou a existência de fila única para atendimento, mesmo sendo pessoa com direito à prioridade em razão da idade. Informa que permaneceu aguardando sem receber qualquer orientação diferenciada por parte da recepção ou da equipe de apoio.
Durante o período de espera, outra usuária idosa questionou sobre a existência de fila prioritária, não obtendo resposta dos profissionais presentes, permanecendo também na fila comum. 
Posteriormente, segundo o relato, uma usuária com criança de colo foi orientada por um dos guardas a aguardar em local separado, com prioridade no atendimento, evidenciando, na percepção do manifestante, tratamento desigual e ausência de padronização nas orientações.
Diante do exposto, o usuário manifesta insatisfação quanto à falta de organização das filas, ausência de informações claras e condutas inconsistentes por parte da equipe, o que teria contribuído para desordem e desrespeito aos direitos de usuários com prioridade.
Nesse sentido, encaminhamos a presente manifestação para conhecimento, apuração e adoção das providências que julgarem pertinentes, especialmente quanto à organização do fluxo de atendimento e ao cumprimento das normas de atendimento prioritário.
Solicitamos, por gentileza, devolutiva à Ouvidoria por meio do sistema Interact, para fins de registro e resposta ao usuário.
Reforçamos a importância de garantir atendimento organizado, equitativo e em conformidade com a legislação vigente.
Atenciosamente,
Carla Conceição
Ouvidora
(94)99156-5765
Ouvidoria do Hospital Geral de Parauapebas Associação de Saúde, Esporte, Lazer e Cultura - ASELC 
Parauapebas - PA     </t>
  </si>
  <si>
    <t>OV 0678 / 2026</t>
  </si>
  <si>
    <t>Evilane Gonçalves Lima</t>
  </si>
  <si>
    <t>A Sra. Dra.Evilane Gonçalves Lima
Gerente Médica da CGO do HGP/ASELC
Assunto: Reclamação
Prezada Dra. Evilane,
A Ouvidoria do Hospital Geral de Parauapebas vem, por meio deste, encaminhar manifestação registrada pela usuária Rorima Lucena de Sousa, recebida em 05 de maio de 2026, para conhecimento, análise e providências cabíveis no âmbito da gestão da equipe médica obstétrica.
Conforme relato, a usuária apresenta insatisfação quanto ao atendimento prestado no pronto atendimento materno, especialmente no que se refere à conduta do profissional Dr. Jonas Alex Hock (CRM-7123). 
Entre os pontos destacados, constam:
Postura considerada ríspida e utilização de linguagem inadequada durante a consulta;
Interrupção da fala da paciente, com limitação da escuta qualificada;
Orientação de que o caso não se tratava de urgência, sem acolhimento adequado da queixa;
Relato de conduta inadequada de membro da equipe de enfermagem, com uso de linguagem imprópria no ambiente assistencial;
Realização de exame físico sem a devida privacidade, com presença de terceiros, gerando constrangimento;
Queixa quanto à falta de delicadeza durante o exame de toque.
Diante do exposto, solicitamos a gentileza de proceder com a apuração dos fatos junto à equipe envolvida, bem como encaminhar resposta formal a esta Ouvidoria dentro do prazo estabelecido pela Lei nº 13.460/2017, a fim de subsidiar retorno à usuária.
Ressaltamos a importância de que a devolutiva contemple as medidas adotadas e/ou orientações realizadas, visando à melhoria contínua da qualidade assistencial e à humanização do atendimento.
Permanecemos à disposição para eventuais esclarecimentos.
Atenciosamente,
Carla Conceição
Ouvidora
(94)99156-5765
Ouvidoria do Hospital Geral de Parauapebas Associação de Saúde, Esporte, Lazer e Cultura - ASELC 
Parauapebas - PA     </t>
  </si>
  <si>
    <t>OV 0679 / 2026</t>
  </si>
  <si>
    <t>A Sra. Dra.Evilane Gonçalves Lima
Gerente Médica da CGO do HGP/ASELC
Assunto: Reclamação
Prezada Dra. Evilane,
A Ouvidoria recebeu, por meio das urnas instaladas nos setores do hospital, a reclamação da Sra. Kaline Custodio Mourão, referente ao atendimento prestado pelo Dr. Jonas no setor CPN, conforme descrito no documento anexo a este registro, no qual a usuária manifesta sua insatisfação com o atendimento recebido.
Diante do exposto, solicitamos a gentileza de proceder com a apuração dos fatos junto à equipe envolvida, bem como encaminhar resposta formal a esta Ouvidoria dentro do prazo estabelecido pela Lei nº 13.460/2017, a fim de subsidiar retorno à usuária.
A Ouvidoria ressalta a importância da qualidade e humanização no atendimento prestado, visando a melhoria contínua dos serviços oferecidos.
Permanecemos à disposição para quaisquer esclarecimentos.
Atenciosamente,
Carla Conceição
Ouvidora
(94)99156-5765
Ouvidoria do Hospital Geral de Parauapebas Associação de Saúde, Esporte, Lazer e Cultura - ASELC 
Parauapebas - PA     </t>
  </si>
  <si>
    <t>OV 0680 / 2026</t>
  </si>
  <si>
    <t>Ao Sr. Gustavo Cintra Silva
Coordenador de Facilities do HGP/ASELC
Assunto: Reclamação
Prezado Coordenador,
A Ouvidoria recebeu, por meio das redes sociais (WhatsApp), manifestação da Sra. Katia Maria Santana, a reclamação, referente ao serviço prestado pelos (as) colaboradores (as) da clínica médica,vinculada à empresa de limpeza (Top Clean).
A usuária expressa sua insatisfação quanto a falta de limpeza das enfermaria, conforme detalhado no documento anexo a este registro. 
Diante do exposto, encaminhamos a presente manifestação para conhecimento, apuração dos fatos e adoção das providências que julgar pertinentes. 
Solicitamos, por gentileza, devolutiva à Ouvidoria por meio do sistema Interact, para fins de registro e resposta à usuária.
Agradecemos, desde já, a colaboração e o comprometimento desta coordenação na melhoria contínua dos serviços prestados, colocando-nos àdisposição para quaisquer esclarecimentos.
Atenciosamente,
Carla Conceição
Ouvidora
(94)99156-5765
Ouvidoria do Hospital Geral de Parauapebas Associação de Saúde, Esporte, Lazer e Cultura - ASELC 
Parauapebas - PA</t>
  </si>
  <si>
    <t>OV 0681 / 2026</t>
  </si>
  <si>
    <t>o Sr. Gustavo Cintra Silva
Coordenador de Facilities do HGP/ASELC
Assunto: Elogio
Prezado Coordenador,
A Ouvidoria recebeu, por meio das urnas instaladas nos setores do hospital, manifestação de elogio da senhora Kátia Campos e Laura Azevedo, referente ao serviço prestado pelos (as) colaboradores (as) da clínica médica, vinculada à empresa de limpeza (Top Clean). 
As usuárias expressam sua satisfação quanto à excelência e à qualidade do trabalho realizado, conforme detalhado no documento anexo a este registro.
Diante do exposto, solicitamos a gentileza de compartilhar o referido elogio com a equipe envolvida e de encaminhar resposta por meio do sistema Interact, com a devida anexação do formulário de feedback positivo da colaboradora elogiada, para fins de registro e devolutiva à usuária.
Agradecemos, desde já, a colaboração e o comprometimento desta coordenação na melhoria contínua dos serviços prestados, colocando-nos à disposição para quaisquer esclarecimentos.
Atenciosamente,
Carla Conceição
Ouvidora
(94)99156-5765
Ouvidoria do Hospital Geral de Parauapebas Associação de Saúde, Esporte, Lazer e Cultura - ASELC 
Parauapebas - PA     </t>
  </si>
  <si>
    <t>OV 0682 / 2026</t>
  </si>
  <si>
    <t>À Sra. Rafaela Braga Simões
Supervisora do Núcleo de Gestão do Atendimento e Humanização do HGP/ASELC
Assunto: Elogio
Prezada Supervisora;
A Ouvidoria recebeu, por meio das urnas instaladas nos setores do hospital, diversos elogios , referentes ao atendimento prestado pela Sra. Maria J. Alves da equipe de humanização, conforme descrito no documento anexo a este registro, no qual o usuário manifesta sua satisfação com o atendimento recebido.
Diante disso, solicitamos a gentileza de compartilhar o referido reconhecimento com a equipe envolvida e realizar a devida resposta via Interact, anexando o Formulário de Feedback Positivo dos Colaboradores, para fins de registro e posterior devolutiva aos usuários no prazo estabelecido pela Lei 13.460/2017.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</si>
  <si>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elogio</t>
  </si>
  <si>
    <t>OV 0683 / 2026</t>
  </si>
  <si>
    <t>Ao Sr. Mardone Lima da Silva 
Supervisor de Enfermagem do Pronto Atendimento Adulto do HGP/ASELC
Assunto: Elogio
Prezado Supervisor,
A Ouvidoria recebeu, por meio das redes sociais (WhatsApp), o elogio anônimo referentes ao atendimento prestado pela colaboradora: Ludmila Silveira (Enfermeira), conforme descrito no documento anexo a este registro, no qual o usuário manifesta sua satisfação com a assistência recebida.
Diante disso, solicitamos a gentileza de compartilhar o referido reconhecimento com a colaboradora envolvida e realizar a devida resposta via Interact, anexando o Formulário de Feedback Positivo da Colaboradora, para fins de registro e posterior devolutiva ao usuário no prazo estabelecido pela Lei 13.460/2017.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Ouvidora(94)99156-5765
Ouvidoria do Hospital Geral de Parauapebas Associação de Saúde, Esporte, Lazer e Cultura - ASELC 
Parauapebas - PA     </t>
  </si>
  <si>
    <t>OV 0684 / 2026</t>
  </si>
  <si>
    <t>À Supervisora da Clínica Gineco-Obstetrícia
Daniella Gomes de Oliveira Costa
Assunto: Elogio
Prezada Supervisora,
A Ouvidoria recebeu, por meio das urnas instaladas nos setores do hospital, diversos elogios referentes ao atendimento prestado pelos(as) colaboradores(as) da equipe de enfermagem, conforme descrito no documento anexo a este registro, no qual os usuários manifestam sua satisfação com a assistência recebida.
Diante disso, solicitamos a gentileza de compartilhar o referido reconhecimento com a equipe envolvida e realizar a devida resposta via sistema Interact, anexando o Formulário de Feedback Positivo dos Colaboradores, para fins de registro e posterior devolutiva aos usuários de acordo com a Lei 13460/2017.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 
Carla ConceiçãoOuvidora
(94)99156-5765
Ouvidoria do Hospital Geral de Parauapebas Associação de Saúde, Esporte, Lazer e Cultura - ASELC 
Parauapebas - PA     </t>
  </si>
  <si>
    <t>OV 0685 / 2026</t>
  </si>
  <si>
    <t>À Sra. Débora de Oliveira Alvarenga
Supervisora da Clínica Cirúrgica e ortopédica do HGP/ASELC
Prezada Supervisora,
A Ouvidoria recebeu, por meio das urnas instaladas nos setores do hospital, diversos elogios referentes ao atendimento prestado pela equipe de enfermagem da clínica cirúrgica e ortopédica, conforme descrito no documento anexo a este registro, no qual o usuário manifesta sua satisfação com a assistência recebida.
Diante disso, solicitamos a gentileza de compartilhar o referido reconhecimento com a equipe envolvida e realizar a devida resposta via Interact, anexando o Formulário de Feedback Positivo dos Colaboradores, para fins de registro e posterior devolutiva aos usuários de acordo com a Lei 13460/2017.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</si>
  <si>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0686 / 2026</t>
  </si>
  <si>
    <t>À Sra. Marisol Luise Vilhene da Silva
Supervisora de Enfermagem da Clínica Médica e Psicossocial do HGP/ASELC
Assunto: Elogio
* Prezada Supervisora,
* A Ouvidoria recebeu, por meio das urnas instaladas nos setores do hospital, diversos elogios referentes ao atendimento prestado pela equipe de enfermagem desta clínica, conforme descrito no documento anexo a este registro.
* Diante disso, parabenizamos a equipe pelo reconhecimento e solicitamos a gentileza de compartilhar este retorno positivo com todos os colaboradores envolvidos.
* Adicionalmente, pedimos que seja encaminhada resposta via Interact, com o devido preenchimento e anexo do formulário de feedback positivo, para fins de registro e devolutiva aos usuários conforme Lei 13.460/2017.
* Agradecemos, desde já, pela colaboração e pelo comprometimento com a qualidade dos serviços prestados, colocando-nos à disposição para quaisquer esclarecimentos.
* 
* Atenciosamente,
* 
* Carla Conceição
* Ouvidora
* (94)99156-5765
* Ouvidoria do Hospital Geral de Parauapebas Associação de Saúde, Esporte, Lazer e Cultura - ASELC 
* Parauapebas - PA     </t>
  </si>
  <si>
    <t>OV 0687 / 2026</t>
  </si>
  <si>
    <t>À Sra. Lorena do Nascimento Barreto
Supervisora de Enfermagem do PAM do HGP/ASELC
Assunto: Elogio
Prezada Supervisora,A Ouvidoria recebeu, por meio das urnas instaladas nos setores do hospital,  diversos elogio(s) referente(s) ao atendimento prestado pelos(as) colaboradores(as) da equipe de enfermagem do setor CPN-PAM, conforme descrito no documento anexo a este registro, no qual o usuário manifesta sua satisfação com a assistência recebida.
Diante disso, solicitamos a gentileza de compartilhar o referido reconhecimento com a equipe envolvida e realizar a resposta via sistema Interact, anexando o Formulário de Feedback Positivo dos Colaboradores, para fins de registro e posterior devolutiva ao usuário conforme a Lei 13.460/2017.
A Ouvidoria agradece a colaboração e ressalta que o reconhecimento das boas práticas contribui significativamente para a valorização dos profissionais e para a melhoria contínua dos serviços prestados.Permanecemos à disposição para quaisquer esclarecimentos.
Atenciosamente,
Carla Conceição
Ouvidora
(94)99156-5765
Ouvidoria do Hospital Geral de Parauapebas Associação de Saúde, Esporte, Lazer e Cultura - ASELC 
Parauapebas - PA     </t>
  </si>
  <si>
    <t>OV 0688 / 2026</t>
  </si>
  <si>
    <t>Ao Sr. Mardone Lima da Silva 
Supervisor de Enfermagem do Pronto Atendimento Adulto do HGP/ASELC
Assunto: Elogio
Prezado Supervisor,
A Ouvidoria recebeu, por meio das redes sociais (WhatsApp), o elogio do senhor Makol Lima de Souza, referente ao atendimento prestado pela colaboradora Edneia ( Técnica), conforme descrito no documento anexo a este registro, no qual o usuário manifesta sua satisfação com a assistência recebida.
Diante disso, solicitamos a gentileza de compartilhar o referido reconhecimento com a colaboradora envolvida e realizar a devida resposta via Interact, anexando o Formulário de Feedback Positivo da Colaboradora, para fins de registro e posterior devolutiva ao usuário no prazo estabelecido pela Lei 13.460/2017.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</si>
  <si>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0689 / 2026</t>
  </si>
  <si>
    <t>À Sra. Débora de Oliveira Alvarenga
Supervisora da Clínica Cirúrgica e ortopédica do HGP/ASELC
Assunto: Elogio
Prezada Supervisora,
A Ouvidoria recebeu, por meio das urnas instaladas nos setores do hospital, diversos elogios referentes ao atendimento prestado pela equipe de enfermagem da clínica cirúrgica e ortopédica, conforme descrito no documento anexo a este registro, no qual o usuário manifesta sua satisfação com a assistência recebida.
Diante disso, solicitamos a gentileza de compartilhar o referido reconhecimento com a equipe envolvida e realizar a devida resposta via Interact, anexando o Formulário de Feedback Positivo dos Colaboradores, para fins de registro e posterior devolutiva aos usuários  de acordo com a Lei 13460/2017.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</si>
  <si>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0690 / 2026</t>
  </si>
  <si>
    <t>À Sra. Lorena do Nascimento Barreto
Supervisora de Enfermagem do PAM do HGP/ASELC
Assunto: Elogio
Prezada Supervisora,
A Ouvidoria recebeu, por meio das urnas instaladas nos setores do hospital, o elogio do Sr. Jhonny J. da Silva referente ao atendimento prestado pelos(as) colaboradores(as) da equipe de enfermagem do setor CPN-PAM, conforme descrito no documento anexo a este registro, no qual o usuário manifesta sua satisfação com a assistência recebida.
Diante disso, solicitamos a gentileza de compartilhar o referido reconhecimento com a equipe envolvida e realizar a resposta via sistema Interact, anexando o Formulário de Feedback Positivo dos Colaboradores, para fins de registro e posterior devolutiva ao usuário conforme a Lei 13.460/2017.
A Ouvidoria agradece a colaboração e ressalta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t>
  </si>
  <si>
    <t xml:space="preserve">Reclamação </t>
  </si>
  <si>
    <t>OV 0691 / 2026</t>
  </si>
  <si>
    <t>À Sra. Débora de Oliveira Alvarenga
Supervisora da Clínica Cirúrgica e Ortopédica do HGP/ASELC
Assunto: Encaminhamento de Reclamação
Prezada Supervisora,
A Ouvidoria do Hospital Geral de Parauapebas recebeu, por meio das urnas instaladas nos setores da unidade, a manifestação da acompanhante do Sr. José Junior Ferreira Santana, conforme relato anexo a este registro.
De acordo com a manifestação, no dia 10 de maio de 2026, o paciente tomou banho por volta das 06h30, ocasião em que o curativo ficou molhado. Segundo relatado, o curativo permaneceu úmido até aproximadamente 08h00, sem que fosse realizada a troca pelo profissional de enfermagem responsável, cujo nome a acompanhante não soube informar.
Diante do exposto, solicitamos a gentileza de proceder com a análise da manifestação, bem como com a adoção das providências cabíveis.
Reforçamos a necessidade de encaminhar resposta a esta Ouvidoria por meio do sistema Interact, no prazo de até 20 (vinte) dias, conforme estabelecido pela Lei nº 13.460/2017.
Agradecemos a colaboração de Vossa Senhoria para a melhoria contínua dos serviços prestados aos usuários e colocamo-nos à disposição para quaisquer esclarecimentos.
Atenciosamente,
Carla Conceição
Ouvidora
(94)99156-5765
Ouvidoria do Hospital Geral de Parauapebas Associação de Saúde, Esporte, Lazer e Cultura - ASELC 
Parauapebas - PA</t>
  </si>
  <si>
    <t>OV 0692 / 2026</t>
  </si>
  <si>
    <t>À Sra.  Camila Amanda Cardoso dos Santos
Gerente do Ambulatório do HGP/ASELC
Assunto: Reclamação
Prezada,
A Ouvidoria do Hospital Geral de Parauapebas recebeu, por meio das urnas instaladas nos setores da unidade, a reclamação do Sr. Jhony J. da Silva, conforme relato anexo a este registro.
De acordo com a manifestação, no dia 10 de maio de 2026, o Sr. Jhony relatou sua insatisfação quanto ao atendimento prestado pela equipe de coleta de sangue do plantão noturno. 
Segundo informado, durante a realização de coleta em uma bebê, foram necessárias mais de quatro tentativas de punção venosa para obtenção do sangue. 
O manifestante demonstra preocupação e descontentamento com a forma como o procedimento foi conduzido pela equipe responsável pela coleta.
Diante do exposto, solicitamos a gentileza de proceder com a análise da manifestação, bem como com a adoção das providências cabíveis.
Reforçamos a necessidade de encaminhar resposta a esta Ouvidoria por meio do sistema Interact, no prazo de até 20 (vinte) dias, conforme estabelecido pela Lei nº 13.460/2017.
Agradecemos a colaboração de Vossa Senhoria para a melhoria contínua dos serviços prestados aos usuários e colocamo-nos à disposição para quaisquer esclarecimentos.
Atenciosamente,
Carla Conceição
Ouvidora
(94)99156-5765
Ouvidoria do Hospital Geral de Parauapebas Associação de Saúde, Esporte, Lazer e Cultura - ASELC 
Parauapebas - PA</t>
  </si>
  <si>
    <t>OV 0693 / 2026</t>
  </si>
  <si>
    <t>À Sra. Luciane dos Santos Silva Rocha
Coordenadora do Serviço Social do HGP/ASELC
Assunto: Elogio
Prezada Coordenadora,
A Ouvidoria recebeu, por meio das urnas instaladas nos setores do hospital, o elogio do Sr. Warlison Henrique da C. Leite e do Sr. José Arlan Q. de Almeida, referente ao atendimento humanizado prestado pela Assistente Social Lucilda Brandão, conforme descrito no documento anexo a este registro.
Diante do exposto, solicitamos a gentileza de compartilhar este reconhecimento com a equipe envolvida e de encaminhar a resposta por meio do Interact, com o devido preenchimento e anexação do formulário de feedback positivo, a fim de subsidiar o registro e a devolutiva ao usuário de acordo com a Lei 13.460/2017.
Aproveitamos para agradecer a colaboração dessa Coordenação, fundamental para o fortalecimento e a melhoria contínua dos serviços prestados aos usuários. 
Permanecemos à disposição para quaisquer esclarecimentos.
Atenciosamente,
Carla Conceição
Ouvidora
(94)99156-5765
Ouvidoria do Hospital Geral de Parauapebas Associação de Saúde, Esporte, Lazer e Cultura - ASELC 
Parauapebas - PA</t>
  </si>
  <si>
    <t>OV 0694 / 2026</t>
  </si>
  <si>
    <t>À Supervisora da Clínica Gineco-Obstetrícia
Daniella Gomes de Oliveira Costa
Assunto: Elogio
Prezada Supervisora,
A Ouvidoria recebeu, por meio das urnas instaladas nos setores do hospital, diversos elogios referentes ao atendimento prestado pelos(as) colaboradores(as) da equipe de enfermagem, conforme descrito no documento anexo a este registro, no qual os usuários manifestam sua satisfação com a assistência recebida.
Diante disso, solicitamos a gentileza de compartilhar o referido reconhecimento com a equipe envolvida e realizar a devida resposta via sistema Interact, anexando o Formulário de Feedback Positivo dos Colaboradores, para fins de registro e posterior devolutiva aos usuários de acordo com a Lei 13460/2017.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t>
  </si>
  <si>
    <t>OV 0695 / 2026</t>
  </si>
  <si>
    <t>Ao Sr. Gustavo Cintra Silva
Coordenador de Facilities do HGP/ASELC
Assunto: Reclamação
Prezado Coordenador,
A Ouvidoria recebeu, por meio das urnas instaladas nos setores do hospital, manifestação do Sr. Jhony J. da Silva, conforme relato anexo a este registro.
O Sr. Jhony relatou sua insatisfação quanto à ausência de copos descartáveis no bebedouro da clinica pediatrica disponibilizado aos usuários e acompanhantes desta unidade hospitalar no dia 10 de maio de 2026. 
Diante do exposto, solicitamos a gentileza de proceder com a análise da manifestação, bem como com a adoção das providências cabíveis.
Reforçamos a necessidade de encaminhar resposta a esta Ouvidoria por meio do sistema Interact, no prazo de até 20 (vinte) dias, conforme estabelecido pela Lei nº 13.460/2017.
Agradecemos a colaboração para a melhoria contínua dos serviços prestados aos usuários e colocamo-nos à disposição para quaisquer esclarecimentos.
Atenciosamente,
Carla Conceição
Ouvidora
(94)99156-5765
Ouvidoria do Hospital Geral de Parauapebas Associação de Saúde, Esporte, Lazer e Cultura - ASELC 
Parauapebas - PA     </t>
  </si>
  <si>
    <t>OV 0696 / 2026</t>
  </si>
  <si>
    <t>À Sra. Larissa Talita da Silva
Supervisora de Enfermagem da Clínica Pediátrica e UCI HGP/ASELC
Assunto: Elogio
A Ouvidoria recebeu, por meio das urnas instaladas nos setores do hospital, o elogio do Sr. Jhonny J. da Silva conforme descrito no documento anexo a este registro, no qual o usuário manifesta sua satisfação com a assistência recebida.
Diante disso, solicitamos a gentileza de compartilhar o referido reconhecimento com a equipe envolvida e realizar a resposta via sistema Interact, anexando o Formulário de Feedback Positivo dos Colaboradores, para fins de registro e posterior devolutiva ao usuário conforme a Lei 13.460/2017.
A Ouvidoria agradece a colaboração e ressalta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</si>
  <si>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OV 0697 / 2026</t>
  </si>
  <si>
    <t>Ao Sr. Mardone Lima da Silva 
Supervisor de Enfermagem do Pronto Atendimento Adulto do HGP/ASELC
Assunto: Reclamação sobre assistência de enfermagem(sala vermelha)
Prezado Supervisor,
A Ouvidoria do Hospital Geral de Parauapebas recebeu manifestação da paciente Makol Lima Souza via rede social (whatsapp), que relata insatisfação quanto à assistência de enfermagem prestada durante o plantão noturno do dia 08/05 à 09/05/2026.
Segundo a paciente, na noite anterior apresentou intenso mal-estar, com sintomas de dor de cabeça, vômitos, dores no estômago e grande desconforto físico. Informa que a profissional de enfermagem identificada como Cleo esteve em seu leito apenas em dois momentos: inicialmente para administração de medicação e, posteriormente, por volta de meia-noite, quando administrou nova medicação e, segundo a paciente, deixou o acesso venoso aberto. A manifestante relata ter se sentido desconfortável com a postura da profissional, mencionando que percebeu um tratamento preconceituoso e pouco acolhedor. Afirma ainda que, após a administração dos medicamentos, permaneceu sem assistência durante praticamente toda a noite, mesmo encontrando-se impossibilitada de levantar-se sozinha.
A paciente informa que, por estar em isolamento(sala vermelha), compreende as restrições de permanência de acompanhantes, porém considera que houve abandono assistencial, pois permaneceu sozinha durante todo o período, sentindo sede, vontade de urinar e sem condições físicas de esvaziar o recipiente utilizado para eliminação urinária. 
Relata que a profissional somente retornou ao leito por volta das 6h da manhã, após várias horas sem acompanhamento.
Diante do exposto, a paciente solicita que sejam apurados os fatos relatados e adotadas as providências cabíveis, ressaltando que se sentiu mal assistida e desamparada durante toda a noite.
A Ouvidoria ressalta a importância da qualidade e humanização no atendimento prestado, visando a melhoria contínua dos serviços oferecidos.
Solicitamos análise da situação e encaminhamento de resposta à Ouvidoria dentro do prazo legal estabelecido pela Lei 13.460/2017.
Atenciosamente,
Carla Conceição
Ouvidora
(94)99156-5765
Ouvidoria do Hospital Geral de Parauapebas Associação de Saúde, Esporte, Lazer e Cultura - ASELC 
Parauapebas - PA</t>
  </si>
  <si>
    <t>OV 0698 / 2026</t>
  </si>
  <si>
    <t>À Sra. Rafaela Braga Simões
Supervisora do Núcleo de Gestão do Atendimento e Humanização do HGP/ASELC
Assunto: Elogio
Prezada Supervisora,
A Ouvidoria recebeu, por meio das redes sociais (Whatsapp), o elogio da Sra. Debora Araujo Rodrigues, referente ao atendimento prestado pela colaboradora Kananda Pires (posso ajudar) da equipe de humanização, conforme descrito no documento anexo a este registro, no qual a usuária manifesta sua satisfação com o atendimento recebido.
Diante disso, solicitamos a gentileza de compartilhar o referido reconhecimento com a equipe envolvida e realizar a devida resposta via Interact, anexando o Formulário de Feedback Positivo dos Colaboradores, para fins de registro e posterior devolutiva aos usuários no prazo estabelecido pela Lei 13.460/2017.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t>
  </si>
  <si>
    <t>OV 0699 / 2026</t>
  </si>
  <si>
    <t>Assunto: Elogio
Prezada Dra,
A Ouvidoria recebeu, por meio das redes sociais (Whatsapp), o elogio da Sra. Debora Araujo Rodrigues, referente ao atendimento prestado pelos Médicos Dr. Douglas Gaspareto e Dr Willian (obstetras), conforme descrito no documento anexo a este registro, no qual a usuária manifesta sua satisfação com o atendimento recebido.
Diante disso, solicitamos a gentileza de compartilhar o referido reconhecimento com a equipe envolvida e realizar a devida resposta via Interact, anexando o Formulário de Feedback Positivo dos Colaboradores, para fins de registro e posterior devolutiva aos usuários no prazo estabelecido pela Lei 13.460/2017.
A Ouvidoria agradece a colaboração e reforça que o reconhecimento das boas práticas contribui significativamente para a valorização dos profissionais e para a melhoria contínua dos serviços prestados.
Permanecemos à disposição para quaisquer esclarecimentos.
Atenciosamente,
Carla Conceição
Ouvidora
(94)99156-5765
Ouvidoria do Hospital Geral de Parauapebas Associação de Saúde, Esporte, Lazer e Cultura - ASELC 
Parauapebas - PA     </t>
  </si>
  <si>
    <t>RNC 0085 / 2026</t>
  </si>
  <si>
    <t>Residuos Não Conformidade</t>
  </si>
  <si>
    <t>RNC 0086 / 2026</t>
  </si>
  <si>
    <t>DESCARTE INCORRETO NA LIXEIRA DE INFECTANTE</t>
  </si>
  <si>
    <t>RNC 0087 / 2026</t>
  </si>
  <si>
    <t xml:space="preserve">Diretoria Técnica / GRSS - Gerenciamento de Resíduos de Serviço de Saúde </t>
  </si>
  <si>
    <t>João Vitor Mendes Costa</t>
  </si>
  <si>
    <t>Em visita diaria pelo setor do PRONTO SOCORRO, foi identificado na sala UDC na lixeira de resíduos infectantes alguns resíduos comum, como; caixa de luvas, embalagens plasticas, em entre outros. Reiteramos a necessidade da boa segregação dos resíduos para segurança dos colaboradores e pacientes.</t>
  </si>
  <si>
    <t>RNC 0088 / 2026</t>
  </si>
  <si>
    <t>CAIXA DE DESCARBOX CHEIA A 3 DIAS</t>
  </si>
  <si>
    <t>RNC 0089 / 2026</t>
  </si>
  <si>
    <t>Em visita diaria a equipe identificou que a 3 dias seguidos não era trocada a caixa de resíduos perfurocortante que ja estava a cima da medida indicada (2/3 da caixa).  Desta maneira colaborando a exposição dos colaboradores da assistencia e da equipe de limpeza.</t>
  </si>
  <si>
    <t>Verificação</t>
  </si>
  <si>
    <t>RNC 0090 / 2026</t>
  </si>
  <si>
    <t>DEMORA NA PASSGEM DE PLANTÃO</t>
  </si>
  <si>
    <t>RNC 0091 / 2026</t>
  </si>
  <si>
    <t>Luciene Pereira dos Santos</t>
  </si>
  <si>
    <t>SINALISO QUE NA PASSAGEM DE PLANTÃO NO DIA 14/03/26 AS 07:00HS AO AGUARDAR A COLABORADORA S.C.S.V. A MESMA CHEGA NO SETOR PASSA DIRETO PARA O CONFORTO APOS UNS 10 MINUTOS RETORNA OLHA O DIMENSIONAMENTO VAI AOS LEITOS SOMENTE POIS ISSO VEM RECEBER O PLANTÃO,QUE E PASSADO BEIRA LEITO CONFORME PROTOCOLO INSTITUCIONAL,GERANDO DEMORA PARA RECEBER O PLANTÃO,ALGUMAS VEZES CHEGA SE RECUSAR A IR A BEIRA  LEITO,SITUAÇOES RECORRENTES.
NOTIFICO PARA MELHORIA DO PROCESSO.</t>
  </si>
  <si>
    <t>CAIXAS DESCAPAK NO CHÃO</t>
  </si>
  <si>
    <t>RNC 0092 / 2026</t>
  </si>
  <si>
    <t>Em visita de rotina foi encontrado as caixas Descapack acondicionadas no chão do posto de enfermagem, desta maneira ocassionando grande risco da ruptura da caixa devido o local umido e molhado do chão. Reiteramos a necessidade do acondicionamento de forma emediata no expurgo ao lado.</t>
  </si>
  <si>
    <t xml:space="preserve">CAIXA DESCAPACK </t>
  </si>
  <si>
    <t>RNC 0093 / 2026</t>
  </si>
  <si>
    <t>Durante a visita no laboratorio foi identificado que a caixa de descapack estava acima do limite permetido (2/3). Expondo assim os colaboradores da assistencia e da higienização. Reafirmo a importancia de manter dentro do limite e sempre ter uma caixa reserva montada caso necessite de agilidade durante o dia.</t>
  </si>
  <si>
    <t>RNC 0094 / 2026</t>
  </si>
  <si>
    <t>RNC 0095 / 2026</t>
  </si>
  <si>
    <t>RNC 0096 / 2026</t>
  </si>
  <si>
    <t>Divergência entre quantidade solicitada e recebida</t>
  </si>
  <si>
    <t>RNC 0097 / 2026</t>
  </si>
  <si>
    <t>Não conformidade referente à entrega de material: foram solicitados 20 pacotes de compressas, conforme registrado no sistema, porém foram recebidos apenas 7 pacotes.
A divergência impacta diretamente os processos da CME, com risco de comprometimento do fluxo e da assistência.</t>
  </si>
  <si>
    <t>RNC 0098 / 2026</t>
  </si>
  <si>
    <t>RNC 0099 / 2026</t>
  </si>
  <si>
    <t xml:space="preserve">Lixeira quebrada Clinica Medica </t>
  </si>
  <si>
    <t>RNC 0100 / 2026</t>
  </si>
  <si>
    <t>Foi verificado que a lixeira do corredor do Clinica Medica esta com o pedal quebrado. Evidencio que é uma lixeira nova com pouco tempo de uso, quebra ocorrida por mau uso.</t>
  </si>
  <si>
    <t>Descolamento de filme transparente utilizado na fixação de acesso venoso periférico</t>
  </si>
  <si>
    <t>TC 0023 / 2026</t>
  </si>
  <si>
    <t>Durante a assistência aos pacientes da unidade, foi identificado que o filme transparente utilizado para fixação de acessos venosos periféricos não apresenta adesão adequada à pele. Observa-se descolamento precoce do curativo, mesmo quando aplicado conforme técnica recomendada e em pele devidamente higienizada e seca.
A não aderência compromete a estabilidade do dispositivo, aumentando o risco de perda do acesso, infiltração, contaminação e necessidade de punções repetidas, podendo gerar desconforto ao paciente e risco assistencial.</t>
  </si>
  <si>
    <t>Tecnovigilancia</t>
  </si>
  <si>
    <t xml:space="preserve">CURATIVO TRANSPARENTE COM MÁ FIXAÇÃO NA PELE </t>
  </si>
  <si>
    <t>TC 0024 / 2026</t>
  </si>
  <si>
    <t>CURATIVOS TRASNPARENTES UTILIZADOS PARA FIXAÇÃO DOS ACESSOSO VENOSO NA UTI, ESTÃO APRESENTANDO BOLHAR DE AR , POIS NÃO FIXAM, NÃO COLA BEM, NÃO ADERE A PELE, FAZENDO UMA BOLHAR DE AR ENTRE O CURATIVO O JELCO E A PELE.
ELES TAMBÉM SOLTAM COM FACILIDADE DAPELE DO PACIENTE</t>
  </si>
  <si>
    <t xml:space="preserve">Fralda descartável de baixa qualidade </t>
  </si>
  <si>
    <t>TC 0025 / 2026</t>
  </si>
  <si>
    <t>Sinalizado pela equipe de enfermagem da UTI que a fralda descartável tamanho EG marca maxi não possui o tamanho adequado, sendo bem menor que o ideal para tamanho extra g, além de também suas tiras adesivas não colar  na fralda, fazendo com que a equipe precise usar fita micropore para fechar a fralda.</t>
  </si>
  <si>
    <t>Baixa aderência de bolsa para colostomia - Hollister lote 38219</t>
  </si>
  <si>
    <t>TC 0026 / 2026</t>
  </si>
  <si>
    <t>Durante a utilização da bolsa para colostomia fechada da marca Hollister, lote nº 38219, foi identificado problema de aderência do adesivo à pele periestomal, apresentando baixa fixação logo após a aplicação. A falha na aderência ocasionou descolamento precoce da bolsa, exigindo troca antecipada do dispositivo e gerando risco de vazamento de efluentes, desconforto ao paciente e possibilidade de comprometimento da integridade da pele.</t>
  </si>
  <si>
    <t>reação de medicamento - SACARATO DE ÓXIDO FÉRRICO</t>
  </si>
  <si>
    <t>FV 0010 / 2026</t>
  </si>
  <si>
    <t>plantão diurno do dia 07/01 - paciente apresentou reação do SACARATO DE ÓXIDO FÉRRICO 20mg/ml
apresentou após adm - urticária pelo corpo, PA 80X70 , FC 150, SAT 99, Tax 33,6
de imediato colocamos soro fisiologico
acionei dr douglas gasparetto, que nos atendeu prontamente
puerpera evoluiu bem, encontra-se BEG</t>
  </si>
  <si>
    <t>UI Gineco obstétrica</t>
  </si>
  <si>
    <t>Farmacovigilancia</t>
  </si>
  <si>
    <t>REAÇÃO DO NORIPURUM</t>
  </si>
  <si>
    <t>FV 0011 / 2026</t>
  </si>
  <si>
    <t>Nadiane Dantas  Carvalho</t>
  </si>
  <si>
    <t>FOI PRESCRITO PARA PACIENTE DO LEITO 09 S.C.R.C - PACIENTE 332480
HIDROXIDO FERRICO SACARATO 100MG 2 AMPOLAS NO SORO FISIOLOGICO DE 250ML
NO FINAL DA MEDICAÇÃO A PACIENTE RELATA FORMIGAMENTO NO ROSTO E MÃOS
ENTRO EM CONTATO IMEDIATO COM DRA EVILANE
PASSO O CASO E INFORMO QUE ESTAVA ADM UM SORO FISIOLOGICO LIMPO
PA 111X90
FC 101
SAT 99
DRA EVILANE PEDE PR DEIXAR O SORO FISIOLOGICO
ENF LETICIA 19:10 ASSUME PLANTÃO E DEIXO AOS CUIDADOS DA NOVA EQUIPE, CUIDADO CONTINUADO</t>
  </si>
  <si>
    <t>AUXILIAR DE FARMACIA NAO DEIXA O POSTO SEM A SISTENCIA</t>
  </si>
  <si>
    <t>FV 0012 / 2026</t>
  </si>
  <si>
    <t>Alcivania da Conceição Silva Viana</t>
  </si>
  <si>
    <t>EM 10/03/2026 AS 21:30 HORAS  FOI OBSERVADO QUE O COLABORADOR AUXILIAR DE FARMACIA SE AUSENTOU- SE= DO CETOR DE FARMACIA SEM COMUNICAÇÃO PREVIA A EQUIPE, RESALTA QUE NÃO HAVIA DEMANDAS NO CETOR QUE NECESSITAVAM DE ATENDIMENTO, PODENDO A QUALQUER MOMENTO OCORRER PROCEDIMENTO DE URGENCIA E EMERGENCIA, PDENDO COMPROMETER O ATENDIMENTO E O FLUXO DOTRABALHO ASSISTENCIAL.</t>
  </si>
  <si>
    <t>FARMACIA</t>
  </si>
  <si>
    <t>REAÇÃO NORIPURUM</t>
  </si>
  <si>
    <t>FV 0013 / 2026</t>
  </si>
  <si>
    <t>12:00 ADM MEDICAÇÃO
13:30 APÓS 30 MINUTOS DO TÉRMINO, PACIENTE APRESENTOU NAUSEAS, DOR LOMBAR, FORMIGAMENTO NOS MSS, MANCHAS AVERMELHADAS NOS MMII
14:00 PACIENTE SEM QUEIXAS, AS MANCHAS SUMIRAM, DRA EVILANE PRESCREVEU DIPIRONA PARA DOR LOMBAR E APÓS REAVALIAÇÃO, RECEBEU ALTA</t>
  </si>
  <si>
    <t>reação noripurum</t>
  </si>
  <si>
    <t>11046</t>
  </si>
  <si>
    <t xml:space="preserve">NÃO CONFORMIDADE NO FLUXO DE DISPENSAÇÃO FARMACÊUTICA </t>
  </si>
  <si>
    <t>9028</t>
  </si>
  <si>
    <t>Aldevan de Lima Nascimento</t>
  </si>
  <si>
    <t>ASSUNTO: FALHA NO PROCESSO DE DISPENSAÇÃO DE MEDICAMENTOS E FLUXO FARMACÊUTICO.
?DESCRIÇÃO DOS FATOS:
FOI IDENTIFICADA UMA RECORRÊNCIA NA ENTREGA INCOMPLETA DAS PRESCRIÇÕES MÉDICAS POR PARTE DA FARMÁCIA DURANTE O PLANTÃO. OBSERVA-SE A AUSÊNCIA SISTEMÁTICA DE UM OU MAIS ITENS MEDICAMENTOSOS DE DIVERSOS PACIENTES, TORNANDO-SE UMA EVENTUALIDADE CORRIQUEIRA.
?APÓS O CONTATO COM A EQUIPE DE AUXILIARES DE FARMÁCIA, OS MESMOS INFORMAM QUE AS PENDÊNCIAS SERÃO ENTREGUES POSTERIORMENTE, ENTRETANTO, O FLUXO NÃO SE CONCRETIZA. TAL FATO OBRIGA A EQUIPE DE ENFERMAGEM A DESLOCAR-SE ATÉ O SETOR DE FARMÁCIA PARA RETIRADA DOS ITENS, VISANDO EVITAR O ATRASO NO APRAZAMENTO E PREJUÍZOS À TERAPÊUTICA DO PACIENTE.
?SOLICITAÇÃO:
SOLICITO A ORIENTAÇÃO DA EQUIPE DE DISPENSAÇÃO QUANTO À IMPORTÂNCIA DA CONFERÊNCIA RIGOROSA ANTES DA ENTREGA. O OBJETIVO É GARANTIR A EFICIÊNCIA DO PROCESSO LOGÍSTICO E, IMPRESCINDIVELMENTE, A SEGURANÇA DO PACIENTE, EVITANDO ERROS DE HORÁRIO OU DESCONTINUIDADE DO TRATAMENTO.</t>
  </si>
  <si>
    <t>FALTA  DO QUANTITATIVO DE PROPOFOL NA CAIXA LACRADA</t>
  </si>
  <si>
    <t>9595</t>
  </si>
  <si>
    <t>NO DIA 10/02/2026, FOI ABERTO UMA CAIXA  LACRADA  DE PROPOFOL 10MG/ ML -20ML, E OBSERVADO A AUSÊNCIA DE 5 UNIDADES, DIVERGENTE DA  IDENTIFICAÇÃO DA CAIXA (10 UNIDADES).  É IMPORTANTE FRISAR QUE  O QUANTITATIVO DO PRODUTO INTERNO DA CAIXA, SEJA  CONFORME A IDENTICAÇÃO DA CAIXA ORIGINAL, PARA RASTREABILIDADE DE ESTOQUE E GARANTIA DE SEGURANÇA PARA O TRATAMENTO NO MOMENTO CERTO.</t>
  </si>
  <si>
    <t>Conduta Profissional</t>
  </si>
  <si>
    <t>CC 0107 / 2026</t>
  </si>
  <si>
    <t>Durante plantão assistencial, foram identificadas condutas médicas inadequadas:
Comunicação inadequada e postura desrespeitosa com a equipe de enfermagem, comprometendo o trabalho multiprofissional. 
Proferimento de falas indecorosas na sala de prescrição, gerando constrangimento à equipe e quebra do ambiente profissional.
Uso de cigarro eletrônico em área assistencial, em desacordo com normas institucionais.
Delegação indevida de atribuições médicas à equipe de enfermagem.</t>
  </si>
  <si>
    <t>Sala de prescrição Clínica Cirúrgica</t>
  </si>
  <si>
    <t>Conflito entre Colaboradores</t>
  </si>
  <si>
    <t>PACIENTE SOFREU QUEDA DA PROPRIA ALTURA</t>
  </si>
  <si>
    <t>CC 0108 / 2026</t>
  </si>
  <si>
    <t>PACIENTE APRESENTOU CRISE EPILETICA, E SOFREU QUEDA DA PROPRIA ALTURA PROXIMO AO LEITO, FOI ACIONADO SERVIÇO SOCIAL POIS A MESMA ESTA SEM ACOMPANHANTE, ACOMPANHANTE ATE O MOMENTO NAO COMPARECEU A CLINICA, POREM A PACIENTE NAO TEVE SEQUELA, MAS FOI VERIFICADO OS SINAIS VITAIS, E SERA PASSADO PARA O INTERNISTA, QUE TAMBEM JA FOI ACIONADO.</t>
  </si>
  <si>
    <t>CLINICA CIRURGICA BEIRA LEITO</t>
  </si>
  <si>
    <t>Conflito entre colaborador</t>
  </si>
  <si>
    <t>CC 0109 / 2026</t>
  </si>
  <si>
    <t>Relata-se que a técnica de enfermagem Vitoria do setor da Clínica Cirúrgica compareceu ao Centro Cirúrgico acompanhando um paciente. Após a transferência do paciente para o técnico de enfermagem do Centro Cirúrgico, a enfermeira Fernanda questionou se a referida técnica poderia conduzir outro paciente que se encontrava em alta da anestesia.
A técnica de enfermagem recusou-se a realizar o transporte do paciente e dirigiu-se à enfermeira Fernanda de forma ríspida e inadequada, configurando comportamento desrespeitoso no ambiente de trabalho. Notifico para melhoria do processo.</t>
  </si>
  <si>
    <t>Falta de respeito, ignorancia e arrogancia.</t>
  </si>
  <si>
    <t>CC 0110 / 2026</t>
  </si>
  <si>
    <t>Em 10/01/2026 houve uma falta de respeito feita pelo colaborador Maqueiro Ridson Santos, onde por diversas vezes eu tentei contato pelo rádio para uma demanda, sem retorno, por fim, consegui contato, mas com grosseria. Após a chegada dele aqui no CC, me tratou com arrogancia e ignorancia na frente de pacientes, acompanhantes e colaboradores. Devido eu ter tentado por diversas vezes contato, sem retorno, mas veio com ignorancia, informando que eu precisava trocar meu radio, ter paciencia, que ele era só um, e outras coisas. Por fim, foi deixar a paciente, e logo voltou, eu estava na copa, almoçando, e ele foi me coagir novamente.</t>
  </si>
  <si>
    <t>Restrição Indevida de Acesso e Conduta Inadequada na Portaria - Período Noturno</t>
  </si>
  <si>
    <t>CC 0111 / 2026</t>
  </si>
  <si>
    <t>No período noturno, de 20/01/2026, a colaboradora compareceu à unidade após ser formalmente chamada para plantão extra, conforme necessidade do serviço. Ao chegar à portaria, __mesmo diante do horário noturno e da rua deserta__, a colaboradora foi impedida de acessar a unidade pelo porteiro de plantão.
__A colaboradora informou que o crachá encontrava-se em sua bolsa e que necessitava de acesso para localizá-l__o, contudo o porteiro não autorizou sua entrada, mantendo postura inflexível. Além disso, __o profissional questionou de forma inadequada se aquele seria horário de chegada__, desconsiderando a justificativa apresentada de que havia sido chamada para atender demanda do serviço.
Ressalta-se que, mesmo após os esclarecimentos, o porteiro persistiu na negativa de acesso, adotando conduta considerada grosseira e desrespeitosa, causando constrangimento e sensação de estar acuada à colaboradora e atraso no início de suas atividades, o que pode ter impactado o fluxo assistencial.</t>
  </si>
  <si>
    <t>Estacionamento - Rua Belém</t>
  </si>
  <si>
    <t>Portaria de Acesso para Colaboradores</t>
  </si>
  <si>
    <t>NA SALA DE PRESCRIÇAO</t>
  </si>
  <si>
    <t>CC 0112 / 2026</t>
  </si>
  <si>
    <t>25/01/2026</t>
  </si>
  <si>
    <t>FUI COAGIDA NA SALA DE PRESCRIÇAO PELO PACIENTE DA ORTOPEDIA P.J.S.S SOBRE SEU PRONTUARIO, E O MESMO FECHOU A SALA DE PRESCRIÇAO E NAO QUERIA DEIXAR O MESMO ENTRAR E SENDO AGRESSIVO NAS PALAVRAS E MUITO ALTERADO</t>
  </si>
  <si>
    <t xml:space="preserve"> CONFLITO ENTRE COLABORADORES DIA 27/01/2026</t>
  </si>
  <si>
    <t>CC 0113 / 2026</t>
  </si>
  <si>
    <t>NO DIA 27/01/2026, A PACIENTE G.E.F.N, EVLUI COM PARTO NORMAL, COM INCIO DE TAQUICARDIA FESTAL NO PERIODO EXPULSIVO, O RECEM-NASCIDO APRESENTOU-SE PARADO, CIANOTICO, HIPOTONICO, HIPOATIVO, NECESSITANDO DE ATENDIMENTO IMEDIANTAMENTE.
A MÉDICA PEDIATRA DA UCI, DRºMARA, DESLOCOU-SE ATÉ O CPN PARA PRESTAR APOIO A DRºLAURILENE, NO ATENDIMENTO AO RECEM-NASCIDO. DURANTE SUA PERMANENCIA NO SETOR, A REFERIDA PROFISSIONAL APRESENTOU CONDUTA INADEQUADA, COM EXALTAÇÃO, ELEVAÇÃO DO TOM DE VOZ, E ALARDE EXCESSIVO, REALIZANDOALEGAÇÕES DE FALTA DE ASSISTENCIA.
RESSALTA-SE QUE NÃO HOUVE DISCURSSÃO OU CONFRONTO POR PARTE DA EQUIPE DO CPN, A QUAL MANTEVE POSTURA PROFISSIONAL DURANTE TODO O OCORRIDO. A MEDICA PERMANECEU SE EXALTANDO, GRITANDO E AMEAÇANDO ACIONAR GERENCIA, AN PRESENÇA DA PACIENTE, GERANDO CONSTRANGIMENTO, TENSÃO NO AMBIENTE  PREJUIZO AO CUIDADO HUMANIZADO.
O FATO OCORREU EM AMBIENTE ASSISTENCIAL SENSIVEL, PODENDO IMPACTAR NEGATIVAMENTE A PACIENTE, SEUS ACOMPANHANTES E A EQUIPE MULTIPROFISSIONAL.
O PRESENTE RELATORIO TEM COMO FINALIDADE NOTIFICAR FORMALMENTE O OCORRIDO PARA CIENCIA E ADOÇÃO DAS PROVIDENCIAS CABIVEIS PELA GESTÃO, VISANDO A PRESERVAÇÃO ETICA PROFISSIONAL, DO RESPEITO ENTRE OS PROFISSIONAIS E DA QUALIDADE DA ASSISTENCIA PRESTADA.</t>
  </si>
  <si>
    <t>CENTRO DE PARTO NORMAL</t>
  </si>
  <si>
    <t>CC 0114 / 2026</t>
  </si>
  <si>
    <t>Nir</t>
  </si>
  <si>
    <t>07/02/2026 (DIURNO)</t>
  </si>
  <si>
    <t>CC 0115 / 2026</t>
  </si>
  <si>
    <t>Amanda da Silva e Silva</t>
  </si>
  <si>
    <t>Venho, por meio desta, notificar situação ocorrida envolvendo a enfermeira do NIR, a fim de ciência e melhoria dos fluxos institucionais.
No dia 07/02/2026 (DIURNO), a enfermeira do NIR dirigiu-se ao setor de Clínica Médica e, na presença de colegas de trabalho, realizou abordagem de forma constrangedora, afirmando que a cadeira do acompanhante do leito 17 encontrava-se quebrada, com remendo de fios, atribuindo a mim a responsabilidade pelo conserto, mesmo eu informando que não era responsável pelo leito. Informou ainda que iria realizar uma notificação formal, solicitando minha assinatura, exibindo fotografia da referida cadeira e mencionando suposta situação já exposta na mídia, reforçando que o setor seria de minha responsabilidade.
Ressalto que tal abordagem ocorreu de forma inadequada, expondo-me a constrangimento diante da equipe, o que não condiz com uma postura profissional e respeitosa.
Testemunhas do ocorrido:
Técnica de enfermagem: Lucilene Cavalcante Melo silva 
Enfermeiro: Aquiles</t>
  </si>
  <si>
    <t>CLINICA MÉDICA</t>
  </si>
  <si>
    <t>solicitação não liberada na farmacia</t>
  </si>
  <si>
    <t>CC 0116 / 2026</t>
  </si>
  <si>
    <t>foi realizado na farmácia solicitação de cloreto de sódio 0.9% para UCI por mim, conforme foi falado na reunião que seria autorizado a liberação do enfermeira realizar a solicitação do pedido. a farmacêutica plantonista do dia 15/02/26 relata que não existe ordem alguma para tal solicitação, e que não seria liberado.</t>
  </si>
  <si>
    <t>farmacia da uci</t>
  </si>
  <si>
    <t>clamp umbilical</t>
  </si>
  <si>
    <t>CC 0117 / 2026</t>
  </si>
  <si>
    <t>RECEBO RN DO CENTRO CIRURGICO COM O CLAMP CLAMPEADO NA PELE DO RN MACHUCANDO A PELE E ROMPENDO O COTO UMBILICAL.</t>
  </si>
  <si>
    <t>Postura inadequada de colaborador</t>
  </si>
  <si>
    <t>CC 0118 / 2026</t>
  </si>
  <si>
    <t>Por meio desta, o setor do CME vem registrar ocorrência envolvendo o colaborador Carlos, Técnico de Enfermagem, durante o plantão noturno do dia 25/02/2026, às 03h00.
O referido profissional compareceu à área limpa do CME para retirada de materiais, solicitando 10 (dez) suturas. No momento, havia disponibilidade imediata de 04 (quatro) unidades, considerando que as demais encontravam-se em processo de esterilização na autoclave.
Ao ser informado da quantidade disponível, o colaborador demonstrou insatisfação e adotou postura inadequada perante a equipe do CME, proferindo falas desrespeitosas, afirmando que seria obrigação do setor levar e buscar o material, que essa atividade não seria de responsabilidade dele enquanto técnico de enfermagem, além de mencionar que realizaria reunião para prejudicar o setor.
Houve ainda recusa em assinar o formulário de recebimento dos materiais entregues, procedimento obrigatório para controle, rastreabilidade e segurança dos processos.
Ressaltamos que não é a primeira vez que o referido colaborador apresenta postura semelhante com membros da equipe do CME, conforme relatos anteriores.
Adicionalmente, foi observado que o profissional utilizava as mesmas luvas empregadas no transporte de material contaminado para realizar a retirada de material limpo na área limpa do CME, conduta que contraria as normas de biossegurança e os protocolos institucionais, oferecendo risco de contaminação cruzada. 
segue em anexo evidência.</t>
  </si>
  <si>
    <t>cme</t>
  </si>
  <si>
    <t>CC 0119 / 2026</t>
  </si>
  <si>
    <t>PS - PED</t>
  </si>
  <si>
    <t xml:space="preserve">notificação de conduta em desacordo em normativa profissional </t>
  </si>
  <si>
    <t>CC 0120 / 2026</t>
  </si>
  <si>
    <t>Venho, por meio deste, relatar dificuldades recorrentes relacionadas à conduta profissional da técnica de enfermagem Aline do cgo2, situação esta que já foi comunicada anteriormente à supervisão, sem que até o momento houvesse mudanças efetivas. A profissional apresenta resistência constante ao cumprimento de orientações e rotinas estabelecidas, demonstrando dificuldade em aceitar direcionamentos da liderança de enfermagem. Frequentemente, executa as atividades conforme sua própria decisão, no horário que considera conveniente, ignorando alinhamentos previamente definidos para o setor. Observa-se ainda uma postura inadequada no relacionamento interpessoal, com atitudes de arrogância e falta de receptividade às orientações, o que compromete o trabalho em equipe, dificulta a organização do serviço e impacta negativamente o fluxo assistencial. Ressalto que tal comportamento interfere diretamente na dinâmica do setor e na qualidade da assistência prestada aos pacientes, tornando necessária uma intervenção mais efetiva por parte da supervisão, a fim de alinhar condutas, reforçar a hierarquia funcional e garantir um ambiente de trabalho respeitoso e colaborativo. Por fim, peço que esta ocorrência seja tratada com a devida confidencialidade, solicitando que meu nome não seja revelado, a fim de evitar possíveis constrangimentos, desgastes interpessoais ou transtornos durante os plantões.
Permaneço à disposição para esclarecimentos.</t>
  </si>
  <si>
    <t>CGO2</t>
  </si>
  <si>
    <t>DESRESPEITO A HIERAQUIA</t>
  </si>
  <si>
    <t>CC 0121 / 2026</t>
  </si>
  <si>
    <t>Iara dos Santos Silva</t>
  </si>
  <si>
    <t>Por meio deste, registro ocorrência referente a condutas profissionais da técnica de enfermagem Aline que vêm se repetindo no setor e que já foram previamente sinalizadas à supervisão, sem que se tenha observado mudança significativa até o momento.
A profissional demonstra dificuldade em seguir rotinas previamente estabelecidas e orientações da liderança de enfermagem, adotando, em diversas situações, critérios próprios para execução das atividades, inclusive quanto aos horários e prioridades definidos para o plantão.
Verifica-se também fragilidade no relacionamento interpessoal, evidenciada por postura pouco colaborativa e resistência às orientações recebidas, o que tem gerado impacto negativo na dinâmica da equipe e na organização do serviço.
Ressalto que tais comportamentos interferem na fluidez da assistência e podem comprometer a qualidade e segurança do cuidado prestado aos pacientes, motivo pelo qual considero necessária uma intervenção mais efetiva da supervisão, visando realinhamento de condutas e fortalecimento do trabalho em equipe dentro dos princípios hierárquicos e éticos da instituição.
Solicito, ainda, que este registro seja tratado com confidencialidade, sem que meu nome seja exposto, a fim de preservar o ambiente profissional e evitar possíveis desconfortos ou desgastes durante os plantões.
Permaneço à disposição para quaisquer esclarecimentos que se façam necessários.</t>
  </si>
  <si>
    <t>NOTIFICAÇÃO DE OCORRÊNCIA, CONDUTA PROFISSIONAL E COMUNICAÇÃO INTERSETORIAL</t>
  </si>
  <si>
    <t>CC 0122 / 2026</t>
  </si>
  <si>
    <t>Aprovada</t>
  </si>
  <si>
    <t>NOTIFICAÇÃO DE OCORRÊNCIA , CONDUTA PROFISSIONAL E COMUNICAÇÃO INTERSETORIAL
Eu, Enfermeira Lisiane Paixão, lotada no setor CGO2, venho por meio desta registrar ocorrência referente ao plantão noturno do dia 01/03/26. Iniciei o plantão com 16 pacientes internadas, sendo 14 puérperas (parto normal e cesariana) com seus respectivos recém-nascidos e 02 pacientes em tratamento clínico, totalizando assistência materno-neonatal sob minha responsabilidade. Durante o referido plantão, minha parceira apresentou mal-estar e precisou se ausentar, permanecendo esta profissional sozinha na assistência do setor. Diante da ausência de supervisora, tentei entrar em contato com a coordenação para comunicar que estava sozinha no setor, porém não obtive sucesso nem retorno, permanecendo como única enfermeira responsável pelo setor durante o período.
No decorrer do plantão noturno, recebi 06 novas pacientes reguladas, provenientes do PAN, CPN e Centro Cirúrgico. 
Por volta das 20h30, a enfermeira Michele, do PAN, compareceu ao setor solicitando admissão de paciente. Informei que estava sozinha e que realizaria as admissões conforme ordem das solicitações previamente comunicadas, a fim de manter organização e segurança assistencial. Esclareci que, após finalizar a admissão em curso, receberia a paciente do PAN.
Às 21h52, a referida enfermeira entrou em contato por mensagem solicitando previsão. Informei que estava realizando admissão de paciente oriunda do CPN naquele momento e que, assim que finalizasse, receberia a paciente.
Posteriormente, fui informada de que havia sido comunicado ao NIR que esta profissional não estaria querendo receber a paciente, informação que não corresponde aos fatos, visto que em nenhum momento houve recusa, mas sim organização de fluxo assistencial diante de atendimento simultâneo e responsabilidade exclusiva pelo setor.
Também foi relatado que o acompanhante da paciente encontrava-se insatisfeito. O mesmo compareceu ao setor CGO2 em busca de esclarecimentos e relatou que não estava recebendo informações claras no setor de origem.
Esclareci pessoalmente ao acompanhante toda a situação, explicando que a admissão seria realizada após a finalização da paciente que estava em atendimento naquele momento. O acompanhante demonstrou compreensão, referindo que sua insatisfação estava relacionada à ausência de informações claras, e não ao tempo de espera.
Registro que a situação gerou constrangimento profissional e desgaste emocional, uma vez que a comunicação poderia ter sido conduzida de forma mais colaborativa entre os setores, evitando interpretações equivocadas.
Ressalto que permaneci durante todo o plantão atuando sozinha no setor, realizando assistência integral e admissões necessárias, finalizando o plantão com censo completo e leitos totalmente ocupados. Exceto leito 06 de tratamento clinico e isolamento 1 que se encontra ocupado pela pediatria.
Registro esta notificação com a finalidade de formalizar o ocorrido e resguardar esta profissional quanto à condução dos fatos.
Sem mais.</t>
  </si>
  <si>
    <t xml:space="preserve">perseguição </t>
  </si>
  <si>
    <t>CC 0123 / 2026</t>
  </si>
  <si>
    <t>Alan Henryk Santos Costa</t>
  </si>
  <si>
    <t>venho por meio desta ocorrência demonstrar que venho sendo perseguido de forma não verbal pelo enfermeiro L.O.G. do meu setor... o mesmo vem registrando ocorrências, em que se utiliza de adjetivos como "fisioterapeuta do turno", para se referir a mim SEM ANTES FALAR QUALQUER COISA PESSOALMENTE COMIGO, já trabalhamos juntos em outra instituição, e o comportamento do enfermeiro em relação a mim era o mesmo. ele nunca conversou comigo ou disse qualquer palavra de orientação ou repressão, o certo é que ele sempre registra várias ocorrências, até inventa situações com o objetivo claro de querer me prejudicar. estou me sentindo coagido e hostilizado no meu setor de trabalho.</t>
  </si>
  <si>
    <t>uci</t>
  </si>
  <si>
    <t>Conduta Inadequada Durante Traslado de Paciente</t>
  </si>
  <si>
    <t>CC 0124 / 2026</t>
  </si>
  <si>
    <t>Erika Layne Rodrigues Dos Santos Trindade</t>
  </si>
  <si>
    <t>Durante o traslado de um paciente proveniente do Centro Cirúrgico, encaminhado para a ala de realização de exame de Raio-X, enquanto aguardávamos o momento do exame, a técnica de radiologia chamou o paciente para ser conduzido à sala de exame.
No momento da chamada, o maqueiro com a inicial F. encontrava-se em conversa com outra pessoa. Dirigi-me a ele para solicitar que conduzisse o paciente até a sala. Nesse momento, o profissional respondeu em tom elevado, de forma considerada desrespeitosa, pedindo que eu aguardasse. Em seguida, afirmou que, se eu quisesse, poderia empurrar a maca.
Após o ocorrido, o maqueiro realizou o transporte do paciente, porém manifestando reclamações e mantendo postura desrespeitosa durante a execução da atividade COLEGAS PRESENCIARAM A SITUAÇÃO
Registro este relato para conhecimento e providências cabíveis, visando manter o respeito e a boa comunicação entre os profissionais, garantindo um ambiente de trabalho adequado e a qualidade da assistência ao paciente.</t>
  </si>
  <si>
    <t>DO CENTRO CIRURGICO AO RAIO X</t>
  </si>
  <si>
    <t>Registro formal de ocorrência - acesso de colaboradores</t>
  </si>
  <si>
    <t>CC 0125 / 2026</t>
  </si>
  <si>
    <t>Venho por meio deste registrar formalmente um ocorrido que aconteceu na tarde de segunda-feira, dia 16 de março de 2026, por volta das 13h30.
Durante meu horário de almoço, saí do local de trabalho para buscar minha refeição em um restaurante localizado na esquina da unidade. Ao retornar, tentei acessar o hospital pela entrada principal, porém fui impedida pela funcionária responsável pela vigilância da porta.
Ao questionar o motivo do impedimento, fui informada de que existe uma norma da empresa que determina que a entrada de funcionários deve ocorrer exclusivamente pelo acesso localizado na parte de trás do hospital, sendo permitida a utilização da entrada principal apenas para retirada de pedidos realizados na recepção, como entregas de aplicativos.
Informei à funcionária que desconhecia tal orientação e que, em outras ocasiões, já havia presenciado colaboradores utilizando essa mesma entrada para acessar o hospital, inclusive em situações semelhantes durante o horário de almoço. Por esse motivo, compreendi que o acesso poderia ser utilizado nessas circunstâncias.
Diante da situação, solicitei falar com a superior responsável, com o objetivo de esclarecer a orientação e verificar a possibilidade de entrada naquele momento, considerando que o acesso destinado aos funcionários fica significativamente distante do local onde eu me encontrava. No entanto, a orientação foi reiterada de forma categórica, determinando que eu deveria obrigatoriamente utilizar o acesso destinado aos funcionários.
Ressalto que essa abordagem ocorreu na recepção geral da unidade, na presença de outros colaboradores e pacientes, situação que me causou constrangimento e exposição desnecessária.
Diante disso, acatei a orientação e me dirigi ao acesso indicado.
Compreendo que a empresa possa estabelecer normas de organização e segurança quanto ao acesso dos colaboradores. No entanto, considero importante registrar o ocorrido, especialmente pela forma como a situação foi conduzida e pela aparente falta de uniformidade na aplicação dessa orientação, visto que já presenciei outros colaboradores utilizando a mesma entrada pela qual fui impedida de acessar.
Dessa forma, realizo este registro e solicito, se possível, esclarecimentos quanto à norma mencionada, bem como alinhamento na sua aplicação, a fim de evitar situações semelhantes e eventuais constrangimentos aos colaboradores.</t>
  </si>
  <si>
    <t>Recepçao Geral do HGP</t>
  </si>
  <si>
    <t>CC 0126 / 2026</t>
  </si>
  <si>
    <t>Clinica Cirurgica</t>
  </si>
  <si>
    <t>assédio moral</t>
  </si>
  <si>
    <t>CC 0127 / 2026</t>
  </si>
  <si>
    <t>ENCAMINHO PACIENTE PARA O SADT ÁS 12:11H PARA REALIZAR EXAME DE TOMOGRAFIA COM PEDIDO MÉDICO DE URGÊNCIA PELA  TÉCNICA DE TRANSPORTE KELLY DUARTE, COLABORADORA NADJA INTERROGA A TECNICA POIS NÃO TERIA AUTORIZADO ENCAMINHAR O PACIENTE CRITICO PARA REALIZAR EXAME, ENTENDENDO QUE TEM UM FLUXO, RECONHEÇO NÃO AGUARDAR AUTORIZAÇÃO PARA ENCAMINHAR O PACIENTE PORÉM A TÉCNICA RETORNA COM O PACIENTE SEM REALIZAR O EXAME DE URGENCIA E ME RELATA QUE A NADJA O TRATOU COM ARROGANCIA E ESTUPIDEZ, COM FALAS ALTAS E DESRESPEITOSA. RETORNO PEDIR AUTORIZAÇÃO ÁS 13:01, SEM RETORNO. EXAME AUTORIZADO A REALIZAR SOMENTE ÁS 13:52. FORMALIZO QUE EM AMBIENTE DE TRABALHO É IMPORTANTE ÉTICA PROFISSIONAL, SENDO DE EXTREMA IMPORTÂNCIA UMA BOA COMUNICAÇÃO ENTRE AMBOS, NOTIFICO O SETOR POIS EXIGIMOS RESPEITO DE AMBAS AS PARTES, GRATO.</t>
  </si>
  <si>
    <t>NOTIFICAÇÃO DE OCORRÊNCIA</t>
  </si>
  <si>
    <t>CC 0128 / 2026</t>
  </si>
  <si>
    <t>NOTIFICAÇÃO DE OCORRÊNCIA
Venho por meio desta registrar ocorrência relacionada à colaboradora Maria das Graças Ataíde Guedes, funcionária do setor de farmácia desta instituição.
Durante os últimos dois plantões, foram relatadas pela equipe de enfermagem situações de tratamento inadequado e postura desrespeitosa direcionada às técnicas de enfermagem no momento da retirada de materiais necessários para assistência aos pacientes. Devido às intercorrências assistenciais ocorridas no setor, não foi possível realizar os pedidos de materiais antes do horário habitual (meia-noite). Em razão dessa situação, ao dirigirem-se à farmácia para retirada dos materiais necessários para continuidade da assistência, as profissionais foram recebidas de forma ríspida e com postura considerada inadequada para o ambiente de trabalho, o que gerou desconforto e constrangimento às colaboradoras.
Ressalta-se que a equipe de enfermagem atua diretamente na assistência aos pacientes e, em situações de intercorrência, pode ocorrer a necessidade de solicitação de materiais fora do horário habitual, sempre com o objetivo de garantir a continuidade e a segurança da assistência prestada.
Diante do exposto, registra-se a presente notificação para ciência e avaliação da coordenação responsável, a fim de que sejam adotadas as orientações necessárias para manutenção de um ambiente de trabalho respeitoso, colaborativo e alinhado com os princípios institucionais, prezando sempre pela boa comunicação entre os setores e pelo adequado funcionamento da assistência.
Sem mais para o momento.</t>
  </si>
  <si>
    <t>Farmacia</t>
  </si>
  <si>
    <t>CC 0129 / 2026</t>
  </si>
  <si>
    <t>Não conformidade na passagem de paciente</t>
  </si>
  <si>
    <t>CC 0130 / 2026</t>
  </si>
  <si>
    <t>No dia 09/04/2026 durante encaminhamento de paciente do centro cirurgico para clc cirurgica, a Tecnica Domingas não aceitou aguardar o  maqueiro no setor e se recusou a assinar  check list de conferencia do prontuario do paciente e tratou com grosseria a tecnica do setor e o maqueiro. Este fator compromete diretamente a segurança do paciente e o bom fluxo entre os setores, realizo esta notificação para melhoria do fluxo do setor.</t>
  </si>
  <si>
    <t>centro ciruirgico</t>
  </si>
  <si>
    <t xml:space="preserve">Comunicação conflituosa entre colaboradores </t>
  </si>
  <si>
    <t>CC 0131 / 2026</t>
  </si>
  <si>
    <t>Bom dia. 
O maqueiro, ao realizar a busca de uma paciente no PAM (a mesma encontrava-se no leito 36), para encaminhamento ao Centro Cirúrgico, efetuou corretamente a checagem pré-operatória antes do transporte. No entanto, a técnica de enfermagem responsável pela paciente o abordou de forma inadequada, na presença da paciente, afirmando que tais questionamentos não eram de sua competência. Ressalta-se, que já foi previamente orientado à equipe que a checagem pré-operatória também é atribuição do maqueiro nesse processo.</t>
  </si>
  <si>
    <t>PRONTO ATENDIMENTO MATERNO</t>
  </si>
  <si>
    <t>CC 0132 / 2026</t>
  </si>
  <si>
    <t>CC 0133 / 2026</t>
  </si>
  <si>
    <t>CC 0134 / 2026</t>
  </si>
  <si>
    <t>Conlfito entre supervição e colaboradores</t>
  </si>
  <si>
    <t>CC 0135 / 2026</t>
  </si>
  <si>
    <t>Recorrente, tenho presenciado conduta agressiva, falas com conotação de raiva e expressão de comando sem necessidade absoluta. Houve momentos de fragilidade com colaboradores em que teve necessidade de encaminhamento imediato ao psicologo por nao se sentir confortavel e ameaçado com a pessoa estar no ambiente de trabalho, isto relacionado a supervição do almoxarifado o senhor M.S.S, no qual tem demonstrado essas atitudes com toda a equipe de forma a denegrir a nossa pessoa e nos adoecer piscologicamente no ambiente de trabalho, assim nos deixando desmotivados e sem amparo para exercer nossas atividades.</t>
  </si>
  <si>
    <t>Almoxarifado</t>
  </si>
  <si>
    <t>Contrangimento da colaboradora Sunaira, pelo enfermeiro Wendel</t>
  </si>
  <si>
    <t>CC 0136 / 2026</t>
  </si>
  <si>
    <t>ecebo a colaboradora Sunaira Ferreira Gil da Silva, a qual apresenta o seguinte relato:
Informa que sua tia encontra-se internada na sala vermelha. Relata que foi autorizada pelo enfermeiro Aquiles a realizar visita antes da transferência da paciente para a UTIA.
Durante sua permanência no setor, refere que o enfermeiro Wendel adentrou à sala vermelha e, de forma inadequada, dirigiu-se a ela com tratamento desrespeitoso e sem justificativa, utilizando termos pejorativos, tais como "feia" e "ridícula".
A colaboradora relata ter se sentido constrangida e ofendida com a situação, sobretudo por ter sido exposta diante da equipe presente e de sua familiar.
Testemunhas:
Estavam presentes no momento dos fatos o fluxista Mikael, o enfermeiro Aquiles e as técnicas de enfermagem do setor.
Diante do relato apresentado, encaminho a presente ocorrência para ciência e providências da liderança da uniade.</t>
  </si>
  <si>
    <t>Sala Vermelha do PS</t>
  </si>
  <si>
    <t>FUNCIONARIA DO POSSO CAUSANDO CONFLITO DE INFORMAÇÕES.</t>
  </si>
  <si>
    <t>CC 0137 / 2026</t>
  </si>
  <si>
    <t>Antonia Thais Alyssa Alves Silva</t>
  </si>
  <si>
    <t>funcionária do setor "Posso Ajudar" dirigiu-se ao leito do paciente após receber a informação de que teria ocorrido um possível episódio de mau atendimento por parte de uma colaboradora. No entanto, a mesma não realizou a devida verificação dos fatos nem buscou coletar informações verídicas junto às partes envolvidas ou testemunhas presentes. Posteriormente, divulgou a informação de que eu, enfermeira do setor teria sido responsável pelo suposto mau atendimento ao paciente, sem que houvesse confirmação adequada dos fatos, o que pode ter gerado interpretações equivocadas e comprometido a apuração correta da situação.</t>
  </si>
  <si>
    <t>leito 17</t>
  </si>
  <si>
    <t>FALA HOMOFÓBICA - ENCAMINHAR AO DIPE</t>
  </si>
  <si>
    <t>CC 0138 / 2026</t>
  </si>
  <si>
    <t>CONFLITO DE CONDUTA PROFISSIONAL</t>
  </si>
  <si>
    <t>CC 0139 / 2026</t>
  </si>
  <si>
    <t>Foram identificadas três situações distintas envolvendo a colaboradora M.J.A.S que resultaram em conflitos assistenciais e desalinhamento de fluxos institucionais na Unidade Clínica Cirúrgica:
__Primeira ocorrência:__
A colaboradora adotou condutas que competem à equipe de enfermagem, sem comunicação prévia à supervisão. Realizou o encaminhamento de acompanhante de paciente internado ao Pronto-Socorro, mentiu sobre recusa médica em atender e sugeriu a transferência da paciente para aquele setor, em desacordo com o fluxo estabelecido da unidade. A situação gerou conflito entre equipe assistencial e acompanhante. Testemunhas : Super. Débora, Enf Maria, Psic Herlem
__Segunda ocorrência:__
A colaboradora buscou informações e andamento de exames de pacientes das internações médica e cirúrgica sem o conhecimento ou alinhamento com os enfermeiros responsáveis, interferindo no fluxo assistencial e na organização do cuidado. Super Débora
__Terceira ocorrência:__
A colaboradora envolveu-se em discussão com técnica de enfermagem em área de circulação (corredor), na presença de outros colaboradores, pacientes e acompanhantes. O fato gerou exposição indevida, desconforto no ambiente assistencial e repercussão negativa, incluindo relatos formalizados na Ouvidoria.
Foram testemunhas do ocorrido as enfermeiras do plantão: TE Ítalo e Kely.
__Impactos identificados:__
Quebra de fluxo assistencial e desalinhamento de processos institucionais
Interferência indevida em atribuições da equipe de enfermagem
Geração de conflitos interpessoais e desgaste da equipe
Exposição de pacientes/acompanhantes a situações inadequadas
Potencial comprometimento da segurança e da experiência do paciente
__Conduta esperada:__
A atuação da colaboradora do setor de Humanização deve ocorrer de forma integrada, colaborativa e alinhada com a equipe assistencial, respeitando os limites de atuação profissional, fluxos institucionais e hierarquia técnica, evitando interferências diretas em condutas assistenciais sem validação da enfermagem ou supervisão.</t>
  </si>
  <si>
    <t>CC 0140 / 2026</t>
  </si>
  <si>
    <t>CC 0141 / 2026</t>
  </si>
  <si>
    <t>Corredor</t>
  </si>
  <si>
    <t>CC 0142 / 2026</t>
  </si>
  <si>
    <t>almoxarifado</t>
  </si>
  <si>
    <t>CC 0143 / 2026</t>
  </si>
  <si>
    <t>CC 0144 / 2026</t>
  </si>
  <si>
    <t>cgo</t>
  </si>
  <si>
    <t>Comportamento abusivo</t>
  </si>
  <si>
    <t>CC 0145 / 2026</t>
  </si>
  <si>
    <t>Lindinalva Cassiana Magalhaes</t>
  </si>
  <si>
    <t>Venho, por meio deste, registrar ocorrência referente à advertência verbal recebida da Responsável Técnica, sob alegação de ausência de comunicação acerca da situação da paciente que aguarda acolhimento institucional.
Diante da situação apresentada, ressalto que me respaldo por meio da evolução devidamente registrada em sistema, bem como através de contato realizado com o gerente da instituição de acolhimento responsável pelo caso.
Destaco ainda que as informações complementares referentes ao caso seriam devidamente repassadas assim que a referida profissional chegasse à instituição. Contudo, antes mesmo de qualquer diálogo direto comigo, a mesma já se apresentou alegando ter sido acionada pela gerência sobre informações relacionadas ao caso, sem previamente buscar esclarecimentos junto a esta profissional.
Saliento também que este não foi um episódio isolado. Já ocorreram outras situações em que a referida profissional dirigiu-se a mim em tom elevado, com gritos e ameaças, caracterizando conduta incompatível com o ambiente profissional e podendo configurar assédio moral.
Ressalto que tais comportamentos não ocorrem exclusivamente comigo, mas também com outros membros da equipe. Entretanto, muitos profissionais optam por não formalizar notificações por receio de perseguição profissional, em razão da necessidade de manutenção de seus vínculos de trabalho.
Informo ainda que já houve notificações anteriores relacionadas a situações semelhantes, porém, até o presente momento, não houve retorno ou posicionamento da equipe responsável quanto às providências adotadas.</t>
  </si>
  <si>
    <t>sala do serviço social</t>
  </si>
  <si>
    <t>ENFERMEIRA DA UTI , TRATOU-ME  DE FORMA HOSTIL</t>
  </si>
  <si>
    <t>CC 0146 / 2026</t>
  </si>
  <si>
    <t>RELATO QUE, AO DIRECIONAR O ACOMPANHANTE (FILHO) DO PACIENTE A.A.S. À UTI, DEVIDO O MESMO ENCONTRAR-SE AFLITO E PREOCUPADO EM OBTER INFORMAÇÕES SOBRE O PAI, QUE HAVIA SIDO TRANSFERIDO DA UNIDADE ORTOPÉDICA PARA O CENTRO CIRÚRGICO, COM PÓS-OPERATÓRIO EM UTI, O ACOMPANHANTE FOI ORIENTADO A AGUARDAR NA SALA DE ESPERA DA REFERIDA UNIDADE.
NO MOMENTO EM QUE EU ESTAVA BEBENDO ÁGUA NA SALA DE ESPERA, UMA ENFERMEIRA ( COM SOTAQUE ESTRAGEIRO ) APROXIMOU-SE REPASSANDO INFORMAÇÕES SOBRE O PACIENTE. INFORMEI À MESMA QUE EU NÃO ERA A ACOMPANHANTE, MAS SIM O FILHO DO PACIENTE, SENHOR MARINALDO, QUE SE ENCONTRAVA SENTADO AGUARDANDO. A PROFISSIONAL QUESTIONOU SE EU TRABALHAVA NA INSTITUIÇÃO, E RESPONDI QUE ATUO NA UNIDADE DE INTERNAÇÃO CIRÚRGICA.
APÓS ESSA INFORMAÇÃO, A PROFISSIONAL ALTEROU A CONDUTA, PASSANDO A ME TRATAR DE FORMA HOSTIL, SOLICITANDO DE MANEIRA GROSSEIRA QUE EU ME RETIRASSE DO LOCAL, UTILIZANDO EXPRESSÕES COMO: "SAIA, SAIA DAQUI, VOCÊ NÃO É DA FAMILIA", CHEGANDO INCLUSIVE A TOCAR EM MINHA ORELHA COM TAMPINHAS DE DEDO, EM TOM DE REPRESSÃO. ESCLARECI NOVAMENTE QUE ESTAVA APENAS BEBENDO ÁGUA ENQUANTO O ACOMPANHANTE AGUARDAVA, PORÉM A PROFISSIONAL CONTINUOU MANTENDO  A POSTURA DE EXPULSÃO DO AMBIENTE.</t>
  </si>
  <si>
    <t>CC 0147 / 2026</t>
  </si>
  <si>
    <t>CC 0148 / 2026</t>
  </si>
  <si>
    <t>Tratativa de Não Conformidades - Novembro (Ag. Transfusional - Pedido de Plaqueta Cancelado: 2531)</t>
  </si>
  <si>
    <t>TNC 0159 / 2026</t>
  </si>
  <si>
    <t>Em Análise</t>
  </si>
  <si>
    <t>Segue notificação para análise:
[item:sas:qms:occurrence:8038]</t>
  </si>
  <si>
    <t>Tratativa de Não Conformidade</t>
  </si>
  <si>
    <t>Tratativa de Não Conformidades - Dezembro (Banco de leite - Solicitação fora do cronograma: 2591)</t>
  </si>
  <si>
    <t>TNC 0160 / 2026</t>
  </si>
  <si>
    <t>Segue notificação para análise:
[item:sas:qms:occurrence:8386]</t>
  </si>
  <si>
    <t>Tratativa de Não Conformidades - Nov/ Dez (CC - Falha no preenchimento de formulário de OPME: 2474; 2475; 2476; 2479; 2480; 2532; 2533; 2534; 2619;2625)</t>
  </si>
  <si>
    <t>TNC 0161 / 2026</t>
  </si>
  <si>
    <t>Segue notificação para análise:
[item:sas:qms:occurrence:7824]
[item:sas:qms:occurrence:7826]
[item:sas:qms:occurrence:7827]
[item:sas:qms:occurrence:7841]
[item:sas:qms:occurrence:7842]
[item:sas:qms:occurrence:8040]
[item:sas:qms:occurrence:8041]
[item:sas:qms:occurrence:8042]
[item:sas:qms:occurrence:8479]
[item:sas:qms:occurrence:8486]</t>
  </si>
  <si>
    <t>Tratativa de Não Conformidades - Nov/ Dez (CC - Material incompleto/danificado: 2495; 2524; 2626; 2645)</t>
  </si>
  <si>
    <t>TNC 0162 / 2026</t>
  </si>
  <si>
    <t>Segue notificações para análise:
[item:sas:qms:occurrence:7907]
[item:sas:qms:occurrence:8005]
[item:sas:qms:occurrence:8489]
[item:sas:qms:occurrence:8609]</t>
  </si>
  <si>
    <t>Tratativa de Não Conformidades - Novembro (CC - Descumprimento de fluxo uso e devolução de privativo: 2511; 2512; 2513)</t>
  </si>
  <si>
    <t>TNC 0163 / 2026</t>
  </si>
  <si>
    <t>Segue notificações para análise:
[item:sas:qms:occurrence:7976]
[item:sas:qms:occurrence:7977]
[item:sas:qms:occurrence:7978]</t>
  </si>
  <si>
    <t>Tratativa de Não Conformidades - Dezembro (CC - Pendências médicas em prontuário: 2578; 2579)</t>
  </si>
  <si>
    <t>TNC 0164 / 2026</t>
  </si>
  <si>
    <t>Segue notificações para análise:
[item:sas:qms:occurrence:8288]
[item:sas:qms:occurrence:8289]</t>
  </si>
  <si>
    <t>Tratativa de Não Conformidade - Novembro (CC - Prontuário médico incompleto: 2539)</t>
  </si>
  <si>
    <t>TNC 0165 / 2026</t>
  </si>
  <si>
    <t>Segue notificação para análise:
[item:sas:qms:occurrence:8122]</t>
  </si>
  <si>
    <t>Tratativa de Não conformidade - Dezembro (CC -  Risco de acidente perfurocortante: 2594)</t>
  </si>
  <si>
    <t>TNC 0166 / 2026</t>
  </si>
  <si>
    <t>Segue notificação para análise:
[item:sas:qms:occurrence:8390]</t>
  </si>
  <si>
    <t>Tratativa de Não Conformidade - Dezembro (Instrumental encaminhado a rouparia: 2659)</t>
  </si>
  <si>
    <t>TNC 0167 / 2026</t>
  </si>
  <si>
    <t>Segue notificação para análise:
[item:sas:qms:occurrence:8687]</t>
  </si>
  <si>
    <t>Tratativa de Não conformidades - Novembro (CME - Descumprimento de fluxo uso e devolução de privativo: 2508; 2514)</t>
  </si>
  <si>
    <t>TNC 0168 / 2026</t>
  </si>
  <si>
    <t>Segue notificação para análise:
[item:sas:qms:occurrence:7972]
[item:sas:qms:occurrence:7983]</t>
  </si>
  <si>
    <t>Tratativa de Não conformidades - Nov/Dez (CME - Falha no processo de esterilização: 2557; 2593; 2616)</t>
  </si>
  <si>
    <t>TNC 0169 / 2026</t>
  </si>
  <si>
    <t>Segue notificações para análise:
[item:sas:qms:occurrence:8195]
[item:sas:qms:occurrence:8389]
[item:sas:qms:occurrence:8472]</t>
  </si>
  <si>
    <t>Tratativa de Não Conformidades - Dezembro (CME - Não entrega do frasco vazio: 2596)</t>
  </si>
  <si>
    <t>TNC 0170 / 2026</t>
  </si>
  <si>
    <t>Segue notificação para análise:
[item:sas:qms:occurrence:8395]</t>
  </si>
  <si>
    <t>Tratativa de Não conformidades - Novembro (Centro obstétrico - Material incompleto: 2566)</t>
  </si>
  <si>
    <t>TNC 0171 / 2026</t>
  </si>
  <si>
    <t>Segue notificação para análise:
[item:sas:qms:occurrence:8211]</t>
  </si>
  <si>
    <t>Tratativa de Não Conformidades - Novembro (Controle de Acesso - Falha na Portaria - Dano ao Veículo: 2520)</t>
  </si>
  <si>
    <t>TNC 0172 / 2026</t>
  </si>
  <si>
    <t>Segue notificação para análise:
[item:sas:qms:occurrence:7999]</t>
  </si>
  <si>
    <t>Tratativa de Não conformidades - Novembro (Gestão de Pessoas - Relógios de ponto com defeito: 2503)</t>
  </si>
  <si>
    <t>TNC 0173 / 2026</t>
  </si>
  <si>
    <t>Segue notificação para análise:
[item:sas:qms:occurrence:7953]</t>
  </si>
  <si>
    <t>Tratativa de Não conformidades - Dezembro (Rouparia - Campos cirúrgicos com sujidades: 2610)</t>
  </si>
  <si>
    <t>TNC 0174 / 2026</t>
  </si>
  <si>
    <t>Segue notificação para análise:
[item:sas:qms:occurrence:8442]</t>
  </si>
  <si>
    <t>Tratativa de Não Conformidades - Novembro (Transporte - Falta de Atendimento dos Maqueiros: 2537)</t>
  </si>
  <si>
    <t>TNC 0175 / 2026</t>
  </si>
  <si>
    <t>Segue notificação para análise:
[item:sas:qms:occurrence:8093]</t>
  </si>
  <si>
    <t>Tratativa de Não conformidades - Nov/Dez (CPN - Material CME incompleto/Danificado: 2491; 2577; 2635)</t>
  </si>
  <si>
    <t>TNC 0176 / 2026</t>
  </si>
  <si>
    <t>Segue notificações para análise:
[item:sas:qms:occurrence:7880]
[item:sas:qms:occurrence:8264]
[item:sas:qms:occurrence:8524]</t>
  </si>
  <si>
    <t>Tratativa de Não Conformidades - Novembro (CPN - Presença de agulha em material enviado ao CME: 2502)</t>
  </si>
  <si>
    <t>TNC 0177 / 2026</t>
  </si>
  <si>
    <t>Segue notificação para análise:
[item:sas:qms:occurrence:7940]</t>
  </si>
  <si>
    <t>Tratativa de Não Conformidade - Dezembro (CPN - Falha no preenchimento do mapa de dieta: 2583)</t>
  </si>
  <si>
    <t>TNC 0178 / 2026</t>
  </si>
  <si>
    <t>Segue notificação para análise:
[item:sas:qms:occurrence:8356]</t>
  </si>
  <si>
    <t>Tratativa de Não Conformidade - Dezembro (CPN - Encaminhamento de paciente sem documentação: 2633)</t>
  </si>
  <si>
    <t>TNC 0179 / 2026</t>
  </si>
  <si>
    <t>Segue notificação para análise:
[item:sas:qms:occurrence:8511]</t>
  </si>
  <si>
    <t>Tratativa de Não conformidade -Novembro (Farmácia - Atraso na entrega de produto: 2488)</t>
  </si>
  <si>
    <t>TNC 0180 / 2026</t>
  </si>
  <si>
    <t>Segue notificação para análise:
[item:sas:qms:occurrence:7873]</t>
  </si>
  <si>
    <t>Tratativa de Não conformidade - Novembro (Farmácia - Descumprimento das normas de uso de uniforme: 2552)</t>
  </si>
  <si>
    <t>TNC 0181 / 2026</t>
  </si>
  <si>
    <t>Segue notificação para análise:
[item:sas:qms:occurrence:8164]</t>
  </si>
  <si>
    <t>Tratativa de Não Conformidade - Dezembro (Fisioterapia - Acúmulo de evolução: 2643)</t>
  </si>
  <si>
    <t>TNC 0182 / 2026</t>
  </si>
  <si>
    <t>Segue notificação para análise:
[item:sas:qms:occurrence:8605]</t>
  </si>
  <si>
    <t>Tratativa de Não Conformidade - Dezembro (PS - Desorganização de prontuários: 2588)</t>
  </si>
  <si>
    <t>TNC 0183 / 2026</t>
  </si>
  <si>
    <t>Segue notificação para análise:
[item:sas:qms:occurrence:8380]</t>
  </si>
  <si>
    <t>Tratativa de Não conformidade - Dezembro (PS - Descarte inadequado: 2647)</t>
  </si>
  <si>
    <t>TNC 0184 / 2026</t>
  </si>
  <si>
    <t>Segue notificação para análise:
[item:sas:qms:occurrence:8627]</t>
  </si>
  <si>
    <t>Tratativa de Não conformidade - Novembro (CEP - Não adesão as medidas de biossegurança: 2478)</t>
  </si>
  <si>
    <t>TNC 0185 / 2026</t>
  </si>
  <si>
    <t>Segue notificação para análise:
[item:sas:qms:occurrence:7840]</t>
  </si>
  <si>
    <t>Tratativa de Não conformidade - Novembro (CEP - Falha nos cuidados durante atendimento: 2499)</t>
  </si>
  <si>
    <t>TNC 0186 / 2026</t>
  </si>
  <si>
    <t>Segue notificação para análise:
[item:sas:qms:occurrence:7925]</t>
  </si>
  <si>
    <t>Tratativa de Não conformidade - Dezembro (CC - Colaboradores sem ticket de refeição: 2586)</t>
  </si>
  <si>
    <t>TNC 0187 / 2026</t>
  </si>
  <si>
    <t>Segue notificação para análise:
[item:sas:qms:occurrence:8359]</t>
  </si>
  <si>
    <t>Tratativa de Não conformidade - Novembro (NIR - Cadastro duplicado: 2501; 2536; 2541)</t>
  </si>
  <si>
    <t>TNC 0188 / 2026</t>
  </si>
  <si>
    <t>Segue notificações para análise:
[item:sas:qms:occurrence:7941]
[item:sas:qms:occurrence:8071]
[item:sas:qms:occurrence:8133]</t>
  </si>
  <si>
    <t>Tratativa de Não conformidade - Nov/Dez (NIR - Falha no controle de cadastros: 2528; 2606; 2662)</t>
  </si>
  <si>
    <t>TNC 0189 / 2026</t>
  </si>
  <si>
    <t>Segue notificação para análise:
[item:sas:qms:occurrence:8030]
[item:sas:qms:occurrence:8432]
[item:sas:qms:occurrence:8693]</t>
  </si>
  <si>
    <t>Tratativa de Não conformidade - Novembro (NIR - Não devolução de cadeira de rodas: 2558)</t>
  </si>
  <si>
    <t>TNC 0190 / 2026</t>
  </si>
  <si>
    <t>Segue notificação para análise:
[item:sas:qms:occurrence:8197]</t>
  </si>
  <si>
    <t>Tratativa de Não conformidade - Novembro (Manutenção - Falta de comunicação: 2543)</t>
  </si>
  <si>
    <t>TNC 0191 / 2026</t>
  </si>
  <si>
    <t>Segue notificação para análise:
[item:sas:qms:occurrence:8141]</t>
  </si>
  <si>
    <t>Tratativa de Não conformidade - Novembro (OPME- Pendência de avaliação de desempenho: 2545)</t>
  </si>
  <si>
    <t>TNC 0192 / 2026</t>
  </si>
  <si>
    <t>Segue notificação para análise:
[item:sas:qms:occurrence:8143]</t>
  </si>
  <si>
    <t>Tratativa de Não conformidade - Novembro (PAM - Falta de preenchimento de partograma: 2470)</t>
  </si>
  <si>
    <t>TNC 0193 / 2026</t>
  </si>
  <si>
    <t>Segue notificação para análise:
[item:sas:qms:occurrence:7813]</t>
  </si>
  <si>
    <t>Tratativa de Não conformidade - Novemnro (PAM - Curativo inadequado: 2522; 2523)</t>
  </si>
  <si>
    <t>TNC 0194 / 2026</t>
  </si>
  <si>
    <t>Segue notificação para análise:
[item:sas:qms:occurrence:8001]
[item:sas:qms:occurrence:8003]</t>
  </si>
  <si>
    <t>Tratativa de Não conformidade - Nov/Dez (PAM - Material incompleto: 2555; 2581)</t>
  </si>
  <si>
    <t>TNC 0195 / 2026</t>
  </si>
  <si>
    <t>Segue notificação para análise:
[item:sas:qms:occurrence:8176]
[item:sas:qms:occurrence:8351]</t>
  </si>
  <si>
    <t>Tratativa de Não conformidades - Dezembro (PAM - Não Conformidade na movimentação de Bens Patrimoniais: 2639)</t>
  </si>
  <si>
    <t>TNC 0196 / 2026</t>
  </si>
  <si>
    <t>Segue notificação para análise:
[item:sas:qms:occurrence:8539]</t>
  </si>
  <si>
    <t>Tratativa de Não conformidade - Nov/Dez (PS - Material incompleto/Danificado CME: 2485; 2490; 2492; 2493; 2517; 2518; 2607; 2608; 2658)</t>
  </si>
  <si>
    <t>TNC 0197 / 2026</t>
  </si>
  <si>
    <t>Segue notificações para análise:
[item:sas:qms:occurrence:7870]
[item:sas:qms:occurrence:7877]
[item:sas:qms:occurrence:7881]
[item:sas:qms:occurrence:7882]
[item:sas:qms:occurrence:7992]
[item:sas:qms:occurrence:7993]
[item:sas:qms:occurrence:8438]
[item:sas:qms:occurrence:8440]
[item:sas:qms:occurrence:8686]</t>
  </si>
  <si>
    <t>Tratativa de Não conformidades - Novembro (PS - Não conformidade durante inspeção: 2526; 2527)</t>
  </si>
  <si>
    <t>TNC 0198 / 2026</t>
  </si>
  <si>
    <t>Saymom David Carneiro Domingues</t>
  </si>
  <si>
    <t>Segue notificação para análise:
[item:sas:qms:occurrence:8019]
[item:sas:qms:occurrence:8021]</t>
  </si>
  <si>
    <t>Tratativa de Não Conformidade - Nov/Dez (PS - Encaminhamento de paciente sem prévia comunicação: 2560; 2681; 2682; 2685; 2686; 2687; 2688)</t>
  </si>
  <si>
    <t>TNC 0199 / 2026</t>
  </si>
  <si>
    <t>Segue notificação para análise:
[item:sas:qms:occurrence:8199]
[item:sas:qms:occurrence:8778]
[item:sas:qms:occurrence:8779]
[item:sas:qms:occurrence:8798]
[item:sas:qms:occurrence:8799]
[item:sas:qms:occurrence:8800]
[item:sas:qms:occurrence:8801]</t>
  </si>
  <si>
    <t>Tratativa de Não conformidade - Nov/Dez (PS - Falha no preenchimento de notificações compulsórias: 2569; 2570; 2571; 2572; 2580; 2621; 2622; 2624; 2649; 2650;</t>
  </si>
  <si>
    <t>TNC 0200 / 2026</t>
  </si>
  <si>
    <t>2651; 2652; 2653; 2654; 2655; 2620.
Segue notificações para análise:
[item:sas:qms:occurrence:8237]
[item:sas:qms:occurrence:8246]
[item:sas:qms:occurrence:8247]
[item:sas:qms:occurrence:8248]
[item:sas:qms:occurrence:8349]
[item:sas:qms:occurrence:8482]
[item:sas:qms:occurrence:8483]
[item:sas:qms:occurrence:8485]
[item:sas:qms:occurrence:8638]
[item:sas:qms:occurrence:8639]
[item:sas:qms:occurrence:8640]
[item:sas:qms:occurrence:8641]
[item:sas:qms:occurrence:8642]
[item:sas:qms:occurrence:8643]
[item:sas:qms:occurrence:8644]
[item:sas:qms:occurrence:8481]</t>
  </si>
  <si>
    <t>Tratativa de Não conformidade - Dezembro (PS - Não apresentação de Ticket para almoço: 2584; 2597)</t>
  </si>
  <si>
    <t>TNC 0201 / 2026</t>
  </si>
  <si>
    <t>Segue notificações para análise:
[item:sas:qms:occurrence:8357]
[item:sas:qms:occurrence:8406]</t>
  </si>
  <si>
    <t>Tratativa de Não conformidade - Dezembro (PS - Uso indevido de jaleco no refeitório: 2592)</t>
  </si>
  <si>
    <t>TNC 0202 / 2026</t>
  </si>
  <si>
    <t>Segue notificação para análise:
[item:sas:qms:occurrence:8387]</t>
  </si>
  <si>
    <t>Tratativa de Não conformidades - Dezembro (PS - Solicitação fora do cronograma: 2603; 2637)</t>
  </si>
  <si>
    <t>TNC 0203 / 2026</t>
  </si>
  <si>
    <t>Segue notificação para análise:
[item:sas:qms:occurrence:8423]
[item:sas:qms:occurrence:8533]</t>
  </si>
  <si>
    <t>Tratativa de Não conformidade - Dezembro (PS - Longarina em local indevido: 2638)</t>
  </si>
  <si>
    <t>TNC 0204 / 2026</t>
  </si>
  <si>
    <t>Segue notificação para análise:
[item:sas:qms:occurrence:8537]</t>
  </si>
  <si>
    <t>Tratativa de Não conformidade - Dezembro (PS - Falha no processo de cuidados pós morte: 2668; 2669)</t>
  </si>
  <si>
    <t>TNC 0205 / 2026</t>
  </si>
  <si>
    <t>Segue notificação para análise:
[item:sas:qms:occurrence:8717]
[item:sas:qms:occurrence:8718]</t>
  </si>
  <si>
    <t>Tratativa de Não conformidade - Dezembro (PS - Transferência de paciente sem regulação pelo NIR: 2670)</t>
  </si>
  <si>
    <t>TNC 0206 / 2026</t>
  </si>
  <si>
    <t>Segue notificação para análise
[item:sas:qms:occurrence:8723]</t>
  </si>
  <si>
    <t>Tratativa de Não conformidade - Dezembro (PS - Não realizado procedimento de sonda naso: 2671)</t>
  </si>
  <si>
    <t>TNC 0207 / 2026</t>
  </si>
  <si>
    <t>Segue notificação para análise: 
[item:sas:qms:occurrence:8724]</t>
  </si>
  <si>
    <t>Tratativa de Não conformidade - Dezembro (PS - Risco de acidente com perfuro cortante: 2672)</t>
  </si>
  <si>
    <t>TNC 0208 / 2026</t>
  </si>
  <si>
    <t>Segue notificação para análise:
[item:sas:qms:occurrence:8725]</t>
  </si>
  <si>
    <t>Tratativa de Não conformidade - Novembro (PS - Materiais descartados e alocados indevidamente: 2574)</t>
  </si>
  <si>
    <t>TNC 0209 / 2026</t>
  </si>
  <si>
    <t>Segue notificação para análise
[item:sas:qms:occurrence:8251]</t>
  </si>
  <si>
    <t>Tratativa de Não conformidade - Novembro (Recepção - Falta de recepcionista: 2464)</t>
  </si>
  <si>
    <t>TNC 0210 / 2026</t>
  </si>
  <si>
    <t>Segue notificação para análise:
[item:sas:qms:occurrence:7791]</t>
  </si>
  <si>
    <t>Tratativa de Não conformidade - Dezembro (Recepção -  Entrada sem autorização: 2632)</t>
  </si>
  <si>
    <t>TNC 0211 / 2026</t>
  </si>
  <si>
    <t>Segue notificação para análise:
[item:sas:qms:occurrence:8508]</t>
  </si>
  <si>
    <t>Tratativa de Não conformidade - Dezembro (TI - Não apresentação de ticket de refeição: 2585)</t>
  </si>
  <si>
    <t>TNC 0212 / 2026</t>
  </si>
  <si>
    <t>Segue notificação para análise:
[item:sas:qms:occurrence:8358]</t>
  </si>
  <si>
    <t>Tratativa de Não conformidade - Novembro (Serviço Social - Prontuário incompleto:  2551)</t>
  </si>
  <si>
    <t>TNC 0213 / 2026</t>
  </si>
  <si>
    <t>Segue notificação para análise:
[item:sas:qms:occurrence:8153]</t>
  </si>
  <si>
    <t>Tratativa de Não Conformidade - Novembro (Faturamento - Atraso na entrega de demanda: 2535)</t>
  </si>
  <si>
    <t>TNC 0214 / 2026</t>
  </si>
  <si>
    <t>Segue notificação para análise:
[item:sas:qms:occurrence:8070]</t>
  </si>
  <si>
    <t>Tratativa de Não Conformidade - Novembro (Coord. Internação - Acesso pela portaria não autorizada: 2538)</t>
  </si>
  <si>
    <t>TNC 0215 / 2026</t>
  </si>
  <si>
    <t>Segue notificação para análise:
[item:sas:qms:occurrence:8116]</t>
  </si>
  <si>
    <t>Tratativa de Não conformidade - Novembro (Patrimônio - Descumprimento das Normas de Uso de Uniforme: 2573)</t>
  </si>
  <si>
    <t>TNC 0216 / 2026</t>
  </si>
  <si>
    <t>Segue notificação para análise:
[item:sas:qms:occurrence:8255]</t>
  </si>
  <si>
    <t>Tratativa de Não conformidade - Novembro (DP - Descumprimento das Normas de Uso de Uniforme: 2575)</t>
  </si>
  <si>
    <t>TNC 0217 / 2026</t>
  </si>
  <si>
    <t>Segue notificação para análise:
[item:sas:qms:occurrence:8257]</t>
  </si>
  <si>
    <t>Tratativa de Não conformidade - Dezembro (DP - Notificação sobre registro indevido no ponto eletrônico: 2604)</t>
  </si>
  <si>
    <t>TNC 0218 / 2026</t>
  </si>
  <si>
    <t>Segue notificação para análise:
[item:sas:qms:occurrence:8427]</t>
  </si>
  <si>
    <t>Tratativa de Não conformidade - Novembro (Suprimentos - Atraso na entrega de materiais: 2562)</t>
  </si>
  <si>
    <t>TNC 0219 / 2026</t>
  </si>
  <si>
    <t>Segue notificação para análise:
[item:sas:qms:occurrence:8203]</t>
  </si>
  <si>
    <t>Tratativa de Não conformidade - Nov/Dez (SHL - Desabastecimento de insumos: 2496; 2563; 2576; 2611; 2612)</t>
  </si>
  <si>
    <t>TNC 0220 / 2026</t>
  </si>
  <si>
    <t>Segue notificação para análise:
[item:sas:qms:occurrence:7913]
[item:sas:qms:occurrence:8204]
[item:sas:qms:occurrence:8258]
[item:sas:qms:occurrence:8456]
[item:sas:qms:occurrence:8457]</t>
  </si>
  <si>
    <t>Tratativa de Incidentes - Dezembro (SHL - Acúmulo de lixo: 2615)</t>
  </si>
  <si>
    <t>TNC 0221 / 2026</t>
  </si>
  <si>
    <t>Segue notificação para análise:
[item:sas:qms:occurrence:8467]</t>
  </si>
  <si>
    <t>Tratativa de Não conformidade - Dezembro (SND - Etiqueta patrimônio danificada: 2590; 2630)</t>
  </si>
  <si>
    <t>TNC 0222 / 2026</t>
  </si>
  <si>
    <t>Segue notificação para análise:
[item:sas:qms:occurrence:8385]
[item:sas:qms:occurrence:8502]</t>
  </si>
  <si>
    <t>Tratativa de Não conformidade - Novembro (Rouparia - Enxoval insuficiente: 2530)</t>
  </si>
  <si>
    <t>TNC 0223 / 2026</t>
  </si>
  <si>
    <t>Segue notificação para análise:
[item:sas:qms:occurrence:8039]</t>
  </si>
  <si>
    <t>Tratativa de Não Conformidade - Novembro (UCI - Erro de autorização do SISREG: 2471; 2472; 2473)</t>
  </si>
  <si>
    <t>TNC 0224 / 2026</t>
  </si>
  <si>
    <t>Segue notificação para análise:
[item:sas:qms:occurrence:7820]</t>
  </si>
  <si>
    <t>Tratativa de Não conformidade - Novembro (UCI - Prontuário com pendência: 2565)</t>
  </si>
  <si>
    <t>TNC 0225 / 2026</t>
  </si>
  <si>
    <t>Segue notificação para análise:
[item:sas:qms:occurrence:8208]</t>
  </si>
  <si>
    <t>Tratativa de Não conformidade - Novembro (UCI - Descumprimento do fluxo de uso e devolução de privativo: 2509; 2515)</t>
  </si>
  <si>
    <t>TNC 0226 / 2026</t>
  </si>
  <si>
    <t>Segue notificação para análise:
[item:sas:qms:occurrence:7973]
[item:sas:qms:occurrence:7984]</t>
  </si>
  <si>
    <t>Tratativa de Não conformidade - Nov/Dez (UCI - Material danificado/incompleto CME: 2568; 2609)</t>
  </si>
  <si>
    <t>TNC 0227 / 2026</t>
  </si>
  <si>
    <t>Segue notificação para análise:
[item:sas:qms:occurrence:8213]
[item:sas:qms:occurrence:8441]</t>
  </si>
  <si>
    <t>Tratativa de Não conformidade - Novembro (Laboratório - Atraso na coleta: 2548)</t>
  </si>
  <si>
    <t>TNC 0228 / 2026</t>
  </si>
  <si>
    <t>Segue notificação para análise:
[item:sas:qms:occurrence:8147]</t>
  </si>
  <si>
    <t>Tratativa de Não Conformidade - Dezembro (Laboratório - Falha no fluxo de Coleta, Envio e Recoleta de Amostra Sorológica: 2657)</t>
  </si>
  <si>
    <t>TNC 0229 / 2026</t>
  </si>
  <si>
    <t>Segue notificação para análise:
[item:sas:qms:occurrence:8655]</t>
  </si>
  <si>
    <t>Tratativa de Não Conformidade - Novembro (C. Cirúrgica - Falha no Preparo e Comunicação do Paciente para o CC: 2521)</t>
  </si>
  <si>
    <t>TNC 0230 / 2026</t>
  </si>
  <si>
    <t>Segue notificação para análise:
[item:sas:qms:occurrence:8000]</t>
  </si>
  <si>
    <t>Tratativa de Não conformidade - Novembro (C. Cirúrgica - Descumprimento das normas de uso de uniforme: 2554)</t>
  </si>
  <si>
    <t>TNC 0231 / 2026</t>
  </si>
  <si>
    <t>Evilla do Nascimento dos Santos</t>
  </si>
  <si>
    <t>Segue notificação para análise:
[item:sas:qms:occurrence:8167]</t>
  </si>
  <si>
    <t>Tratativa de Não conformidade - Dezembro (C. Cirúrgica - Falha na entrega de ticket de refeição: 2618)</t>
  </si>
  <si>
    <t>TNC 0232 / 2026</t>
  </si>
  <si>
    <t>Segue notificação para análise:
[item:sas:qms:occurrence:8475]</t>
  </si>
  <si>
    <t>04/04/2026</t>
  </si>
  <si>
    <t>Tratativa de Não conformidade - Novembro (C. Médica - Notificação de inconsistência em fichas de notificação: 2484)</t>
  </si>
  <si>
    <t>TNC 0233 / 2026</t>
  </si>
  <si>
    <t>Segue notificação para análise:
[item:sas:qms:occurrence:7861]</t>
  </si>
  <si>
    <t>Tratativa de Não Conformidade - Novembro (C. Médica - Demora no encaminhamento de paciente: 2549)</t>
  </si>
  <si>
    <t>TNC 0234 / 2026</t>
  </si>
  <si>
    <t>Segue notificação para análise:
[item:sas:qms:occurrence:8149]</t>
  </si>
  <si>
    <t>Tratativa de Não conformidade - Novembro (C. Médica - Falta de prescrição de enfermagem: 2564)</t>
  </si>
  <si>
    <t>TNC 0235 / 2026</t>
  </si>
  <si>
    <t>Segue notificação para análise:
[item:sas:qms:occurrence:8205]</t>
  </si>
  <si>
    <t>Tratativa de Não conformidade - Dezembro (C. Médica - Material incompleto: 2598)</t>
  </si>
  <si>
    <t>TNC 0236 / 2026</t>
  </si>
  <si>
    <t>Segue notificação para análise:
[item:sas:qms:occurrence:8414]</t>
  </si>
  <si>
    <t>Tratativa de Não conformidade - Dezembro (C. Médica - Mal uso de equipamento: 2641)</t>
  </si>
  <si>
    <t>TNC 0237 / 2026</t>
  </si>
  <si>
    <t>Segue notificação para análise:
[item:sas:qms:occurrence:8577]</t>
  </si>
  <si>
    <t>Tratativa de Não conformidade - Dezembro (C. Médica - Cadeiras fixas danificadas: 2665)</t>
  </si>
  <si>
    <t>TNC 0238 / 2026</t>
  </si>
  <si>
    <t>Segue notificação para análise:
[item:sas:qms:occurrence:8710]</t>
  </si>
  <si>
    <t>Tratativa de Não conformidade - Dezembro (C. Médica - Impossibilidade de Identificação Patrimonial: 2666)</t>
  </si>
  <si>
    <t>TNC 0239 / 2026</t>
  </si>
  <si>
    <t>Segue notificação para análise:
[item:sas:qms:occurrence:8714]</t>
  </si>
  <si>
    <t>Tratativa de Não conformidade - Novembro (CGO - Desabastecimento de materiais: 2494)</t>
  </si>
  <si>
    <t>TNC 0240 / 2026</t>
  </si>
  <si>
    <t>Segue notificação para análise:
[item:sas:qms:occurrence:7887]</t>
  </si>
  <si>
    <t>Tratativa de Não conformidade - Novembro (CGO - Pendência e desorganização no plantão: 2500)</t>
  </si>
  <si>
    <t>TNC 0241 / 2026</t>
  </si>
  <si>
    <t>Segue notificação para análise:
[item:sas:qms:occurrence:7926]</t>
  </si>
  <si>
    <t>Tratativa de Não conformidade - Novembro (CGO - Desorganização no posto de trabalho: 2519)</t>
  </si>
  <si>
    <t>TNC 0242 / 2026</t>
  </si>
  <si>
    <t>Segue notificação para análise:
[item:sas:qms:occurrence:7994]</t>
  </si>
  <si>
    <t>Tratativa de Não conformidade - Novembro (C. Pediátrica - Prontuário incompleto: 2468)</t>
  </si>
  <si>
    <t>TNC 0243 / 2026</t>
  </si>
  <si>
    <t>Segue notificação para análise:
[item:sas:qms:occurrence:7810]</t>
  </si>
  <si>
    <t>Tratativa de Não conformidade - Dezembro (C. Pediátrica - Não conformidade entrega de ticket falsificado: 2582)</t>
  </si>
  <si>
    <t>TNC 0244 / 2026</t>
  </si>
  <si>
    <t>Segue notificação para análise:
[item:sas:qms:occurrence:8355]</t>
  </si>
  <si>
    <t>Tratativa de Não conformidade - Dezembro (C. Pediátrica - Não realização de notificação compulsória: 2629)</t>
  </si>
  <si>
    <t>TNC 0245 / 2026</t>
  </si>
  <si>
    <t>Segue notificação para análise:
[item:sas:qms:occurrence:8501]</t>
  </si>
  <si>
    <t>Tratativa de Não conformidade - Dezembro (C. Pediátrica - Falha no descarte de pérfuro: 2640)</t>
  </si>
  <si>
    <t>TNC 0246 / 2026</t>
  </si>
  <si>
    <t>Segue notificação para análise:
[item:sas:qms:occurrence:8541]</t>
  </si>
  <si>
    <t>Tratativa de Não conformidade - Novembro (UTI - Falha no uso e manuseio de equipamentos: 2542; 2544)</t>
  </si>
  <si>
    <t>TNC 0247 / 2026</t>
  </si>
  <si>
    <t>Segue notificação para análise:
[item:sas:qms:occurrence:8138]
[item:sas:qms:occurrence:8142]</t>
  </si>
  <si>
    <t xml:space="preserve">Tratativa de Não conformidade - Dezembro (UTI - Materiais danificados/incompletos CME: 2550; 2599; 2600; 2601; 2602; 2613; 2614; 2634; 2646; 2660; 2661) </t>
  </si>
  <si>
    <t>TNC 0248 / 2026</t>
  </si>
  <si>
    <t>Segue notificações para análise:
[item:sas:qms:occurrence:8151]
[item:sas:qms:occurrence:8415]
[item:sas:qms:occurrence:8416]
[item:sas:qms:occurrence:8417]
[item:sas:qms:occurrence:8418]
[item:sas:qms:occurrence:8462]
[item:sas:qms:occurrence:8463]
[item:sas:qms:occurrence:8523]
[item:sas:qms:occurrence:8610]
[item:sas:qms:occurrence:8689]
[item:sas:qms:occurrence:8690]</t>
  </si>
  <si>
    <t>Tratativa de Não conformidade - Novembro (UTI - Extravio de prontuário: 2567)</t>
  </si>
  <si>
    <t>TNC 0249 / 2026</t>
  </si>
  <si>
    <t>Segue notificação para análise:
[item:sas:qms:occurrence:8212]</t>
  </si>
  <si>
    <t>Tratativa de Não conformidade - Dezembro (UTI - Material entregue fora do horário: 2587)</t>
  </si>
  <si>
    <t>TNC 0250 / 2026</t>
  </si>
  <si>
    <t>Segue notificação para análise:
[item:sas:qms:occurrence:8377]</t>
  </si>
  <si>
    <t>Tratativa de Não conformidade - Dezembro (UTI - Falha na transição de cuidados: 2595)</t>
  </si>
  <si>
    <t>TNC 0251 / 2026</t>
  </si>
  <si>
    <t>Segue notificação para análise:
[item:sas:qms:occurrence:8392]</t>
  </si>
  <si>
    <t>Tratativa de Não conformidade - Dezembro (UTI - Falha entrega de ticket jantar: 2617)</t>
  </si>
  <si>
    <t>TNC 0252 / 2026</t>
  </si>
  <si>
    <t>Segue notificação para análise:
[item:sas:qms:occurrence:8473]</t>
  </si>
  <si>
    <t>Tratativa de Não conformidade - Dezembro (UTI - Risco de acidente com pérfuro: 2628)</t>
  </si>
  <si>
    <t>TNC 0253 / 2026</t>
  </si>
  <si>
    <t>Segue notificação para análise:
[item:sas:qms:occurrence:8499]</t>
  </si>
  <si>
    <t>Tratativa de Não conformidade - Dezembro (UTI - Descumprimento de rotina: 2667)</t>
  </si>
  <si>
    <t>TNC 0254 / 2026</t>
  </si>
  <si>
    <t>Segue notificação para análise:
[item:sas:qms:occurrence:8715]</t>
  </si>
  <si>
    <t>TRANSPORTE DE PACIENTE</t>
  </si>
  <si>
    <t>TNC 0255 / 2026</t>
  </si>
  <si>
    <t>DESCREVO, POR MEIO DESTA, UMA INTERCORRENCIA OCORRIDA NO DIA 05/01/26 ENVOLVENDO A SOLICITAÇÃO DE BUSCA DE PACIENTE DO CENTRO CIRÚRGICO PARA O CGO2. 
O SR. SELMO, ENFERMEIRO DO CC, REALIZOU DIVERSAS LIGAÇÕES AO SETOR SOLICITANDO, DE FORMA INSISTENTE, QUE FOSSE ENVIADO PROFISSIONAL PARA BUSCAR PACIENTE. DIANTE DA SOLICITAÇÃO, FOI ENCAMINHADO UMA TECNICA DE ENFERMAGEM AO CC PARA ATENDER A DEMANDA. 
AO CHEGAR AO LOCAL, A TECNICA FOI INFORMADA DE QUE A PACIENTE AINDA NÃO SE ENCONTRAVA PRONTA, UMA VEZ QUE NECESSITAVA RECEBER MEDICAÇÃO PRÉVIA, A QUAL AINDA ESTAVA SENDO PROVIDENCIADA PELA EQUIPE DO CENTRO CIRURGICO JUNTO A FARMACIA. EM DECORRENCIA DISSO, A TECNICA PRECISOU RETORNAR AO SETOR DE ORIEGEM SEM REALIZAR O TRANSPORTE DA PACIENTE.
RESSALTO QUE SITUAÇÕES COMO ESTA VEM OCORRENDO DE FORMA RECORRENTE TANTO DO CC QUANTO DO CPN, CARACTERIZANDO FALHA NO FLUXO E NA COMUNICAÇÃO ENTRE OS SETORES. OCASIONANDO DESLOCAMENTO DESNECESSÁRIOS DE PROFISSIONAIS, RETRABALHO, ATRASOS NO ANDAMENTO DAS ATIVIDADES ASSISTENCIAIS E IMPACTO NEGATIVO NA ORGANIZAÇÃO E CONDUÇÃO DO PLANTÃO, BEM COMO NO CUIDADO PRESTADO AOS PACIENTE SOB NOSSA RESPONSABILIDADE.
SOLICITO, PORTANDO, AVALIAÇÃO DA COORDENAÇÃO QUANTO A NECESSIDADE DE ALINHAMENTOS DE FLUXOS, DEFINIÇÃO CLARA DE CRITÉRIOS PARA SOLICITAÇÃO DE TRANSPORTE DE PACIENTES E REFORÇO DA COMUNICAÇÃO ENTRE AD EQUIPES, AFIM DE EVITAR NOVAS OCORRENCIAS SEMELHANTES.
SEM MAIS PARA O MOMENTO, COLOCO-ME A DISPOSIÇÃO PARA ESCLARECIMENTOS.</t>
  </si>
  <si>
    <t>Tratativa de Não Conformidade - Jan/26 (PS - Falha no preenchimento de notificação compulsória: 2700; 2733; 2742; 2743; 2744; 2745; 2746; 2747, 2748; 2749)</t>
  </si>
  <si>
    <t>TNC 0256 / 2026</t>
  </si>
  <si>
    <t>2750; 2751; 2752.
Segue notificações para análise:
[item:sas:qms:occurrence:8922]
[item:sas:qms:occurrence:9189]
[item:sas:qms:occurrence:9257]
[item:sas:qms:occurrence:9259]
[item:sas:qms:occurrence:9260]
[item:sas:qms:occurrence:9261]
[item:sas:qms:occurrence:9262]
[item:sas:qms:occurrence:9270]
[item:sas:qms:occurrence:9272]
[item:sas:qms:occurrence:9273]
[item:sas:qms:occurrence:9274]
[item:sas:qms:occurrence:9276]
[item:sas:qms:occurrence:9277]</t>
  </si>
  <si>
    <t>Tratativa de Não Conformidade - Jan/26 (PS - Falha no processo de alta hospitalar: 2718; 2754; 2677)</t>
  </si>
  <si>
    <t>TNC 0257 / 2026</t>
  </si>
  <si>
    <t>[item:sas:qms:occurrence:9287]
[item:sas:qms:occurrence:9045]
[item:sas:qms:occurrence:8769]
Segue notificações para análise:</t>
  </si>
  <si>
    <t>Tratativa de Não Conformidade - Jan/26 (PS - Movimentação e conservação de bens e moveis: 2680; 2697; 2692)</t>
  </si>
  <si>
    <t>TNC 0258 / 2026</t>
  </si>
  <si>
    <t>Segue notificações para análise:
[item:sas:qms:occurrence:8775]
[item:sas:qms:occurrence:8891]
[item:sas:qms:occurrence:8809]</t>
  </si>
  <si>
    <t>Tratativa de Não Conformidade - Jan/26 (PS - Organização e guarda de equipamentos: 2692</t>
  </si>
  <si>
    <t>TNC 0259 / 2026</t>
  </si>
  <si>
    <t>Segue notificações para análise:
[item:sas:qms:occurrence:8809]</t>
  </si>
  <si>
    <t>Tratativa de Não Conformidade - Jan/26 (PS - Falha no fluxo de comunicação interna de exames: 2689)</t>
  </si>
  <si>
    <t>TNC 0260 / 2026</t>
  </si>
  <si>
    <t>Segue notificações para análise:
[item:sas:qms:occurrence:8802]</t>
  </si>
  <si>
    <t>Tratativa de Não Conformidade - Jan/26 (PS - Material incompleto ao CME: 2695)</t>
  </si>
  <si>
    <t>TNC 0261 / 2026</t>
  </si>
  <si>
    <t>Segue notificações para análise:
[item:sas:qms:occurrence:8813]</t>
  </si>
  <si>
    <t>Tratativa de Não Conformidade - Jan/26 (PS - Biossegurança: alimentação em local inadequado: 2740)</t>
  </si>
  <si>
    <t>TNC 0262 / 2026</t>
  </si>
  <si>
    <t>Segue notificações para análise:
[item:sas:qms:occurrence:9252]</t>
  </si>
  <si>
    <t xml:space="preserve">Tratativa de Não Conformidade - Jan/26 (Centro Cirúrgico -  Envio de materiais de forma inadequada ao CME: 2673; 2693; 2694) </t>
  </si>
  <si>
    <t>TNC 0263 / 2026</t>
  </si>
  <si>
    <t>Segue notificações para análise:
[item:sas:qms:occurrence:8750]
[item:sas:qms:occurrence:8811]
[item:sas:qms:occurrence:8812]</t>
  </si>
  <si>
    <t>Tratativa de Não Conformidade - Jan/26 (Centro Cirúrgico - Retorno de prontuário ao setor de origem: 2731)</t>
  </si>
  <si>
    <t>TNC 0264 / 2026</t>
  </si>
  <si>
    <t>Segue notificações para análise:
[item:sas:qms:occurrence:9171]</t>
  </si>
  <si>
    <t>Tratativa de Não Conformidade - Jan/26 (CME - Prazo e realização de pedidos ao almoxarifado: 2709)</t>
  </si>
  <si>
    <t>TNC 0265 / 2026</t>
  </si>
  <si>
    <t>Segue notificação para analise: 
[item:sas:qms:occurrence:8998]</t>
  </si>
  <si>
    <t>Tratativa de Não Conformidade - Jan/26( Farmácia Satélite C.C - Comunicação entre setores: 2708)</t>
  </si>
  <si>
    <t>TNC 0266 / 2026</t>
  </si>
  <si>
    <t>Segue notificação para analise:
[item:sas:qms:occurrence:8995]</t>
  </si>
  <si>
    <t>Tratativa de Não Conformidade - Jan/26 (NIR - Inconsistência de informações entre prontuários e faturamento: 2704; 2732)</t>
  </si>
  <si>
    <t>TNC 0267 / 2026</t>
  </si>
  <si>
    <t>Segue notificações para analise:
[item:sas:qms:occurrence:8949]
[item:sas:qms:occurrence:9177]</t>
  </si>
  <si>
    <t>Tratativa de Não Conformidade - Jan/26 (PAM - Fluxo de manutenção e utilização de bens e moveis: 2683)</t>
  </si>
  <si>
    <t>TNC 0268 / 2026</t>
  </si>
  <si>
    <t>Segue notificação para analise:
[item:sas:qms:occurrence:8784]</t>
  </si>
  <si>
    <t>Tratativa de Não Conformidade - Jan/26 (PAM - Pendencia de alta: 2719)</t>
  </si>
  <si>
    <t>TNC 0269 / 2026</t>
  </si>
  <si>
    <t>Segue notificação para analise:
[item:sas:qms:occurrence:9046]</t>
  </si>
  <si>
    <t>Tratativa de Não Conformidade - Jan/26 (PAM - Pendencia de documentação: 2738)</t>
  </si>
  <si>
    <t>TNC 0270 / 2026</t>
  </si>
  <si>
    <t>Segue notificação para analise:
[item:sas:qms:occurrence:9223]</t>
  </si>
  <si>
    <t>Tratativa de Não Conformidade - Jan/26 (Recepção - Fluxo de comunicação para entrada de pacientes: 2724)</t>
  </si>
  <si>
    <t>TNC 0271 / 2026</t>
  </si>
  <si>
    <t>Segue notificação para analise:
[item:sas:qms:occurrence:9129]</t>
  </si>
  <si>
    <t>Tratativa de Não Conformidade - Jan/26 (Serviço Social - Falta de documentação: 2735)</t>
  </si>
  <si>
    <t>TNC 0272 / 2026</t>
  </si>
  <si>
    <t>Segue notificação para analise:
[item:sas:qms:occurrence:9204]</t>
  </si>
  <si>
    <t>Tratativa de Não Conformidade - Jan/26 (NIR - ordem de serviço e mudanças de moveis: 2676)</t>
  </si>
  <si>
    <t>TNC 0273 / 2026</t>
  </si>
  <si>
    <t>Segue notificação para analise:
[item:sas:qms:occurrence:8766]</t>
  </si>
  <si>
    <t>Tratativa de Não Conformidade - Jan/26 (SND - Biossegurança: 2678)</t>
  </si>
  <si>
    <t>TNC 0274 / 2026</t>
  </si>
  <si>
    <t>Segue notificação para analise:
[item:sas:qms:occurrence:8772]</t>
  </si>
  <si>
    <t>Tratativa de Não Conformidade - Jan/26 (SND - Cronograma de solicitações a suprimentos: 2699)</t>
  </si>
  <si>
    <t>TNC 0275 / 2026</t>
  </si>
  <si>
    <t>Segue notificação para analise:
[item:sas:qms:occurrence:8918]</t>
  </si>
  <si>
    <t>Tratativa de Não Conformidade - Jan/26 (UCI - NR32 uso correto de EPI: 2713)</t>
  </si>
  <si>
    <t>TNC 0276 / 2026</t>
  </si>
  <si>
    <t>Segue notificação para analise:
[item:sas:qms:occurrence:9025]</t>
  </si>
  <si>
    <t>Tratativa de Não Conformidade - Jan/26 (UCI - Envio de material incompleto ao CME: 2755)</t>
  </si>
  <si>
    <t>TNC 0277 / 2026</t>
  </si>
  <si>
    <t>Segue notificação para analise: 
[item:sas:qms:occurrence:9288]</t>
  </si>
  <si>
    <t>Tratativa de Não Conformidade - Jan/26 (LAB - Fluxo de entrega de relatórios e prazo: 2701)</t>
  </si>
  <si>
    <t>TNC 0278 / 2026</t>
  </si>
  <si>
    <t>Segue notificação para analise:
[item:sas:qms:occurrence:8924]</t>
  </si>
  <si>
    <t>Tratativa de Não Conformidade - Jan/26 (Clinica Cirúrgica - Fluxo de comunicação interna: 2703)</t>
  </si>
  <si>
    <t>TNC 0279 / 2026</t>
  </si>
  <si>
    <t>Segue notificação para analise:
[item:sas:qms:occurrence:8944]</t>
  </si>
  <si>
    <t>Tratativa de Não Conformidade - Jan/26 (Clinica Medica - Uso e manutenção de bens e moveis: 2684; 2737)</t>
  </si>
  <si>
    <t>TNC 0280 / 2026</t>
  </si>
  <si>
    <t>Segue notificações para analise:
[item:sas:qms:occurrence:8785]
[item:sas:qms:occurrence:9214]</t>
  </si>
  <si>
    <t>Tratativa de Não Conformidade - Jan/26 (Clinica Medica - Biossegurança: EPI e Descarte de Perfuro Cortante: 2711; 2741)</t>
  </si>
  <si>
    <t>TNC 0281 / 2026</t>
  </si>
  <si>
    <t>Segue notificações para analise:
[item:sas:qms:occurrence:9010]
[item:sas:qms:occurrence:9247]</t>
  </si>
  <si>
    <t>Tratativa de Não Conformidade - Jan/26 (Clinica Medica - Pendencia de alta: 2717)</t>
  </si>
  <si>
    <t>TNC 0282 / 2026</t>
  </si>
  <si>
    <t>Segue notificação para analise:
[item:sas:qms:occurrence:9044]</t>
  </si>
  <si>
    <t>Tratativa de Não Conformidade - Jan/26 (CGO - Checagem de maleta e reposição de medicamentos: 2674)</t>
  </si>
  <si>
    <t>TNC 0283 / 2026</t>
  </si>
  <si>
    <t>Segue notificação para analise:
[item:sas:qms:occurrence:8752]</t>
  </si>
  <si>
    <t>Tratativa de Não Conformidade - Jan/26 (CGO - Pendencia de alta: 2716; 2734)</t>
  </si>
  <si>
    <t>TNC 0284 / 2026</t>
  </si>
  <si>
    <t>Segue notificação para analise:
[item:sas:qms:occurrence:9041]
[item:sas:qms:occurrence:9201]</t>
  </si>
  <si>
    <t>Tratativa de Não Conformidade - Jan/26 (UTI - Uso de Adornos: 2725)</t>
  </si>
  <si>
    <t>TNC 0285 / 2026</t>
  </si>
  <si>
    <t>Segue notificação para analise:
[item:sas:qms:occurrence:9136]</t>
  </si>
  <si>
    <t>Tratativa de Não Conformidade - Jan/26 (UTI - Uso de Adornos: 2726)</t>
  </si>
  <si>
    <t>TNC 0286 / 2026</t>
  </si>
  <si>
    <t>Segue notificação para analise:
[item:sas:qms:occurrence:9137]</t>
  </si>
  <si>
    <t>Tratativa de Não Conformidade - Jan/26 (UTI - Pendencia de alta óbito: 2729)</t>
  </si>
  <si>
    <t>TNC 0287 / 2026</t>
  </si>
  <si>
    <t>Segue notificação para analise:
[item:sas:qms:occurrence:9151]</t>
  </si>
  <si>
    <t>Tratativa de Não Conformidade - Jan/26 (UTI - Material incompleto: 2675)</t>
  </si>
  <si>
    <t>TNC 0288 / 2026</t>
  </si>
  <si>
    <t>Segue notificação para analise:
[item:sas:qms:occurrence:8754]</t>
  </si>
  <si>
    <t>TNC 0289 / 2026</t>
  </si>
  <si>
    <t>Prontuário de nº 166199 - Z.S
Realizado procedimento cirúrgico e instalado fixador externo, não foi identificado no sistema as imagens do Raio X pós operatório.</t>
  </si>
  <si>
    <t>TNC 0290 / 2026</t>
  </si>
  <si>
    <t>TNC 0291 / 2026</t>
  </si>
  <si>
    <t>TNC 0292 / 2026</t>
  </si>
  <si>
    <t>TNC 0293 / 2026</t>
  </si>
  <si>
    <t>TNC 0294 / 2026</t>
  </si>
  <si>
    <t>TNC 0295 / 2026</t>
  </si>
  <si>
    <t>TNC 0296 / 2026</t>
  </si>
  <si>
    <t>TNC 0297 / 2026</t>
  </si>
  <si>
    <t>TNC 0298 / 2026</t>
  </si>
  <si>
    <t>Tratativa de Não Conformidade - Fev/26 (Centro Cirurgico - Preencimento de dados ao OPME: 2784; 2809; 2810; 2813; 2814; 2817; 2892; 2893; 2901)</t>
  </si>
  <si>
    <t>TNC 0299 / 2026</t>
  </si>
  <si>
    <t>Segue notificações para análise:
[item:sas:qms:occurrence:9379]
[item:sas:qms:occurrence:9458]
[item:sas:qms:occurrence:9460]
[item:sas:qms:occurrence:9469]
[item:sas:qms:occurrence:9472]
[item:sas:qms:occurrence:9477]
[item:sas:qms:occurrence:9841]
[item:sas:qms:occurrence:9842]
[item:sas:qms:occurrence:9853]</t>
  </si>
  <si>
    <t>Tratativa de Não Conformidade - Fev/26 (Centro Cirurgico - Itens de CME não confomes: 2807; 2834; 2835; 2856; 2870; 2889)</t>
  </si>
  <si>
    <t>TNC 0300 / 2026</t>
  </si>
  <si>
    <t>Segue notificações para análise:
[item:sas:qms:occurrence:9447]
[item:sas:qms:occurrence:9596]
[item:sas:qms:occurrence:9597]
[item:sas:qms:occurrence:9726]
[item:sas:qms:occurrence:9767]
[item:sas:qms:occurrence:9836]</t>
  </si>
  <si>
    <t>Tratativa de Não Conformidade - Fev/26 (Centro Cirurgico - Não conformidade na solicitação de transporte interno: 2785)</t>
  </si>
  <si>
    <t>TNC 0301 / 2026</t>
  </si>
  <si>
    <t>Segue notificação para analise:
[item:sas:qms:occurrence:9384]</t>
  </si>
  <si>
    <t>Tratativa de Não Conformidade - Fev/26 (Centro Cirurgico - Devolução de materiais: 2779)</t>
  </si>
  <si>
    <t>TNC 0302 / 2026</t>
  </si>
  <si>
    <t>Segue notificação para analise:
[item:sas:qms:occurrence:9371]</t>
  </si>
  <si>
    <t>Tratativa de Não Conformidade - Fev/26 (Centro Cirurgico - Não conformidade no acionamento e acompanhamento Psicologico e Social em obito: 2830; 2831)</t>
  </si>
  <si>
    <t>TNC 0303 / 2026</t>
  </si>
  <si>
    <t>Segue notificações para analise:
[item:sas:qms:occurrence:9526]
[item:sas:qms:occurrence:9527]</t>
  </si>
  <si>
    <t>Tratativa de Não Conformidade - Fev/26 (Centro Cirurgico - Falta da exames para faturamento de procedimentos: 2840; 2871)</t>
  </si>
  <si>
    <t>TNC 0304 / 2026</t>
  </si>
  <si>
    <t>Segue notificações para analise:
[item:sas:qms:occurrence:9608]
[item:sas:qms:occurrence:9771]</t>
  </si>
  <si>
    <t>Tratativa de Não Conformidade - Fev/26 (Centro Cirurgico - Uso de adornos: 2886)</t>
  </si>
  <si>
    <t>TNC 0305 / 2026</t>
  </si>
  <si>
    <t>Segue notificação para analise: 
[item:sas:qms:occurrence:9816]</t>
  </si>
  <si>
    <t>Tratativa de Não Conformidade - Fev/26 (Centro Cirurgico - Biossegurança: 2888)</t>
  </si>
  <si>
    <t>TNC 0306 / 2026</t>
  </si>
  <si>
    <t>Segue notificação para analise:
[item:sas:qms:occurrence:9826]</t>
  </si>
  <si>
    <t>Tratativa de Não Conformidade - Fev/26 (Centro Cirurgico - Descrição de Cirurgia: 2897; 2898)</t>
  </si>
  <si>
    <t>TNC 0307 / 2026</t>
  </si>
  <si>
    <t>Segue notificações para analise:
[item:sas:qms:occurrence:9847]
[item:sas:qms:occurrence:9849]</t>
  </si>
  <si>
    <t>Tratativa de Não Conformidade - Fev/26 (Centro Cirurgico - documentação incompleta em prontuário: 2927)</t>
  </si>
  <si>
    <t>TNC 0308 / 2026</t>
  </si>
  <si>
    <t>Segue notificação para analise:
[item:sas:qms:occurrence:10011]</t>
  </si>
  <si>
    <t>Tratativa de Não Conformidade - Fev/26 (CME - Falta de material em caixas cirurgicas: 2778; 2837)</t>
  </si>
  <si>
    <t>TNC 0309 / 2026</t>
  </si>
  <si>
    <t>Segue notificações para analise:
[item:sas:qms:occurrence:9366]
[item:sas:qms:occurrence:9602]</t>
  </si>
  <si>
    <t>Tratativa de Não Conformidade - Fev/26 (CGO - Identificação de materiais ao expurgo: 2829)</t>
  </si>
  <si>
    <t>TNC 0310 / 2026</t>
  </si>
  <si>
    <t>Segue notificação para analise:
[item:sas:qms:occurrence:9524]</t>
  </si>
  <si>
    <t>Tratativa de Não Conformidade - Fev/26 (CPN - Falha de comunicação em passagem de plantão: 2926)</t>
  </si>
  <si>
    <t>TNC 0311 / 2026</t>
  </si>
  <si>
    <t>Segue notificação para analise:
[item:sas:qms:occurrence:10009]</t>
  </si>
  <si>
    <t>Tratativa de Não Conformidade - Fev/26 (Controle de Acesso - Entrada sem autorização: 2833</t>
  </si>
  <si>
    <t>TNC 0312 / 2026</t>
  </si>
  <si>
    <t>Segue notificação para analise:
[item:sas:qms:occurrence:9588]</t>
  </si>
  <si>
    <t>Tratativa de Não Conformidade - Fev/26 (Farmacia - dispensação de medicação: 2841)</t>
  </si>
  <si>
    <t>TNC 0313 / 2026</t>
  </si>
  <si>
    <t>Segue notificação para analise:
[item:sas:qms:occurrence:9616]</t>
  </si>
  <si>
    <t>Tratativa de Não Conformidade - Fev/26 (Farmacia - falta de insumos: 2905)</t>
  </si>
  <si>
    <t>TNC 0314 / 2026</t>
  </si>
  <si>
    <t>Segue notificação para analise:
[item:sas:qms:occurrence:9933]</t>
  </si>
  <si>
    <t>Tratativa de Não Conformidade - Fev/26 (Centro Cirurgico - Avaliação de treinamento: 2801)</t>
  </si>
  <si>
    <t>TNC 0315 / 2026</t>
  </si>
  <si>
    <t>Segue notificação para analise:
[item:sas:qms:occurrence:9438]</t>
  </si>
  <si>
    <t>Tratativa de Não Conformidade - Fev/26 (NIR - Falha nos processos de gerenciamento de internação: 2773; 2788; 2819; 2865)</t>
  </si>
  <si>
    <t>TNC 0316 / 2026</t>
  </si>
  <si>
    <t>Segue notificações para analise:
[item:sas:qms:occurrence:9346]
[item:sas:qms:occurrence:9400]
[item:sas:qms:occurrence:9512]
[item:sas:qms:occurrence:9746]</t>
  </si>
  <si>
    <t>Tratativa de Não Conformidade - Fev/26 (NIR - Divergencias no prontuario: 2776; 2863)</t>
  </si>
  <si>
    <t>TNC 0317 / 2026</t>
  </si>
  <si>
    <t>Segue notificações para analise:
[item:sas:qms:occurrence:9358]
[item:sas:qms:occurrence:9739]</t>
  </si>
  <si>
    <t>Tratativa de Não Conformidade - Fev/26 (NIR - avarias em macas: 2767)</t>
  </si>
  <si>
    <t>TNC 0318 / 2026</t>
  </si>
  <si>
    <t>Segue notificação para analise:
[item:sas:qms:occurrence:9327]</t>
  </si>
  <si>
    <t>Tratativa de Não Conformidade - Fev/26 (NSP - Falta da avalição de eficacia em treinamentos: 2803)</t>
  </si>
  <si>
    <t>TNC 0319 / 2026</t>
  </si>
  <si>
    <t>Segue notificação para analise:
[item:sas:qms:occurrence:9440]</t>
  </si>
  <si>
    <t>Tratativa de Não Conformidade - Fev/26 (Manutenção - obras sem comunicação previa: 2787)</t>
  </si>
  <si>
    <t>TNC 0320 / 2026</t>
  </si>
  <si>
    <t>Segue notificação para analise:
[item:sas:qms:occurrence:9396]</t>
  </si>
  <si>
    <t>Tratativa de Não Conformidade - Fev/26 (OPME - ausencia de materiais: 2883; 2884)</t>
  </si>
  <si>
    <t>TNC 0321 / 2026</t>
  </si>
  <si>
    <t>Segue notificações para analise:
[item:sas:qms:occurrence:9803]
[item:sas:qms:occurrence:9804]</t>
  </si>
  <si>
    <t>Tratativa de Não Conformidade - Fev/26 (PAM - comunicação e identiicação na transferencia de pacientes: 2838; 2857)</t>
  </si>
  <si>
    <t>TNC 0322 / 2026</t>
  </si>
  <si>
    <t>Segue notificações para analise:
[item:sas:qms:occurrence:9603]
[item:sas:qms:occurrence:9732]</t>
  </si>
  <si>
    <t>Tratativa de Não Conformidade - Fev/26 (PAM - identificação e segurança medicamentosa: 2858)</t>
  </si>
  <si>
    <t>TNC 0323 / 2026</t>
  </si>
  <si>
    <t>Segue notificação para analise:
[item:sas:qms:occurrence:9733]</t>
  </si>
  <si>
    <t>Tratativa de Não Conformidade - Fev/26 (PAM - encaminhamento de materiais sem identificação correta: 2828)</t>
  </si>
  <si>
    <t>TNC 0324 / 2026</t>
  </si>
  <si>
    <t>Segue notificação para analise:
[item:sas:qms:occurrence:9523]</t>
  </si>
  <si>
    <t>Tratativa de Não Conformidade - Fev/26 (PAM - não conformidade nos registros de prontuario: 2793; 2812)</t>
  </si>
  <si>
    <t>TNC 0325 / 2026</t>
  </si>
  <si>
    <t>Segue notificações para analise:
[item:sas:qms:occurrence:9409]
[item:sas:qms:occurrence:9462]</t>
  </si>
  <si>
    <t>Tratativa de Não Conformidade - Fev/26 (PS - Não conformidade na entrega de materiais ao CME: 2782; 2827; 2844)</t>
  </si>
  <si>
    <t>TNC 0326 / 2026</t>
  </si>
  <si>
    <t>Segue notificações para analise:
[item:sas:qms:occurrence:9376]
[item:sas:qms:occurrence:9522]
[item:sas:qms:occurrence:9631]</t>
  </si>
  <si>
    <t>Tratativa de Não Conformidade - Fev/26 (PS - Ficha de notificação desatualizada: 2816; 2854; 2855)</t>
  </si>
  <si>
    <t>TNC 0327 / 2026</t>
  </si>
  <si>
    <t>Segue notificações para analise:
[item:sas:qms:occurrence:9473]
[item:sas:qms:occurrence:9722]
[item:sas:qms:occurrence:9724]</t>
  </si>
  <si>
    <t>Tratativa de Não Conformidade - Fev/26 (PS - divergencia em dados prontuario: 2792)</t>
  </si>
  <si>
    <t>TNC 0328 / 2026</t>
  </si>
  <si>
    <t>Segue notificação para analise:
[item:sas:qms:occurrence:9408]</t>
  </si>
  <si>
    <t>Tratativa de Não Conformidade - Fev/26 (PS - Pendencia em avaliação de eficacia de treinamentos: 2797)</t>
  </si>
  <si>
    <t>TNC 0329 / 2026</t>
  </si>
  <si>
    <t>Não efetiva</t>
  </si>
  <si>
    <t>Segue notificação para analise:
[item:sas:qms:occurrence:9424]</t>
  </si>
  <si>
    <t>Tratativa de Não Conformidade - Fev/26 (PS - Uso de adornos: 2805)</t>
  </si>
  <si>
    <t>TNC 0330 / 2026</t>
  </si>
  <si>
    <t>Segue notficação para analise:
[item:sas:qms:occurrence:9443]</t>
  </si>
  <si>
    <t>Tratativa de Não Conformidade - Fev/26 (PS - extravio de material: 2815)</t>
  </si>
  <si>
    <t>TNC 0331 / 2026</t>
  </si>
  <si>
    <t>Segue notificação para analise:
[item:sas:qms:occurrence:9471]</t>
  </si>
  <si>
    <t>Tratativa de Não Conformidade - Fev/26 (PS - armazenamento e movimentação indevida: 2864)</t>
  </si>
  <si>
    <t>TNC 0332 / 2026</t>
  </si>
  <si>
    <t>Segue notificação para analise:
[item:sas:qms:occurrence:9740]</t>
  </si>
  <si>
    <t>Tratativa de Não Conformidade - Fev/26 (PS - Relatorio de Ocorrencias Transfusionais: 2878)</t>
  </si>
  <si>
    <t>TNC 0333 / 2026</t>
  </si>
  <si>
    <t>Segue notificação para analise:
[item:sas:qms:occurrence:9783]</t>
  </si>
  <si>
    <t>Tratativa de Não Conformidade - Fev/26 (PS - Assistencia psicologica ao obito: 2903)</t>
  </si>
  <si>
    <t>TNC 0334 / 2026</t>
  </si>
  <si>
    <t>Segue notificação para analise:
[item:sas:qms:occurrence:9886]</t>
  </si>
  <si>
    <t>Tratativa de Não Conformidade - Fev/26 (PSICO - Envio de materiais sem identificação adequada: 2826)</t>
  </si>
  <si>
    <t>TNC 0335 / 2026</t>
  </si>
  <si>
    <t>Segue notificação para analise:
[item:sas:qms:occurrence:9520]</t>
  </si>
  <si>
    <t>Tratativa de Não Conformidade - Fev/26 (PSICO - Relatorio de Ocorrencias Transfusionais: 2879)</t>
  </si>
  <si>
    <t>TNC 0336 / 2026</t>
  </si>
  <si>
    <t>Segue notificação para analise:
[item:sas:qms:occurrence:9784]</t>
  </si>
  <si>
    <t>Tratativa de Não Conformidade - Fev/26 (Recepção - Cadastro de pacientes: 2772)</t>
  </si>
  <si>
    <t>TNC 0337 / 2026</t>
  </si>
  <si>
    <t>Segue notificação para analise:
[item:sas:qms:occurrence:9334]</t>
  </si>
  <si>
    <t>Tratativa de Não Conformidade - Fev/26 (Recepção - entrada de paciente a area de internação: 2902)</t>
  </si>
  <si>
    <t>TNC 0338 / 2026</t>
  </si>
  <si>
    <t>Segue notificação para analise:
[item:sas:qms:occurrence:9866]</t>
  </si>
  <si>
    <t>Tratativa de Não Conformidade - Fev/26 (SCIH - avaliação de eficacia: 2799)</t>
  </si>
  <si>
    <t>TNC 0339 / 2026</t>
  </si>
  <si>
    <t>Segue notificação para analise:
[item:sas:qms:occurrence:9434]</t>
  </si>
  <si>
    <t>Tratativa de Não Conformidade - Fev/26 (T.I - Avaliação de Desempenho: 2849)</t>
  </si>
  <si>
    <t>TNC 0340 / 2026</t>
  </si>
  <si>
    <t>Segue notificação para analise:
[item:sas:qms:occurrence:9660]</t>
  </si>
  <si>
    <t>Tratativa de Não Conformidade - Fev/26 (SESMT - Aceite de atestado medico: 2872)</t>
  </si>
  <si>
    <t>TNC 0341 / 2026</t>
  </si>
  <si>
    <t>Segue notificação para analise:
[item:sas:qms:occurrence:9776]</t>
  </si>
  <si>
    <t>Tratativa de Não Conformidade - Fev/26 (Faturamento - divergencia em pendencias: 2804)</t>
  </si>
  <si>
    <t>TNC 0342 / 2026</t>
  </si>
  <si>
    <t>Segue notificação para analise:
[item:sas:qms:occurrence:9441]</t>
  </si>
  <si>
    <t>Tratativa de Não Conformidade - Fev/26 (Patrimonio - Avaliação de Eficacia: 2800)</t>
  </si>
  <si>
    <t>TNC 0343 / 2026</t>
  </si>
  <si>
    <t>Segue notificação para analise:
[item:sas:qms:occurrence:9437]</t>
  </si>
  <si>
    <t>Tratativa de Não Conformidade - Fev/26 (Almoxarifado - Entrega de materiais e insumos: 2769; 2890)</t>
  </si>
  <si>
    <t>TNC 0344 / 2026</t>
  </si>
  <si>
    <t>Segue notificações para analise:
[item:sas:qms:occurrence:9329]
[item:sas:qms:occurrence:9837]</t>
  </si>
  <si>
    <t>Tratativa de Não Conformidade - Fev/26 (SLH - Cronograma de limpeza setorial: 2842)</t>
  </si>
  <si>
    <t>TNC 0345 / 2026</t>
  </si>
  <si>
    <t>Segue notificação para analise:
[item:sas:qms:occurrence:9620]</t>
  </si>
  <si>
    <t>Tratativa de Não Conformidade - Fev/26 (SRP - Entrega de insumos: 2820; 2821)</t>
  </si>
  <si>
    <t>TNC 0346 / 2026</t>
  </si>
  <si>
    <t>Segue notificações para analise:
[item:sas:qms:occurrence:9515]
[item:sas:qms:occurrence:9515]</t>
  </si>
  <si>
    <t>Tratativa de Não Conformidade - Fev/26 (UCI - Materiais incompletos: 2845; 2846)</t>
  </si>
  <si>
    <t>TNC 0347 / 2026</t>
  </si>
  <si>
    <t>Segue notificações para analise:
[item:sas:qms:occurrence:9632]
[item:sas:qms:occurrence:9635]</t>
  </si>
  <si>
    <t>Tratativa de Não Conformidade - Fev/26 (UCI - Relatorio de Ocorrencias Transfusionais: 2877)</t>
  </si>
  <si>
    <t>TNC 0348 / 2026</t>
  </si>
  <si>
    <t>Segue notificação para analise:
[item:sas:qms:occurrence:9782]</t>
  </si>
  <si>
    <t>Tratativa de Não Conformidade - Fev/26 (Clinica Cirurgica - Encaminhamento de pacientes a cirurgia: 2774; 2825; 2839)</t>
  </si>
  <si>
    <t>TNC 0349 / 2026</t>
  </si>
  <si>
    <t>Segue notificações para analise:
[item:sas:qms:occurrence:9350]
[item:sas:qms:occurrence:9518]
[item:sas:qms:occurrence:9604]</t>
  </si>
  <si>
    <t>Tratativa de Não Conformidade - Fev/26 (Clinica Cirurgica - solicitação fora do cronograma: 2798)</t>
  </si>
  <si>
    <t>TNC 0350 / 2026</t>
  </si>
  <si>
    <t>Segue notificação para analise:
[item:sas:qms:occurrence:9431]</t>
  </si>
  <si>
    <t>Tratativa de Não Conformidade - Fev/26 (Clinica Cirurgica - Uso de adornos: 2887)</t>
  </si>
  <si>
    <t>TNC 0351 / 2026</t>
  </si>
  <si>
    <t>Segue notificação para analise:
[item:sas:qms:occurrence:9817]</t>
  </si>
  <si>
    <t>Tratativa de Não Conformidade - Fev/26 (Clinica Cirurgica - Armazenamento de itens: 2896)</t>
  </si>
  <si>
    <t>TNC 0352 / 2026</t>
  </si>
  <si>
    <t>Segue notificação para analise:
[item:sas:qms:occurrence:9848]</t>
  </si>
  <si>
    <t>Tratativa de Não Conformidade - Fev/26 (Clinica Medica - Divergencias em alta e prontuario: 2756; 2795; 2802; 2847; 2848; 2853)</t>
  </si>
  <si>
    <t>TNC 0353 / 2026</t>
  </si>
  <si>
    <t>Segue noificações para analise:
[item:sas:qms:occurrence:9291]
[item:sas:qms:occurrence:9412]
[item:sas:qms:occurrence:9436]
[item:sas:qms:occurrence:9656]
[item:sas:qms:occurrence:9658]
[item:sas:qms:occurrence:9695]</t>
  </si>
  <si>
    <t>Tratativa de Não Conformidade - Fev/26 (Clinica Medica - Notificações compulsorias: 2762)</t>
  </si>
  <si>
    <t>TNC 0354 / 2026</t>
  </si>
  <si>
    <t>Segue notificação para analise:
[item:sas:qms:occurrence:9308]</t>
  </si>
  <si>
    <t>Tratativa de Não Conformidade - Fev/26 (Clinica Medica - transporte de pacientes: 2768)</t>
  </si>
  <si>
    <t>TNC 0355 / 2026</t>
  </si>
  <si>
    <t>Segue notificação para analise:
[item:sas:qms:occurrence:9328]</t>
  </si>
  <si>
    <t>Tratativa de Não Conformidade - Fev/26 (Clinica Medica - material contaminado: 2824)</t>
  </si>
  <si>
    <t>TNC 0356 / 2026</t>
  </si>
  <si>
    <t>Segue notificação para analise:
[item:sas:qms:occurrence:9519]</t>
  </si>
  <si>
    <t>Tratativa de Não Conformidade - Fev/26 (Clinica Medica - Relatorio de Ocorrencias Transfusionais: 2874)</t>
  </si>
  <si>
    <t>TNC 0357 / 2026</t>
  </si>
  <si>
    <t>Segue notificação para analise:
[item:sas:qms:occurrence:9779]</t>
  </si>
  <si>
    <t>Tratativa de Não Conformidade - Fev/26 (Clinica Medica - Uso de adornos: 2885)</t>
  </si>
  <si>
    <t>TNC 0358 / 2026</t>
  </si>
  <si>
    <t>Segue notificação para analise:
[item:sas:qms:occurrence:9814]</t>
  </si>
  <si>
    <t>Tratativa de Não Conformidade - Fev/26 (Clinica Medica - Armazenamento de itens: 2895)</t>
  </si>
  <si>
    <t>TNC 0359 / 2026</t>
  </si>
  <si>
    <t>Segue notificação para analise:
[item:sas:qms:occurrence:9846]</t>
  </si>
  <si>
    <t>Tratativa de Não Conformidade - Fev/26 (CGO - Itens no carro de emergencia: 2780)</t>
  </si>
  <si>
    <t>TNC 0360 / 2026</t>
  </si>
  <si>
    <t>Segue notificação para analise:
[item:sas:qms:occurrence:9372]</t>
  </si>
  <si>
    <t>Tratativa de Não Conformidade - Fev/26 (CGO - Pendencia de alta: 2794; 2851)</t>
  </si>
  <si>
    <t>TNC 0361 / 2026</t>
  </si>
  <si>
    <t>Segue notificações para analise:
[item:sas:qms:occurrence:9410]
[item:sas:qms:occurrence:9692]</t>
  </si>
  <si>
    <t>Tratativa de Não Conformidade - Fev/26 (CGO - Materiais contaminados: 2823)</t>
  </si>
  <si>
    <t>TNC 0362 / 2026</t>
  </si>
  <si>
    <t>Segue notificação para analise:
[item:sas:qms:occurrence:9517]</t>
  </si>
  <si>
    <t>Tratativa de Não Conformidade - Fev/26 (CGO - Relatorio de Ocorrencias Trasnfusionais: 2876)</t>
  </si>
  <si>
    <t>TNC 0363 / 2026</t>
  </si>
  <si>
    <t>Segue notificação para analise:
[item:sas:qms:occurrence:9781]</t>
  </si>
  <si>
    <t>Tratativa de Não Conformidade - Fev/26 (Clinica Ortopedica - Altas pendentes: 2796)</t>
  </si>
  <si>
    <t>TNC 0364 / 2026</t>
  </si>
  <si>
    <t>Segue notificação para analise:
[item:sas:qms:occurrence:9413]</t>
  </si>
  <si>
    <t>Tratativa de Não Conformidade - Fev/26 (Pediatria - biossegurança: 2818; 2873)</t>
  </si>
  <si>
    <t>TNC 0365 / 2026</t>
  </si>
  <si>
    <t>Segue notificações para analise:
[item:sas:qms:occurrence:9510]
[item:sas:qms:occurrence:9778]</t>
  </si>
  <si>
    <t>Tratativa de Não Conformidade - Fev/26 (Pediatria - falta de acesso: 2850)</t>
  </si>
  <si>
    <t>TNC 0366 / 2026</t>
  </si>
  <si>
    <t>Segue notificação para analise:
[item:sas:qms:occurrence:9677]</t>
  </si>
  <si>
    <t>Tratativa de Não Conformidade - Fev/26 (Pediatria - Relatorio de Ocorrencias Transfusionais: 2875)</t>
  </si>
  <si>
    <t>TNC 0367 / 2026</t>
  </si>
  <si>
    <t>Segue notificação para analise:
[item:sas:qms:occurrence:9780]</t>
  </si>
  <si>
    <t>Tratativa de Não Conformidade - Fev/26 (Pediatria - material incompleto: 2900)</t>
  </si>
  <si>
    <t>TNC 0368 / 2026</t>
  </si>
  <si>
    <t>Segue notificação para analise:
[item:sas:qms:occurrence:9852]</t>
  </si>
  <si>
    <t>Tratativa de Não Conformidade - Fev/26 (UTI - Materiais e instrumentos: 2781; 2783; 2789; 2822; 2894; 2904)</t>
  </si>
  <si>
    <t>TNC 0369 / 2026</t>
  </si>
  <si>
    <t>Segue notificações para analise:
[item:sas:qms:occurrence:9375]
[item:sas:qms:occurrence:9377]
[item:sas:qms:occurrence:9401]
[item:sas:qms:occurrence:9516]
[item:sas:qms:occurrence:9845]
[item:sas:qms:occurrence:9923]</t>
  </si>
  <si>
    <t>Tratativa de Não Conformidade - Fev/26 (UTI - organização de prontuario e divergencias: 2852; 2862; 2925)</t>
  </si>
  <si>
    <t>TNC 0370 / 2026</t>
  </si>
  <si>
    <t>Segue notificações para analise:
[item:sas:qms:occurrence:9693]
[item:sas:qms:occurrence:9738]
[item:sas:qms:occurrence:10008]</t>
  </si>
  <si>
    <t>Tratativa de Não Conformidade - Fev/26 (UTI - Devolução de medicamentos: 2777)</t>
  </si>
  <si>
    <t>TNC 0371 / 2026</t>
  </si>
  <si>
    <t>Segue notificação para analise:
[item:sas:qms:occurrence:9356]</t>
  </si>
  <si>
    <t>Tratativa de Não Conformidade - Fev/26 (UTI - 2843)</t>
  </si>
  <si>
    <t>TNC 0372 / 2026</t>
  </si>
  <si>
    <t>Segue notificação para analise:
[item:sas:qms:occurrence:9628]</t>
  </si>
  <si>
    <t>Tratativa de Não Conformidade - Fev/26 (UTI - Uso de adornos: 2881)</t>
  </si>
  <si>
    <t>TNC 0373 / 2026</t>
  </si>
  <si>
    <t>Segue notificação para analise:
[item:sas:qms:occurrence:9799]</t>
  </si>
  <si>
    <t>Tratativa de Não Conformidade - Fev/26 (Almoxarifado - Desabastecimento de materiais e insumos: 2770; 2771)</t>
  </si>
  <si>
    <t>TNC 0374 / 2026</t>
  </si>
  <si>
    <t>Segue notificações para analise:
[item:sas:qms:occurrence:9330]
[item:sas:qms:occurrence:9331]</t>
  </si>
  <si>
    <t>TNC 0375 / 2026</t>
  </si>
  <si>
    <t>TNC 0376 / 2026</t>
  </si>
  <si>
    <t>TNC 0377 / 2026</t>
  </si>
  <si>
    <t xml:space="preserve">PEDIDO DE MATERAL FORA DE HORARIO </t>
  </si>
  <si>
    <t>TNC 0378 / 2026</t>
  </si>
  <si>
    <t>Durante o plantão noturno no dia 04/04//2026, o enfermeiro realizou os pedidos de insumos para os setores clinica cirúrgica (13 pedidos) e ortopedia (4 pedidos), os pedidos foram feitos entre as  19:15 as 19:25 da noite, que eram para ser entregues para a farmácia até as 22:00h para serem separados e deixados prontos para o plantão diurno entregar, porem não foi, o pedido sendo entregue na farmácia apenas as 07:20 da manhã do dia 05/04/2026, sendo totalmente fora do que já foi acordado, sabendo que a rotina de separação de insumos é diretamente ligada a rotina do plantão noturno, com isso gera atrasos e transtornos na rotina do plantão diurno, notifico para melhoria desse processo.</t>
  </si>
  <si>
    <t>TNC 0379 / 2026</t>
  </si>
  <si>
    <t>Tratativa de Não Conformidade - Mar/26 (Ambulatorio - Encaminhamento inadequado de material: 3043)</t>
  </si>
  <si>
    <t>TNC 0380 / 2026</t>
  </si>
  <si>
    <t>Segue notificação para analise:
[item:sas:qms:occurrence:10477]</t>
  </si>
  <si>
    <t>Tratativa de Não Conformidade - Mar/26 (Banco de Leite - Solicitação fora do cronograma: 3091)</t>
  </si>
  <si>
    <t>TNC 0381 / 2026</t>
  </si>
  <si>
    <t>Segue notificação para analise:
[item:sas:qms:occurrence:10609]</t>
  </si>
  <si>
    <t>Tratativa de Não Conformidade - Mar/26 (Centro Cirurgico - Organização setorial: 3040)</t>
  </si>
  <si>
    <t>TNC 0382 / 2026</t>
  </si>
  <si>
    <t>Segue notificação para analise:
[item:sas:qms:occurrence:10469]</t>
  </si>
  <si>
    <t>Tratativa de Não Conformidade - Mar/26 (Centro Cirurgico - Material CME: 2918; 3041)</t>
  </si>
  <si>
    <t>TNC 0383 / 2026</t>
  </si>
  <si>
    <t>Segue notificação para analise:
[item:sas:qms:occurrence:9996]
[item:sas:qms:occurrence:10470]</t>
  </si>
  <si>
    <t>Tratativa de Não Conformidade - Mar/26 (Centro Cirurgico - Prontuarios com pendencias nos registros: 2947; 2966; 3058)</t>
  </si>
  <si>
    <t>TNC 0384 / 2026</t>
  </si>
  <si>
    <t>Segue notificações para analise:
[item:sas:qms:occurrence:10506]
[item:sas:qms:occurrence:10052]
[item:sas:qms:occurrence:10115]</t>
  </si>
  <si>
    <t>Tratativa de Não Conformidade - Mar/26 (Centro Cirurgico - Identificação de Dispositivos e Curativos: 3063)</t>
  </si>
  <si>
    <t>TNC 0385 / 2026</t>
  </si>
  <si>
    <t>Segue notificação para analise:
[item:sas:qms:occurrence:10512]</t>
  </si>
  <si>
    <t>Tratativa de Não Conformidade - Mar/26 (Centro Cirurgico - Equipamento Danificado: 2912; 3064)</t>
  </si>
  <si>
    <t>TNC 0386 / 2026</t>
  </si>
  <si>
    <t>Segue notificação para analise:
[item:sas:qms:occurrence:10513]
[item:sas:qms:occurrence:9975]</t>
  </si>
  <si>
    <t>Tratativa de Não Conformidade - Mar/26 (Ambulatorio - Encaminhamento de paciente: 2959)</t>
  </si>
  <si>
    <t>TNC 0387 / 2026</t>
  </si>
  <si>
    <t>Segue notificação para analise:
[item:sas:qms:occurrence:10096]</t>
  </si>
  <si>
    <t>Tratativa de Não Conformidade - Mar/26 (Centro Cirurgico - OPME: 2908; 2968; 2980; 2982)</t>
  </si>
  <si>
    <t>TNC 0388 / 2026</t>
  </si>
  <si>
    <t>Segue notificações para analise:
[item:sas:qms:occurrence:9948]
[item:sas:qms:occurrence:10145]
[item:sas:qms:occurrence:10221]
[item:sas:qms:occurrence:10222]</t>
  </si>
  <si>
    <t>Tratativa de Não Conformidade - Mar/26 (Centro Cirurgico - Prontuarios vencidos: 3007; 3008)</t>
  </si>
  <si>
    <t>TNC 0389 / 2026</t>
  </si>
  <si>
    <t>Segue notificações para analise:
[item:sas:qms:occurrence:10399]
[item:sas:qms:occurrence:10404]</t>
  </si>
  <si>
    <t>Tratativa de Não Conformidade - Mar/26 (Centro Cirurgico - Reprogramação de PAT: 2976)</t>
  </si>
  <si>
    <t>TNC 0390 / 2026</t>
  </si>
  <si>
    <t>Segue notificação para analise:
[item:sas:qms:occurrence:10203]</t>
  </si>
  <si>
    <t>EnferTratativa de Não Conformidade - Mar/26 (Centro Cirurgico - Conduta colaborador: 2987)</t>
  </si>
  <si>
    <t>TNC 0391 / 2026</t>
  </si>
  <si>
    <t>Segue notificação para analise:
[item:sas:qms:occurrence:10251]</t>
  </si>
  <si>
    <t>Tratativa de Não Conformidade - Mar/26 (Centro Cirurgico - Segurança Radiologica: 2999)</t>
  </si>
  <si>
    <t>TNC 0392 / 2026</t>
  </si>
  <si>
    <t>Segue notificação para analise:
[item:sas:qms:occurrence:10342]</t>
  </si>
  <si>
    <t>Tratativa de Não Conformidade - Mar/26 (CGO - Registro de Alta: 2914; 2964; 2978; 2979; 2985; 3013; 3027)</t>
  </si>
  <si>
    <t>TNC 0393 / 2026</t>
  </si>
  <si>
    <t>Segue notificações para analise:
[item:sas:qms:occurrence:9984]
[item:sas:qms:occurrence:10103]
[item:sas:qms:occurrence:10215]
[item:sas:qms:occurrence:10219]
[item:sas:qms:occurrence:10227]
[item:sas:qms:occurrence:10414]
[item:sas:qms:occurrence:10442]</t>
  </si>
  <si>
    <t>Tratativa de Não Conformidade - Mar/26 (CGO - Ausência de Evolução: 2948; 3054)</t>
  </si>
  <si>
    <t>TNC 0394 / 2026</t>
  </si>
  <si>
    <t>Segue notificações para analise:
[item:sas:qms:occurrence:10055]
[item:sas:qms:occurrence:10498]</t>
  </si>
  <si>
    <t>Tratativa de Não Conformidade - Mar/26 (CGO - Procedimento de acesso venoso periferico: 2993)</t>
  </si>
  <si>
    <t>TNC 0395 / 2026</t>
  </si>
  <si>
    <t>Segue notificação para analise:
[item:sas:qms:occurrence:10283]</t>
  </si>
  <si>
    <t>Tratativa de Não Conformidade - Mar/26 (CGO - Prontuarios parados: 3042; 3048)</t>
  </si>
  <si>
    <t>TNC 0396 / 2026</t>
  </si>
  <si>
    <t>Segue notificações para analise:
[item:sas:qms:occurrence:10474]
[item:sas:qms:occurrence:10489]</t>
  </si>
  <si>
    <t>Tratativa de Não Conformidade - Mar/26 (CGO - Passagem de SBAR: 3115)</t>
  </si>
  <si>
    <t>TNC 0397 / 2026</t>
  </si>
  <si>
    <t>Segue notificação para analise:
[item:sas:qms:occurrence:10665]</t>
  </si>
  <si>
    <t>Tratativa de Não Conformidade - Mar/26 (CME - Processamento de esterilização: 2916; 3073)</t>
  </si>
  <si>
    <t>TNC 0398 / 2026</t>
  </si>
  <si>
    <t>Segue notificações para analise:
[item:sas:qms:occurrence:9993]
[item:sas:qms:occurrence:10532]</t>
  </si>
  <si>
    <t>TNC 0399 / 2026</t>
  </si>
  <si>
    <t>Tratativa de Não Conformidade - Mar/26 (CME - Fita de Identificação: 3025)</t>
  </si>
  <si>
    <t>TNC 0400 / 2026</t>
  </si>
  <si>
    <t>Segue notificação para analise:
[item:sas:qms:occurrence:10439]</t>
  </si>
  <si>
    <t>Tratativa de Não Conformidade - Mar/26 (Controle de Acesso - Autorização indevida de entrada/saida: 2917; 2950; 2969; 2991; 2992)</t>
  </si>
  <si>
    <t>TNC 0401 / 2026</t>
  </si>
  <si>
    <t>Segue notificações para analise:
[item:sas:qms:occurrence:9994]
[item:sas:qms:occurrence:10067]
[item:sas:qms:occurrence:10146]
[item:sas:qms:occurrence:10280]
[item:sas:qms:occurrence:10281]</t>
  </si>
  <si>
    <t>Tratativa de Não Conformidade - Mar/26 (NIR - progrmação de treinamentos e avaliação de eficacia: 2921; 2975)</t>
  </si>
  <si>
    <t>TNC 0402 / 2026</t>
  </si>
  <si>
    <t>Segue notificações para analise:
[item:sas:qms:occurrence:10002]</t>
  </si>
  <si>
    <t>Tratativa de Não Conformidade - Mar/26 (NIR - Divergencia data alta: 2924;2949;2957;2967;2970;2973;2995;3002;3005)</t>
  </si>
  <si>
    <t>TNC 0403 / 2026</t>
  </si>
  <si>
    <t>Segue notificações para analise:
[item:sas:qms:occurrence:10007]
[item:sas:qms:occurrence:10058]
[item:sas:qms:occurrence:10091]
[item:sas:qms:occurrence:10144]
[item:sas:qms:occurrence:10152]
[item:sas:qms:occurrence:10196]
[item:sas:qms:occurrence:10290]
[item:sas:qms:occurrence:10344]
[item:sas:qms:occurrence:10391]</t>
  </si>
  <si>
    <t>TNC 0404 / 2026</t>
  </si>
  <si>
    <t>Almerio Bentes Picanco Junior</t>
  </si>
  <si>
    <t>RECEBI PACIENTE ÁS 16:43 DO CENTRO CIRURGICO DIA 28/03 COM MAL HIGIENE, COM EVACUAÇAO PRESENTE EM FRALDA, ESTAVA TOTALMENTE SUJO AO0 CHEGAR NO SETOR
SETOR QUE QUERO NOTIFICAR E O CENTRO CIRURGICO
[fig:vfs:1755]</t>
  </si>
  <si>
    <t>Tratativa de Não Conformidade - Mar/26 (NIR - Reparo e Movimentação: 2953; 2954)</t>
  </si>
  <si>
    <t>TNC 0405 / 2026</t>
  </si>
  <si>
    <t>Segue notificações para analise:
[item:sas:qms:occurrence:10080]
[item:sas:qms:occurrence:10081]</t>
  </si>
  <si>
    <t>Tratativa de Não Conformidade - Mar/26 (NIR - Solicitação de Nota fiscais: 2984)</t>
  </si>
  <si>
    <t>TNC 0406 / 2026</t>
  </si>
  <si>
    <t>Segue notificação para analise:
[item:sas:qms:occurrence:10226]</t>
  </si>
  <si>
    <t>Tratativa de Não Conformidade - Mar/26 (NIR - Prontuarios pendentes: 3045; 3046; 3050)</t>
  </si>
  <si>
    <t>TNC 0407 / 2026</t>
  </si>
  <si>
    <t>Segue notificações para analise:
[item:sas:qms:occurrence:10484]
[item:sas:qms:occurrence:10486]
[item:sas:qms:occurrence:10485]</t>
  </si>
  <si>
    <t>Tratativa de Não Conformidade - Mar/26 (NIR - Regulação de leito: 3114)</t>
  </si>
  <si>
    <t>TNC 0408 / 2026</t>
  </si>
  <si>
    <t>Segue notificação para analise:
[item:sas:qms:occurrence:10664]</t>
  </si>
  <si>
    <t>Tratativa de Não Conformidade - Mar/26 (CPN - Mapa de dietas: 2996)</t>
  </si>
  <si>
    <t>TNC 0409 / 2026</t>
  </si>
  <si>
    <t>Segue notificação para analise:
[item:sas:qms:occurrence:10291]</t>
  </si>
  <si>
    <t>Tratativa de Não Conformidade - Mar/26 (Farmacia - Desabastecimento: 2936; 3062)</t>
  </si>
  <si>
    <t>TNC 0410 / 2026</t>
  </si>
  <si>
    <t>Segue notificação para analise:
[item:sas:qms:occurrence:10033]
[item:sas:qms:occurrence:10511]</t>
  </si>
  <si>
    <t>Tratativa de Não Conformidade - Mar/26 (Fisioterapia - Pendencia de prescrição: 3026)</t>
  </si>
  <si>
    <t>TNC 0411 / 2026</t>
  </si>
  <si>
    <t>Segue notificação para analise:
[item:sas:qms:occurrence:10441]</t>
  </si>
  <si>
    <t>Tratativa de Não Conformidade - Mar/26 (Clinica Medica - Processo de alta: 2930; 3016)</t>
  </si>
  <si>
    <t>TNC 0412 / 2026</t>
  </si>
  <si>
    <t>Segue notificações para analise:
[item:sas:qms:occurrence:10020]
[item:sas:qms:occurrence:10418]</t>
  </si>
  <si>
    <t>TNC 0413 / 2026</t>
  </si>
  <si>
    <t>FARMACIA DIURNO IMPAR
A FARMACIA AS VEZES TEM OS MATERIAIS DISPONIVEIS, POREM QUANDO VAMOS SOLICITAR VIA SISTEMA NAO TEM ESTOQUE, ISSO VEM ACONTECENCEDO QUASE TODO PLANTAO
A MEDICAÇAO ESTA PRESCRITA, DESCE A 2° VIA POREM NAO SOBE COM AS MEDICAÇOES CORRETAS. AS VEZES ESTAMOS SEM SISTEMA E NAO CONSEGUIMOS TER RESOLUTIVIDADE
AO SOLICITAR KIT DE AVP, MATERIAIS DE CURATIVOS E ETC.</t>
  </si>
  <si>
    <t>TNC 0414 / 2026</t>
  </si>
  <si>
    <t>Tratativa de Não Conformidade - Mar/26 (Clinica Médica - Envio de materiais ao CME: 2933; 2960)</t>
  </si>
  <si>
    <t>TNC 0415 / 2026</t>
  </si>
  <si>
    <t>Segue notificações para analise:
[item:sas:qms:occurrence:10030]
[item:sas:qms:occurrence:10097]</t>
  </si>
  <si>
    <t>Tratativa de Não Conformidade - Mar/26 (Clinica Médica - Avaliação de Eficacia em treinamentos: 2946)</t>
  </si>
  <si>
    <t>TNC 0416 / 2026</t>
  </si>
  <si>
    <t>Segue notificação para analise:
[item:sas:qms:occurrence:10051]</t>
  </si>
  <si>
    <t>Tratativa de Não Conformidade - Mar/26 (Clinica Médica - Pendência de Alta: 2977; 3028)</t>
  </si>
  <si>
    <t>TNC 0417 / 2026</t>
  </si>
  <si>
    <t>Segue notificação para analise:
[item:sas:qms:occurrence:10212]
[item:sas:qms:occurrence:10444]</t>
  </si>
  <si>
    <t>Tratativa de Não Conformidade - Mar/26 (Clinica Médica - Conduta no atendimento ao obito: 3051)</t>
  </si>
  <si>
    <t>TNC 0418 / 2026</t>
  </si>
  <si>
    <t>Segue notificação para analise:
[item:sas:qms:occurrence:10494]</t>
  </si>
  <si>
    <t>Tratativa de Não Conformidade - Mar/26 (Clinica Médica - Pendencia de dados em notificação compulsoria: 3077)</t>
  </si>
  <si>
    <t>TNC 0419 / 2026</t>
  </si>
  <si>
    <t>Seguie notificação para analise:
[item:sas:qms:occurrence:10562]</t>
  </si>
  <si>
    <t>Tratativa de Não Conformidade - Mar/26 (Clinica Médica - Extravio de material: 3086)</t>
  </si>
  <si>
    <t>TNC 0420 / 2026</t>
  </si>
  <si>
    <t>Segue notificação para analise:
[item:sas:qms:occurrence:10604]</t>
  </si>
  <si>
    <t>Tratativa de Não Conformidade - Mar/26 (GRSS - Avaliação de eficacia em treinamentos: 2945)</t>
  </si>
  <si>
    <t>TNC 0421 / 2026</t>
  </si>
  <si>
    <t>Segue notificação para analise:
[item:sas:qms:occurrence:10050]</t>
  </si>
  <si>
    <t>Tratativa de Não Conformidade - Mar/26 (Laboratorio - Pendencia no fluxo de coleta: 2928; 3070)</t>
  </si>
  <si>
    <t>TNC 0422 / 2026</t>
  </si>
  <si>
    <t>Segue notificações para analise:
[item:sas:qms:occurrence:10014]
[item:sas:qms:occurrence:10519]</t>
  </si>
  <si>
    <t>Tratativa de Não Conformidade - Mar/26 (MANU - Núcleo de Manutenção Geral - Atendimento a demanda de reparos estruturais: 3004)</t>
  </si>
  <si>
    <t>TNC 0423 / 2026</t>
  </si>
  <si>
    <t>Segue notificação para analise:
[item:sas:qms:occurrence:10367]</t>
  </si>
  <si>
    <t>Tratativa de Não Conformidade - Mar/26 (MANU - Nucleo de Manutenção Geral - Risco estrutural: 3006)</t>
  </si>
  <si>
    <t>TNC 0424 / 2026</t>
  </si>
  <si>
    <t>Segue notificação para analise:
[item:sas:qms:occurrence:10394]</t>
  </si>
  <si>
    <t>Tratativa de Não Conformidade - Mar/26 (MANU - Nucleo de Manutenção Geral - Movimentação de bens sem autorização: 3083)</t>
  </si>
  <si>
    <t>TNC 0425 / 2026</t>
  </si>
  <si>
    <t>Segue notificação para analise:
[item:sas:qms:occurrence:10577]</t>
  </si>
  <si>
    <t>Tratativa de Não Conformidade - Mar/26 (Nucleo de humanização - Reprogramação de PAT: 2974)</t>
  </si>
  <si>
    <t>TNC 0426 / 2026</t>
  </si>
  <si>
    <t>Segue notificação para analise:
[item:sas:qms:occurrence:10200]</t>
  </si>
  <si>
    <t>Tratativa de Não Conformidade - Mar/26 (Nutrição Clinica - Solicitação fora de cronograma: 2943; 3011)</t>
  </si>
  <si>
    <t>TNC 0427 / 2026</t>
  </si>
  <si>
    <t>Segue notificações para analise:
[item:sas:qms:occurrence:10043]
[item:sas:qms:occurrence:10410]</t>
  </si>
  <si>
    <t>Tratativa de Não Conformidade - Mar/26 (PAM - Processo de preparo de pacientes ao Centro Cirurgico: 2909)</t>
  </si>
  <si>
    <t>TNC 0428 / 2026</t>
  </si>
  <si>
    <t>Segue notificação para analise:
[item:sas:qms:occurrence:9950]</t>
  </si>
  <si>
    <t>Tratativa de Não Conformidade - Mar/26 (PAM - Comprometimento ao DDS: 3018)</t>
  </si>
  <si>
    <t>TNC 0429 / 2026</t>
  </si>
  <si>
    <t>Segue notificação para analise:
[item:sas:qms:occurrence:10427]</t>
  </si>
  <si>
    <t>Tratativa de Não Conformidade - Mar/26 (PAM - Inconsistencia em Notificação Compulsoria: 3072)</t>
  </si>
  <si>
    <t>TNC 0430 / 2026</t>
  </si>
  <si>
    <t>Segue notificação para analise:
[item:sas:qms:occurrence:10530]</t>
  </si>
  <si>
    <t>Tratativa de Não Conformidade - Mar/26 (PS - Inconsistencia em Ficha de Notificação Compulsoria: 3035; 3036; 3037; 3052; 3053; 3071 3087; 3088; 3089; 3090)</t>
  </si>
  <si>
    <t>TNC 0431 / 2026</t>
  </si>
  <si>
    <t>Segue notificações para analise:
[item:sas:qms:occurrence:10458]
[item:sas:qms:occurrence:10460]
[item:sas:qms:occurrence:10461]
[item:sas:qms:occurrence:10496]
[item:sas:qms:occurrence:10497]
[item:sas:qms:occurrence:10529]
[item:sas:qms:occurrence:10605]
[item:sas:qms:occurrence:10606]
[item:sas:qms:occurrence:10607]
[item:sas:qms:occurrence:10608]</t>
  </si>
  <si>
    <t>Tratativa de Não Conformidade - Mar/26 (PS - Alta tardia: 2931; 3015)</t>
  </si>
  <si>
    <t>TNC 0432 / 2026</t>
  </si>
  <si>
    <t>Segue notificações para analise:
[item:sas:qms:occurrence:10021]
[item:sas:qms:occurrence:10417]</t>
  </si>
  <si>
    <t>Tratativa de Não Conformidade - Mar/26 (PS - Diagnostico e motivo alta: 2915; 3034)</t>
  </si>
  <si>
    <t>TNC 0433 / 2026</t>
  </si>
  <si>
    <t>Segue notificações para analise:
[item:sas:qms:occurrence:9986]
[item:sas:qms:occurrence:10456]</t>
  </si>
  <si>
    <t>Tratativa de Não Conformidade - Mar/26 (PS -  Avaliação de eficacia de treinamentos: 2919)</t>
  </si>
  <si>
    <t>TNC 0434 / 2026</t>
  </si>
  <si>
    <t>Segue notificação para analise:
[item:sas:qms:occurrence:9997]</t>
  </si>
  <si>
    <t>Tratativa de Não Conformidade - Mar/26 (PS - Atendimento de traigem: 3084)</t>
  </si>
  <si>
    <t>TNC 0435 / 2026</t>
  </si>
  <si>
    <t>Segue notificação para analise:
[item:sas:qms:occurrence:10582]</t>
  </si>
  <si>
    <t>Tratativa de Não Conformidade - Mar/26 (STP - Serviço de Transporte de Pacientes - Atendimento a demandas solicitadas: 2952; 3111; 3112)</t>
  </si>
  <si>
    <t>TNC 0436 / 2026</t>
  </si>
  <si>
    <t>Segue notificações para analise:
[item:sas:qms:occurrence:10078]
[item:sas:qms:occurrence:10660]
[item:sas:qms:occurrence:10662]</t>
  </si>
  <si>
    <t>Tratativa de Não Conformidade - Mar/26 (SHL - Desbastacimento de materiais: 3065)</t>
  </si>
  <si>
    <t>TNC 0437 / 2026</t>
  </si>
  <si>
    <t>Segue notificação para analise:
[item:sas:qms:occurrence:10514]</t>
  </si>
  <si>
    <t>Tratativa de Não Conformidade - Mar/26 (SND - Corpo estranho em alimentação: 3080)</t>
  </si>
  <si>
    <t>TNC 0438 / 2026</t>
  </si>
  <si>
    <t>Segue notificação para analise:
[item:sas:qms:occurrence:10568]</t>
  </si>
  <si>
    <t>Tratativa de Não Conformidade - Mar/26 (SPR - Desabastecimento: 2937; 3066; 3067)</t>
  </si>
  <si>
    <t>TNC 0439 / 2026</t>
  </si>
  <si>
    <t>Segue notificações para analise:
[item:sas:qms:occurrence:10034]
[item:sas:qms:occurrence:10515]
[item:sas:qms:occurrence:10516]</t>
  </si>
  <si>
    <t>Tratativa de Não Conformidade - Mar/26 (UCI - Organização setorial: 2934; 2935; 2938; 2942)</t>
  </si>
  <si>
    <t>TNC 0440 / 2026</t>
  </si>
  <si>
    <t>Segue notificações para analise:
[item:sas:qms:occurrence:10031]
[item:sas:qms:occurrence:10032]
[item:sas:qms:occurrence:10035]
[item:sas:qms:occurrence:10041]</t>
  </si>
  <si>
    <t>Tratativa de Não Conformidade - Mar/26 (UCI - Material encaminhado indevidamente: 2907)</t>
  </si>
  <si>
    <t>TNC 0441 / 2026</t>
  </si>
  <si>
    <t>Segue notificação para analise:
[item:sas:qms:occurrence:9937]</t>
  </si>
  <si>
    <t>Tratativa de Não Conformidade - Mar/26 (UCI - Data alta divergente: 2961)</t>
  </si>
  <si>
    <t>TNC 0442 / 2026</t>
  </si>
  <si>
    <t>Segue notificação para analise:
[item:sas:qms:occurrence:10100]</t>
  </si>
  <si>
    <t>Tratativa de Não Conformidade - Mar/26 (UICC - Pendencias em Prontuario: 2981; 2983; 3017; 3022; 3023; 3024)</t>
  </si>
  <si>
    <t>TNC 0443 / 2026</t>
  </si>
  <si>
    <t>Segue notificações para analise:
[item:sas:qms:occurrence:10220]
[item:sas:qms:occurrence:10223]
[item:sas:qms:occurrence:10419]
[item:sas:qms:occurrence:10436]
[item:sas:qms:occurrence:10437]
[item:sas:qms:occurrence:10438]</t>
  </si>
  <si>
    <t>Tratativa de Não Conformidade - Mar/26 (UICC - Fluxo de solicitação de insumos: 3003)</t>
  </si>
  <si>
    <t>TNC 0444 / 2026</t>
  </si>
  <si>
    <t>Segue notificação para analise:
[item:sas:qms:occurrence:10351]</t>
  </si>
  <si>
    <t>Tratativa de Não Conformidade - Mar/26 (UICC - Atendimento de enfermagem: 3085)</t>
  </si>
  <si>
    <t>TNC 0445 / 2026</t>
  </si>
  <si>
    <t>Segue notificação para analise:
[item:sas:qms:occurrence:10593]</t>
  </si>
  <si>
    <t>Tratativa de Não Conformidade - Mar/26 (UICO - Processo de encaminhamento de pacientes ao Centro Cirurgico: 2920)</t>
  </si>
  <si>
    <t>TNC 0446 / 2026</t>
  </si>
  <si>
    <t>Segue notificação para analise:
[item:sas:qms:occurrence:9999]</t>
  </si>
  <si>
    <t>Tratativa de Não Conformidade - Mar/26 (UIO - Processo de encamimnhamento de documentos originais: 2932)</t>
  </si>
  <si>
    <t>TNC 0447 / 2026</t>
  </si>
  <si>
    <t>Segue notificação para analise:
[item:sas:qms:occurrence:10026]</t>
  </si>
  <si>
    <t>Tratativa de Não Conformidade - Mar/26 (UIO - Ausência de exames pós operatorios: 3033)</t>
  </si>
  <si>
    <t>TNC 0448 / 2026</t>
  </si>
  <si>
    <t>Segue noificação para analise:
[item:sas:qms:occurrence:10453]</t>
  </si>
  <si>
    <t>Tratativa de Não Conformidade - Mar/26 (UIO - Encaminhamento de paciente: 3068)</t>
  </si>
  <si>
    <t>TNC 0449 / 2026</t>
  </si>
  <si>
    <t>Segue notificação para analise:
[item:sas:qms:occurrence:10517]</t>
  </si>
  <si>
    <t>Tratativa de Não Conformidade - Mar/26 (PED - FLuxo de regulação de leito: 2929)</t>
  </si>
  <si>
    <t>TNC 0450 / 2026</t>
  </si>
  <si>
    <t>Segue notificação para analise:
[item:sas:qms:occurrence:10017]</t>
  </si>
  <si>
    <t>Tratativa de Não Conformidade - Mar/26 (UTI - Uso de equipamentos: 2913)</t>
  </si>
  <si>
    <t>TNC 0451 / 2026</t>
  </si>
  <si>
    <t>Segue notificação para analise:
[item:sas:qms:occurrence:9976]</t>
  </si>
  <si>
    <t>Tratativa de Não Conformidade - Mar/26 (UTI - Incosistencia no preenchimento da ficha de hemocomponentes: 3000)</t>
  </si>
  <si>
    <t>TNC 0452 / 2026</t>
  </si>
  <si>
    <t>Segue notificação para analise:
[item:sas:qms:occurrence:10341]</t>
  </si>
  <si>
    <t>Tratativa de Não Conformidade - Mar/26 (UTI - Comunicação de boletim médico: 3074)</t>
  </si>
  <si>
    <t>TNC 0453 / 2026</t>
  </si>
  <si>
    <t>Segue notificação para analise:
[item:sas:qms:occurrence:10542]</t>
  </si>
  <si>
    <t>TNC 0454 / 2026</t>
  </si>
  <si>
    <t>DIFICULDADE EM ENCAMINHAR PACIENTES REGULADOS PARA CLINICA MÉDICA.</t>
  </si>
  <si>
    <t>TNC 0455 / 2026</t>
  </si>
  <si>
    <t>VENHO POR MEIO DESTE RELATAR GRANDE DIFICULDADE EM ENCAMINHAR PACIENTES REGULADOS PARA CLINICA MÉDICA, PASSAMOS O CASO PARA ENFERMEIRA PATRICIA, PORÉM ELA FICA HORAS PARA DAR RETORNO E ACEITAR QUE ENCAMINHE OS PACIENTES.</t>
  </si>
  <si>
    <t>PULSEIRA DE IDENTIFICAÇÃO ERRADO NA PACIENTE</t>
  </si>
  <si>
    <t>TNC 0456 / 2026</t>
  </si>
  <si>
    <t>29/04/26 Paciente adimitido no CGO02 do centro cirurgico a mesma estava com 3 pulseira de identificação. A da sua identificação, JANY KELLY GOMES DA SILVA   e do RN  estavam correto 
mas tinha a 3 pulseira com nome IRISLENE DA SILVA GOMES  em seu MSD. todas as pulseiras estavam em MSD.</t>
  </si>
  <si>
    <t xml:space="preserve">clamp pressionado de forma errada em coto umbilical </t>
  </si>
  <si>
    <t>TNC 0457 / 2026</t>
  </si>
  <si>
    <t>29/04/26 recebo RN  com sua genitora, o mesmo estava com sangramento em coto umbilical devido clamp estar errado pressionado deixando assim a metade do coto umbilical sem clamp. foi feito a troca e assim apos troca nao houve mas sangramento.</t>
  </si>
  <si>
    <t>TNC 0458 / 2026</t>
  </si>
  <si>
    <t>ACOMPANHANTE DO LEITO 11 L. O. P FOI AO PRONTO SOCORRO PARA PODER SER MEDICADA, E A DRA DO PRONTO SOCOREO ORIENTOU A ACOMPANHANTE DO PACIENTE RETORNAR PARA CLINICA CIRURGICA PARA PODER TOMAR A MEDICAÇAO</t>
  </si>
  <si>
    <t>TNC 0459 / 2026</t>
  </si>
  <si>
    <t>RECEBI PACIENTE F. A. B DA UTI, A MESMA E ALERGICA A TRAMADOL, POREM NAO FOI INFORMADO PELA ENFERMEIRA DEBORA DA UTI, QUE AINDA AFIRMOU QUE A MESMA NAO TINHA ALERGIA, O QUE PODERIA CAUSAR UMA NÃO CONFORMIDADE AO PACIENTE, FAZENDO ELE APRESENTAR ALERGIA GRAVE.</t>
  </si>
  <si>
    <t>TNC 0460 / 2026</t>
  </si>
  <si>
    <t>03/05/2026</t>
  </si>
  <si>
    <t>LT 03 GERAL VEIO DA UTI DIA 01/05
PACIENTE F. A. B. R, ESTAVA DESDE O DIA 27/04 SEM REALIZAR TROCA DE CURATIVO DE CVC, APRESENTANDO SUGIDADE DE SANGUE EM SITIO.</t>
  </si>
  <si>
    <t>TNC 0461 / 2026</t>
  </si>
  <si>
    <t>Tratativa de Não Conformidade - Abr/26 (Almoxarifado - Avaria na dispensação de itens: 3122)</t>
  </si>
  <si>
    <t>TNC 0462 / 2026</t>
  </si>
  <si>
    <t>Segue notificação para analise:
[item:sas:qms:occurrence:10704]</t>
  </si>
  <si>
    <t>Tratativa de Não Conformidade - Abr/26 (Aloxarifado - Controle de Temperatura: 3143)</t>
  </si>
  <si>
    <t>TNC 0463 / 2026</t>
  </si>
  <si>
    <t>Segue notificação para analise:
[item:sas:qms:occurrence:10784]</t>
  </si>
  <si>
    <t>Tratativa de Não Conformidade - Abr/26 (Controle de Acesso - Falha no controle de acesso a instituição: 3119; 3142)</t>
  </si>
  <si>
    <t>TNC 0464 / 2026</t>
  </si>
  <si>
    <t>Segue notificações para analise:
[item:sas:qms:occurrence:10679]
[item:sas:qms:occurrence:10775]</t>
  </si>
  <si>
    <t>Tratativa de Não Conformidade - Abr/26 (Centro Cirurgico - Não conformidade setorial: 3157; 3185; 3213; 3214; 3231; 3232; 3240)</t>
  </si>
  <si>
    <t>TNC 0465 / 2026</t>
  </si>
  <si>
    <t>Segue notificações para analise:
[item:sas:qms:occurrence:10834]
[item:sas:qms:occurrence:10970]
[item:sas:qms:occurrence:11060]
[item:sas:qms:occurrence:11061]
[item:sas:qms:occurrence:11095]
[item:sas:qms:occurrence:11096]
[item:sas:qms:occurrence:11105]</t>
  </si>
  <si>
    <t>Tratativa de Não Conformidade - Abr/26 (Centro Ciruirgico - Nortificação compulsoria: 3108)</t>
  </si>
  <si>
    <t>TNC 0466 / 2026</t>
  </si>
  <si>
    <t>Segue notificação para analise:
[item:sas:qms:occurrence:10658]</t>
  </si>
  <si>
    <t>Tratativa de Não Conformidade - Abr/26 (Centro Cirurgico - Falhas administrativas em prontuarios: 3161; 3162)</t>
  </si>
  <si>
    <t>TNC 0467 / 2026</t>
  </si>
  <si>
    <t>Segue notificaçãoes para analise:
[item:sas:qms:occurrence:10854]
[item:sas:qms:occurrence:10855]</t>
  </si>
  <si>
    <t>Tratativa de Não Conformidade - Abr/26 (Centro Cirurgico - Falhas na identificação e encaminhamento de pacientes: 3220; 3224; 3265)</t>
  </si>
  <si>
    <t>TNC 0468 / 2026</t>
  </si>
  <si>
    <t>Segue notificações para analise:
[item:sas:qms:occurrence:11069]
[item:sas:qms:occurrence:11079]
[item:sas:qms:occurrence:11196]</t>
  </si>
  <si>
    <t>Tratativa de Não Conformidade - Abr/26 (Centro Cirurgico - Material incompleto: 3252)</t>
  </si>
  <si>
    <t>TNC 0469 / 2026</t>
  </si>
  <si>
    <t>Segue notificação para analise:
[item:sas:qms:occurrence:11143]</t>
  </si>
  <si>
    <t>Tratativa de Não Conformidade - Abr/26 (Centro Cirurgico - Moviementação de bens moveis: 3262)</t>
  </si>
  <si>
    <t>TNC 0470 / 2026</t>
  </si>
  <si>
    <t>Segue notificação para analise: 
[item:sas:qms:occurrence:11193]</t>
  </si>
  <si>
    <t>Tratativa de Não Conformidade - Abr/26 (CGO - Falahs no processo adminisrativo em prontuarios: 3093; 3133; 3135; 3140; 3141; 3167)</t>
  </si>
  <si>
    <t>TNC 0471 / 2026</t>
  </si>
  <si>
    <t>Segue notificações para analise:
[item:sas:qms:occurrence:10628]
[item:sas:qms:occurrence:10758]
[item:sas:qms:occurrence:10760]
[item:sas:qms:occurrence:10770]
[item:sas:qms:occurrence:10771]
[item:sas:qms:occurrence:10862]</t>
  </si>
  <si>
    <t>Tratativa de Não Conformidade - Abr/26 (CGO - Processo de registro Transfusional: 3171)</t>
  </si>
  <si>
    <t>TNC 0472 / 2026</t>
  </si>
  <si>
    <t>Segue notificação para analise:
[item:sas:qms:occurrence:10917]</t>
  </si>
  <si>
    <t>Tratativa de Não Conformidade - Abr/26 (CGO -  Inconsistensia no processo de alta: 3192)</t>
  </si>
  <si>
    <t>TNC 0473 / 2026</t>
  </si>
  <si>
    <t>Segue notificação para analise:
[item:sas:qms:occurrence:10978]</t>
  </si>
  <si>
    <t>Tratativa de Não Conformidade - Abr/26 (CGO - Atraso Medico para Cirugia: 3192)</t>
  </si>
  <si>
    <t>TNC 0474 / 2026</t>
  </si>
  <si>
    <t>Segue notificação para analise:
[item:sas:qms:occurrence:11270]</t>
  </si>
  <si>
    <t>Tratativa de Não Conformidade - Abr/26 (CME - Inconsistencia na disoeração de materiais: 3120; 3137; 3199; 3216)</t>
  </si>
  <si>
    <t>TNC 0475 / 2026</t>
  </si>
  <si>
    <t>Segue notificações para analise:
[item:sas:qms:occurrence:10689]
[item:sas:qms:occurrence:10764]
[item:sas:qms:occurrence:11039]
[item:sas:qms:occurrence:11063]</t>
  </si>
  <si>
    <t>Tratativa de Não Conformidade - Abr/26 (CME - Movimentação de bens e moveis: 3261)</t>
  </si>
  <si>
    <t>TNC 0476 / 2026</t>
  </si>
  <si>
    <t>Segue notificação para analise:
[item:sas:qms:occurrence:11190]</t>
  </si>
  <si>
    <t>Tratativa de Não Conformidade - Abr/26 (CPN - Fluxo de comunicação interno entre setores: 3202; 3219; 3221; 3266)</t>
  </si>
  <si>
    <t>TNC 0477 / 2026</t>
  </si>
  <si>
    <t>Segue notificação para analise:
[item:sas:qms:occurrence:11068]
[item:sas:qms:occurrence:11070]
[item:sas:qms:occurrence:11200]</t>
  </si>
  <si>
    <t>Tratativa de Não Conformidade - Abr/26 (Farmacia - Medicamento Vencido: 3230)</t>
  </si>
  <si>
    <t>TNC 0478 / 2026</t>
  </si>
  <si>
    <t>Segue notificação para analise:
[item:sas:qms:occurrence:11093]</t>
  </si>
  <si>
    <t>Tratativa de Não Conformidade - Abr/26 (LAB - Alteração de treinamento: 3098)</t>
  </si>
  <si>
    <t>TNC 0479 / 2026</t>
  </si>
  <si>
    <t>Segue notificação para analise:
[item:sas:qms:occurrence:10643]</t>
  </si>
  <si>
    <t>Tratativa de Não Conformidade - Abr/26 (MANU -  Falha na manutenção predial: 3228)</t>
  </si>
  <si>
    <t>TNC 0480 / 2026</t>
  </si>
  <si>
    <t>Segue notificação para analise:
[item:sas:qms:occurrence:11085]</t>
  </si>
  <si>
    <t xml:space="preserve"> Tratativa de Não Conformidade - Abr/26 (NIR - Divergencia em alta: 3166; 3170; 3245; 3249)</t>
  </si>
  <si>
    <t>TNC 0481 / 2026</t>
  </si>
  <si>
    <t>Segue notificação para analise:
[item:sas:qms:occurrence:10859]
[item:sas:qms:occurrence:10884]
[item:sas:qms:occurrence:11125]
[item:sas:qms:occurrence:11129]</t>
  </si>
  <si>
    <t xml:space="preserve"> Tratativa de Não Conformidade - Abr/26 (NIR -  Alteração de treinamento: 3100)</t>
  </si>
  <si>
    <t>TNC 0482 / 2026</t>
  </si>
  <si>
    <t>Segue notificação para analise:
[item:sas:qms:occurrence:10646]</t>
  </si>
  <si>
    <t xml:space="preserve"> Tratativa de Não Conformidade - Abr/26 (NSP - Movimentação de bens e moveis: 3260)</t>
  </si>
  <si>
    <t>TNC 0483 / 2026</t>
  </si>
  <si>
    <t>Segue notificação para analise:
[item:sas:qms:occurrence:11187]</t>
  </si>
  <si>
    <t xml:space="preserve"> Tratativa de Não Conformidade - Abr/26 (Nutrição Clinica - Mapa de Dietas: 3183; 3215)</t>
  </si>
  <si>
    <t>TNC 0484 / 2026</t>
  </si>
  <si>
    <t>Segue notificações para analise:
[item:sas:qms:occurrence:10967]
[item:sas:qms:occurrence:11062]</t>
  </si>
  <si>
    <t xml:space="preserve"> Tratativa de Não Conformidade - Abr/26 (OPME - Embalagem violada: 3198)</t>
  </si>
  <si>
    <t>TNC 0485 / 2026</t>
  </si>
  <si>
    <t>Segue notificação para analise:
[item:sas:qms:occurrence:11038]</t>
  </si>
  <si>
    <t xml:space="preserve"> Tratativa de Não Conformidade - Abr/26 (PAM - Processo pré operatorio: 3239; 3278)</t>
  </si>
  <si>
    <t>TNC 0486 / 2026</t>
  </si>
  <si>
    <t>Segue notificação para analise:
[item:sas:qms:occurrence:11104]
[item:sas:qms:occurrence:11263]</t>
  </si>
  <si>
    <t xml:space="preserve"> Tratativa de Não Conformidade - Abr/26 (PAM - adequação de material biologico: 3153)</t>
  </si>
  <si>
    <t>TNC 0487 / 2026</t>
  </si>
  <si>
    <t>Segue notificação para analise: 
[item:sas:qms:occurrence:10828]</t>
  </si>
  <si>
    <t xml:space="preserve"> Tratativa de Não Conformidade - Abr/26 (PAM -  pendencia de documentação prontuario: 3226)</t>
  </si>
  <si>
    <t>TNC 0488 / 2026</t>
  </si>
  <si>
    <t>Segue notificação para analise:
[item:sas:qms:occurrence:11082]</t>
  </si>
  <si>
    <t xml:space="preserve"> Tratativa de Não Conformidade - Abr/26 (PAM - fluxo de identificação: 3233)</t>
  </si>
  <si>
    <t>TNC 0489 / 2026</t>
  </si>
  <si>
    <t>Segue notificação para analise:
[item:sas:qms:occurrence:11098]</t>
  </si>
  <si>
    <t xml:space="preserve"> Tratativa de Não Conformidade - Abr/26 (PED - armazenamento de medicamentos: 3195)</t>
  </si>
  <si>
    <t>TNC 0490 / 2026</t>
  </si>
  <si>
    <t>Segue notiicação para analise:
[item:sas:qms:occurrence:11032]</t>
  </si>
  <si>
    <t xml:space="preserve"> Tratativa de Não Conformidade - Abr/26 (PS - falha administrativa no registro de notificações compulsorias: 3103; 3104; 3105; 3106; 3107; 3125)</t>
  </si>
  <si>
    <t>TNC 0491 / 2026</t>
  </si>
  <si>
    <t>Segue notificações para analise:
[item:sas:qms:occurrence:10651]
[item:sas:qms:occurrence:10652]
[item:sas:qms:occurrence:10653]
[item:sas:qms:occurrence:10654]
[item:sas:qms:occurrence:10655]
[item:sas:qms:occurrence:10715]</t>
  </si>
  <si>
    <t xml:space="preserve"> Tratativa de Não Conformidade - Abr/26 (Farmacia - Conferencia de carrinho de emergencia: 3094)</t>
  </si>
  <si>
    <t>TNC 0492 / 2026</t>
  </si>
  <si>
    <t>Segue notificação para analise:
[item:sas:qms:occurrence:10630]</t>
  </si>
  <si>
    <t xml:space="preserve"> Tratativa de Não Conformidade - Abr/26 (PS - Falha administrativa em prontuarios: 3205)</t>
  </si>
  <si>
    <t>TNC 0493 / 2026</t>
  </si>
  <si>
    <t>Segue notificação para analise:
[item:sas:qms:occurrence:11050]</t>
  </si>
  <si>
    <t xml:space="preserve"> Tratativa de Não Conformidade - Abr/26 (PS -  manejo e transporte de materiais: 3251)</t>
  </si>
  <si>
    <t>TNC 0494 / 2026</t>
  </si>
  <si>
    <t>Segue notificação para analise:
[item:sas:qms:occurrence:11141]</t>
  </si>
  <si>
    <t xml:space="preserve"> Tratativa de Não Conformidade - Abr/26 (Recepção - Falhas no cadastro e resgistro: 3139; 3193; 3194; 3208; 3210; 3235; 3247; 3248; 3263; 3264; 3271; 3272; 3273</t>
  </si>
  <si>
    <t>TNC 0495 / 2026</t>
  </si>
  <si>
    <t>Segue notificações para analise:
[item:sas:qms:occurrence:10769]
[item:sas:qms:occurrence:11012]
[item:sas:qms:occurrence:11033]
[item:sas:qms:occurrence:11054]
[item:sas:qms:occurrence:11056]
[item:sas:qms:occurrence:11100]
[item:sas:qms:occurrence:11128]
[item:sas:qms:occurrence:11130]
[item:sas:qms:occurrence:11195]
[item:sas:qms:occurrence:11198]
[item:sas:qms:occurrence:11219]
[item:sas:qms:occurrence:11221]
[item:sas:qms:occurrence:11230]</t>
  </si>
  <si>
    <t xml:space="preserve"> Tratativa de Não Conformidade - Abr/26 (Recepção - Controle de acesso: 3130)</t>
  </si>
  <si>
    <t>TNC 0496 / 2026</t>
  </si>
  <si>
    <t>Segue notificação para analise:
[item:sas:qms:occurrence:10730]</t>
  </si>
  <si>
    <t xml:space="preserve"> Tratativa de Não Conformidade - Abr/26 (SPP - Falha administrativa em prontuarios: 3163; 3209; 3211)</t>
  </si>
  <si>
    <t>TNC 0497 / 2026</t>
  </si>
  <si>
    <t>Segue notificações para analise:
[item:sas:qms:occurrence:10856]
[item:sas:qms:occurrence:11053]
[item:sas:qms:occurrence:11057]
[item:sas:qms:occurrence:11057]</t>
  </si>
  <si>
    <t xml:space="preserve"> Tratativa de Não Conformidade - Abr/26 (SRFP - registro de ponto: 3092)</t>
  </si>
  <si>
    <t>TNC 0498 / 2026</t>
  </si>
  <si>
    <t>Segue notificação para analise:
[item:sas:qms:occurrence:10619]</t>
  </si>
  <si>
    <t xml:space="preserve"> Tratativa de Não Conformidade - Abr/26 (SRP -  desabastecimento: 3138; 3274)</t>
  </si>
  <si>
    <t>TNC 0499 / 2026</t>
  </si>
  <si>
    <t>Segue notificações para analise:
[item:sas:qms:occurrence:10768]
[item:sas:qms:occurrence:11233]</t>
  </si>
  <si>
    <t xml:space="preserve"> Tratativa de Não Conformidade - Abr/26 (STP - Atraso no atendimento de demanda: 3131; 3268)</t>
  </si>
  <si>
    <t>TNC 0500 / 2026</t>
  </si>
  <si>
    <t>Segue notificações para analise:
[item:sas:qms:occurrence:10733]
[item:sas:qms:occurrence:11201]</t>
  </si>
  <si>
    <t xml:space="preserve"> Tratativa de Não Conformidade - Abr/26 (UCI - acionamento de suporte de psicologia: 3168)</t>
  </si>
  <si>
    <t>TNC 0501 / 2026</t>
  </si>
  <si>
    <t>Segue notificação para analise:
[item:sas:qms:occurrence:10875]</t>
  </si>
  <si>
    <t xml:space="preserve"> Tratativa de Não Conformidade - Abr/26 (UCI - aceite de pacientes na unidade: 3179)</t>
  </si>
  <si>
    <t>TNC 0502 / 2026</t>
  </si>
  <si>
    <t>Segue noificação para analise:
[item:sas:qms:occurrence:10956]</t>
  </si>
  <si>
    <t xml:space="preserve"> Tratativa de Não Conformidade - Abr/26 (UCI - falha administrativa em prontuario: 3217)</t>
  </si>
  <si>
    <t>TNC 0503 / 2026</t>
  </si>
  <si>
    <t>Segue notificação para analise:
[item:sas:qms:occurrence:11064]</t>
  </si>
  <si>
    <t xml:space="preserve"> Tratativa de Não Conformidade - Abr/26 (UICC - falha administrativa em prontuarios: 3116; 3172; 3173)</t>
  </si>
  <si>
    <t>TNC 0504 / 2026</t>
  </si>
  <si>
    <t>Segue notificação para analise:
[item:sas:qms:occurrence:10666]
[item:sas:qms:occurrence:10926]
[item:sas:qms:occurrence:10928]</t>
  </si>
  <si>
    <t xml:space="preserve"> Tratativa de Não Conformidade - Abr/26 (UICC -  identificação de curativo: 3095)</t>
  </si>
  <si>
    <t>TNC 0505 / 2026</t>
  </si>
  <si>
    <t>Segue notificação para analise:
[item:sas:qms:occurrence:10636]</t>
  </si>
  <si>
    <t xml:space="preserve"> Tratativa de Não Conformidade - Abr/26 (UICC - fluxo de pedido de medicamentos: 3096)</t>
  </si>
  <si>
    <t>TNC 0506 / 2026</t>
  </si>
  <si>
    <t>Segue notificação para analise:
[item:sas:qms:occurrence:10638]</t>
  </si>
  <si>
    <t xml:space="preserve"> Tratativa de Não Conformidade - Abr/26 (UICC -  cheklist de cirurgia: 3242)</t>
  </si>
  <si>
    <t>TNC 0507 / 2026</t>
  </si>
  <si>
    <t>Segue notificação para analise:
[item:sas:qms:occurrence:11116]</t>
  </si>
  <si>
    <t xml:space="preserve"> Tratativa de Não Conformidade - Abr/26 (UICM - falha no fluxo de recebimento de pacientes: 3227; 3237; 3253; 3267)</t>
  </si>
  <si>
    <t>TNC 0508 / 2026</t>
  </si>
  <si>
    <t>Segue notificações para analise: 
[item:sas:qms:occurrence:11084]
[item:sas:qms:occurrence:11102]
[item:sas:qms:occurrence:11149]
[item:sas:qms:occurrence:11199]</t>
  </si>
  <si>
    <t xml:space="preserve"> Tratativa de Não Conformidade - Abr/26 (UICM - exames nao realizados: 3102)</t>
  </si>
  <si>
    <t>TNC 0509 / 2026</t>
  </si>
  <si>
    <t>Segue notificação para analise:
[item:sas:qms:occurrence:10649]</t>
  </si>
  <si>
    <t xml:space="preserve"> Tratativa de Não Conformidade - Abr/26 (UICM - manejo com acesso venoso: 3197)</t>
  </si>
  <si>
    <t>TNC 0510 / 2026</t>
  </si>
  <si>
    <t>Segue notificação para analise:
[item:sas:qms:occurrence:11037]</t>
  </si>
  <si>
    <t xml:space="preserve"> Tratativa de Não Conformidade - Abr/26 (UIO - falahs administrativas em prontuario: 3109; 3110; 3113)</t>
  </si>
  <si>
    <t>TNC 0511 / 2026</t>
  </si>
  <si>
    <t>Segue notificação para analise:
[item:sas:qms:occurrence:10657]
[item:sas:qms:occurrence:10659]
[item:sas:qms:occurrence:10661]</t>
  </si>
  <si>
    <t xml:space="preserve"> Tratativa de Não Conformidade - Abr/26 (UTI - falhas administrativas em prontuario: 3212; 3218)</t>
  </si>
  <si>
    <t>TNC 0512 / 2026</t>
  </si>
  <si>
    <t>Segue notificações para analise:
[item:sas:qms:occurrence:11058]
[item:sas:qms:occurrence:11067]</t>
  </si>
  <si>
    <t xml:space="preserve"> Tratativa de Não Conformidade - Abr/26 (UTI - pendencia de lista de treinamentos: 3099)</t>
  </si>
  <si>
    <t>TNC 0513 / 2026</t>
  </si>
  <si>
    <t>Segue notificação para analise:
[item:sas:qms:occurrence:10644]</t>
  </si>
  <si>
    <t xml:space="preserve"> Tratativa de Não Conformidade - Abr/26 (UTI - falha no processo pre operatorio: 3196)</t>
  </si>
  <si>
    <t>TNC 0514 / 2026</t>
  </si>
  <si>
    <t>Segue notificação para analise:
[item:sas:qms:occurrence:11036]</t>
  </si>
  <si>
    <t xml:space="preserve"> Tratativa de Não Conformidade - Abr/26 (UTI -  fluxo de atedimento via ramal: 3270)</t>
  </si>
  <si>
    <t>TNC 0515 / 2026</t>
  </si>
  <si>
    <t>Segue notificação para analise:
[item:sas:qms:occurrence:11208]</t>
  </si>
  <si>
    <t xml:space="preserve">PACIENTE SEM IDENTIFICAÇÃO </t>
  </si>
  <si>
    <t>TNC 0516 / 2026</t>
  </si>
  <si>
    <t>RECEBO PACIENTE DO CENTRO CIRUGICO DE PARTO  CESARIO + LAQUEADURA OCORRIDO AS 21:47 A MESMA ESTAVA SEM PULSEIRA DE IDENTIFICAÇÃO DO  SEU NOME, SOMENTE IDENTIFICAÇÃO DO RN A PULSEIRA. SOLICITEI NO NIR PARA ENFERMEIRA DALILEIA E PACIENTE FOI IDENTIFICADA COM A PULSEIRA.</t>
  </si>
  <si>
    <t>PRONTO SOCORRO/ ENF MARGARIDA EM ESPECIFICO</t>
  </si>
  <si>
    <t>TNC 0517 / 2026</t>
  </si>
  <si>
    <t>RECEBI PACIENTE ÁS 13:30 DA ENF MARGARIDA DO PRONTO SOCORRO, A MESMA TINHA PASSADO MENSAGEM QUE IRIA ENCAMINHAR O PACIENTE E QUE IRIA CHAMAR O MAQUEIRO, EM SEGUIDA RELATEI A MESMA QUE EU TERIA QUE RECEBER O CASO, E DEPOIS QUE EU IRIA DIMENSIONAR O PACIENTE E SOLICITEI OS SINAIS VITAIS ATUALIZADO, A MESMA SAIU DO ALMOÇO E QUANDO EU CHEGUEI NA CLINICA ELA JA TERIA PASSADO O PACIENTE, POREM NAO PASSOU O CASO E O MESMO AINDA ERA B 24, TEVE FALHA NA COMUNICAÇAO, FALTA DE ETICA E NAO SE ATENTOU EM PASSAR O CASO DO PACIENTE. SIMPLESMENTE MANDOU SEM AVISAR.</t>
  </si>
  <si>
    <t xml:space="preserve">CENTRO CIRURGICO </t>
  </si>
  <si>
    <t>TNC 0518 / 2026</t>
  </si>
  <si>
    <t>CENTRO CIRURGICO POE MUITA PRESSAO PARA PODER MANDAR PACIENTE DE RPA, SENDO QUE AS VEZES ESTAMOS NA CORREIA E RESOLVENDO INTERCORRENCIAS. TEMOS QUE RECEBER SINAIS VITAIS ANTES DE RECEBER PACIENTE E TUDO COM MUITA ATENÇAO PARA NAO RECEBER FALHAS OU COMETE-LÁS</t>
  </si>
  <si>
    <t>Tratativa de Incidentes - Dezembro (PS - Óbito possivelmente evitável E.B.O - 231237: 1365)</t>
  </si>
  <si>
    <t>TI 0474 / 2026</t>
  </si>
  <si>
    <t>10/01/2026</t>
  </si>
  <si>
    <t>Segue notificação para análise:
[item:sas:qms:occurrence:8306]</t>
  </si>
  <si>
    <t>Tratativa de Incidente</t>
  </si>
  <si>
    <t>Tratativa de Incidentes - Dezembro (UTI - Flebite: 1366; 1384)</t>
  </si>
  <si>
    <t>TI 0475 / 2026</t>
  </si>
  <si>
    <t>Segue notificação para análise:
[item:sas:qms:occurrence:8310]
[item:sas:qms:occurrence:8408]</t>
  </si>
  <si>
    <t>Tratativa de Incidentes - Dezembro (UTI - LPP: 1378)</t>
  </si>
  <si>
    <t>TI 0476 / 2026</t>
  </si>
  <si>
    <t>Segue notificação para análise:
[item:sas:qms:occurrence:8368]</t>
  </si>
  <si>
    <t>Tratativa de Incidentes - Dezembro (Laboratório - Troca de amostras: 1380)</t>
  </si>
  <si>
    <t>TI 0477 / 2026</t>
  </si>
  <si>
    <t>Segue notificação para análise:
[item:sas:qms:occurrence:8383]</t>
  </si>
  <si>
    <t>Tratativa de Incidentes - Dezembro (C. Cirúrgica - Queda: 1382)</t>
  </si>
  <si>
    <t>TI 0478 / 2026</t>
  </si>
  <si>
    <t>Segue notificação para análise:
[item:sas:qms:occurrence:8391]</t>
  </si>
  <si>
    <t xml:space="preserve">Tratativa de Incidentes - Dezembro (PS - Evasão de paciente sem tratamento adequado: 1391) </t>
  </si>
  <si>
    <t>TI 0479 / 2026</t>
  </si>
  <si>
    <t>Segue notificação para análise:
[item:sas:qms:occurrence:8443]</t>
  </si>
  <si>
    <t>Tratativa de Incidentes - Dezembro (CGO - Flebite:1392)</t>
  </si>
  <si>
    <t>TI 0480 / 2026</t>
  </si>
  <si>
    <t>Segue notificação para análise:
[item:sas:qms:occurrence:8445]</t>
  </si>
  <si>
    <t>Tratativa de Incidentes - Dezembro (Queda de puérpera com RN no colo: 1397)</t>
  </si>
  <si>
    <t>TI 0481 / 2026</t>
  </si>
  <si>
    <t>Segue notificação para análise:
[item:sas:qms:occurrence:8478]</t>
  </si>
  <si>
    <t>Tratativa de Incidentes - Dezembro (CC - Erro de medicação: 1403)</t>
  </si>
  <si>
    <t>TI 0482 / 2026</t>
  </si>
  <si>
    <t>Segue notificação para análise:
[item:sas:qms:occurrence:8531]</t>
  </si>
  <si>
    <t>Tratativa de Incidentes - Dezembro (PS - Óbito possivelmente evitável C.C - 231779: 1445)</t>
  </si>
  <si>
    <t>TI 0483 / 2026</t>
  </si>
  <si>
    <t>Segue notificação para análise:
[item:sas:qms:occurrence:8592]</t>
  </si>
  <si>
    <t>Tratativa de incidentes - Dezembro (C. Cirúrgica - Queda de acompanhante: 1495)</t>
  </si>
  <si>
    <t>TI 0484 / 2026</t>
  </si>
  <si>
    <t>Segue notificação para análise:
[item:sas:qms:occurrence:8696]</t>
  </si>
  <si>
    <t>Tratativa de Incidentes - Dezembro (PS - Reação transfusional: 1502)</t>
  </si>
  <si>
    <t>TI 0485 / 2026</t>
  </si>
  <si>
    <t>Segue notificação para análise:
[item:sas:qms:occurrence:8702]</t>
  </si>
  <si>
    <t>Tratativa de Incidentes - Dezembro (CGO - IRAS Cesariana: 1505)</t>
  </si>
  <si>
    <t>TI 0486 / 2026</t>
  </si>
  <si>
    <t>Segue notificação para análise:
[item:sas:qms:occurrence:8726]</t>
  </si>
  <si>
    <t>Tratativa de Incidentes - Dezembro (C. Cirúrgica - ISC Herniorrafia: 1506)</t>
  </si>
  <si>
    <t>TI 0487 / 2026</t>
  </si>
  <si>
    <t>Segue notificação para análise:
[item:sas:qms:occurrence:8727]</t>
  </si>
  <si>
    <t>Tratativa de Incidentes - Dezembro (C. Ortopédica - Queda de paciente cirúrgico: 1528)</t>
  </si>
  <si>
    <t>TI 0488 / 2026</t>
  </si>
  <si>
    <t>Segue notificação para análise:
[item:sas:qms:occurrence:8795]</t>
  </si>
  <si>
    <t>Tratativa de Incidentes - Dezembro (C. Ortopédica - Queda de paciente ao tentar levantar do leito: 1529)</t>
  </si>
  <si>
    <t>TI 0489 / 2026</t>
  </si>
  <si>
    <t>Segue notificação para análise:
[item:sas:qms:occurrence:8804]</t>
  </si>
  <si>
    <t>Tratativa de Incidentes - Dezembro (CC - Documentos de Pacientes Incorretamente Inseridos no Prontuário: 1377)</t>
  </si>
  <si>
    <t>TI 0490 / 2026</t>
  </si>
  <si>
    <t>Segue notificação para análise:
[item:sas:qms:occurrence:8367]</t>
  </si>
  <si>
    <t>Tratativa de Incidentes - Dezembro (CC - Transporte de paciente errado para o CC: 1379)</t>
  </si>
  <si>
    <t>TI 0491 / 2026</t>
  </si>
  <si>
    <t>Segue notificação para análise:
[item:sas:qms:occurrence:8369]</t>
  </si>
  <si>
    <t>Tratativa de Incidentes - Dezembro (CC - Queda de cilindro de CO2: 1381)</t>
  </si>
  <si>
    <t>TI 0492 / 2026</t>
  </si>
  <si>
    <t>Segue notificação para análise:
[item:sas:qms:occurrence:8388]</t>
  </si>
  <si>
    <t>Tratativa de Incidentes - Dezembro (CC - Paciente POI sem prescrição médica: 1396)</t>
  </si>
  <si>
    <t>TI 0493 / 2026</t>
  </si>
  <si>
    <t>Segue notificação para análise:
[item:sas:qms:occurrence:8471]</t>
  </si>
  <si>
    <t>Tratativa de Incidentes - Novembro (Farmácia -  Divergência na Etiquetagem de Medicação: 1280)</t>
  </si>
  <si>
    <t>TI 0494 / 2026</t>
  </si>
  <si>
    <t>Segue notificação para análise:
[item:sas:qms:occurrence:7851]</t>
  </si>
  <si>
    <t>Tratativa de Incidentes - Novembro (Farmácia - Erro na dispensação: 1326; 1333)</t>
  </si>
  <si>
    <t>TI 0495 / 2026</t>
  </si>
  <si>
    <t>Segue notificação para análise:
[item:sas:qms:occurrence:8036]
[item:sas:qms:occurrence:8127]</t>
  </si>
  <si>
    <t>Tratativa de Incidentes - Novembro (Farmácia - Atraso nas dispensações: 1350)</t>
  </si>
  <si>
    <t>TI 0496 / 2026</t>
  </si>
  <si>
    <t>Segue notificação para análise:
[item:sas:qms:occurrence:8225]</t>
  </si>
  <si>
    <t>Tratativa de Incidentes - Novembro (Fisioterapia - Ventilador desmontado: 1363)</t>
  </si>
  <si>
    <t>TI 0497 / 2026</t>
  </si>
  <si>
    <t>Segue notificação para análise:
[item:sas:qms:occurrence:8263]</t>
  </si>
  <si>
    <t>Tratativa de Incidentes - Novembro (Nutrição - Interferência na conduta quanto a liberação de dieta em paciente: 1324)</t>
  </si>
  <si>
    <t>TI 0498 / 2026</t>
  </si>
  <si>
    <t>Segue notificação para análise:
[item:sas:qms:occurrence:8024]</t>
  </si>
  <si>
    <t>Tratativa de Incidentes - Dezembro (PAM - Erro no fluxo com gestante apresentando teste rápido: 1364)</t>
  </si>
  <si>
    <t>TI 0499 / 2026</t>
  </si>
  <si>
    <t>Segue notificação para análise:
[item:sas:qms:occurrence:8265]</t>
  </si>
  <si>
    <t>Tratativa de Incidentes - Dezembro (PAM - Risco de contaminação de insumos devido armazenamento inadequado: 1422)</t>
  </si>
  <si>
    <t>TI 0500 / 2026</t>
  </si>
  <si>
    <t>Segue notificação para análise:
[item:sas:qms:occurrence:8562]</t>
  </si>
  <si>
    <t>Tratativa de Incidentes - Nov/Dez (PS - Encaminhamento inadequado de pacientes ao SADT: 1302; 1309; 1310; 1311; 1316; 1317; 1318; 1319; 1320; 1346; 1347; 1348</t>
  </si>
  <si>
    <t>TI 0501 / 2026</t>
  </si>
  <si>
    <t>1387; 1388; 1456; 1458; 1459; 1460; 1461; 1462; 1464; 1466; 1467; 1493; 1463; 1465.
[item:sas:qms:occurrence:7899]
[item:sas:qms:occurrence:7933]
[item:sas:qms:occurrence:7934]
[item:sas:qms:occurrence:7935]
[item:sas:qms:occurrence:8007]
[item:sas:qms:occurrence:8008]
[item:sas:qms:occurrence:8009]
[item:sas:qms:occurrence:8010]
[item:sas:qms:occurrence:8011]
[item:sas:qms:occurrence:8206]
[item:sas:qms:occurrence:8207]
[item:sas:qms:occurrence:8209]
[item:sas:qms:occurrence:8421]
[item:sas:qms:occurrence:8422]
[item:sas:qms:occurrence:8611]
[item:sas:qms:occurrence:8613]
[item:sas:qms:occurrence:8614]
[item:sas:qms:occurrence:8615]
[item:sas:qms:occurrence:8616]
[item:sas:qms:occurrence:8617]
[item:sas:qms:occurrence:8619]
[item:sas:qms:occurrence:8621]
[item:sas:qms:occurrence:8622]
[item:sas:qms:occurrence:8684]
[item:sas:qms:occurrence:8618]
[item:sas:qms:occurrence:8620]</t>
  </si>
  <si>
    <t>Tratativa de Incidentes - Novembro (PS - Paciente encaminhado ao ambulatório sem equipe de enfermagem: 1290; 1313)</t>
  </si>
  <si>
    <t>TI 0502 / 2026</t>
  </si>
  <si>
    <t>Segue notificação para análise:
[item:sas:qms:occurrence:7888]
[item:sas:qms:occurrence:7959]</t>
  </si>
  <si>
    <t>Tratativa de Incidentes - Novembro (PS - Falta de Controlados na auditoria do Carro de emergência - 1349)</t>
  </si>
  <si>
    <t>TI 0503 / 2026</t>
  </si>
  <si>
    <t>Segue notificação para análise:
[item:sas:qms:occurrence:8224]</t>
  </si>
  <si>
    <t>Tratativa de Incidentes - Dezembro (PS -  Exame Contrastado com Jejum Prolongado e Documentação Incorreta: 1376)</t>
  </si>
  <si>
    <t>TI 0504 / 2026</t>
  </si>
  <si>
    <t>Segue notificação para análise:
[item:sas:qms:occurrence:8366]</t>
  </si>
  <si>
    <t>Tratativa de Incidentes - Dezembro (PS Médico - Prescrição inadequada de antimicrobiano: 1404)</t>
  </si>
  <si>
    <t>TI 0505 / 2026</t>
  </si>
  <si>
    <t>Segue notificação para análise:
[item:sas:qms:occurrence:8532]</t>
  </si>
  <si>
    <t>Tratativa de Incidentes - Dezembro (PS - Paciente transferido de setor deambulando: 1405)</t>
  </si>
  <si>
    <t>TI 0506 / 2026</t>
  </si>
  <si>
    <t>Segue notificação para análise:
[item:sas:qms:occurrence:8540]</t>
  </si>
  <si>
    <t>Tratativa de Incidentes - Dezembro (PS - Falha na adesão ao protocolo de precaução: 1490)</t>
  </si>
  <si>
    <t>TI 0507 / 2026</t>
  </si>
  <si>
    <t>Segue notificação para análise:
[item:sas:qms:occurrence:8669]</t>
  </si>
  <si>
    <t>Tratativa de Incidentes - Dezembro (PS - Falha na comunicação na transferência interna de paciente: 1494)</t>
  </si>
  <si>
    <t>TI 0508 / 2026</t>
  </si>
  <si>
    <t>Segue notificação para análise:
[item:sas:qms:occurrence:8685]</t>
  </si>
  <si>
    <t>Tratativa de Incidentes - Dezembro (SESMT - Falha na sinalização padrão de segurança: 1423)</t>
  </si>
  <si>
    <t>TI 0509 / 2026</t>
  </si>
  <si>
    <t>Juscelino Lima Pereira Junior</t>
  </si>
  <si>
    <t>Segue notificação para análise:
[item:sas:qms:occurrence:8563]</t>
  </si>
  <si>
    <t>Tratativa de Incidentes - Novembro (SND - Dietas não identificadas e risco de contaminação: 1328)</t>
  </si>
  <si>
    <t>TI 0510 / 2026</t>
  </si>
  <si>
    <t>Segue notificação para análise:
[item:sas:qms:occurrence:8043]</t>
  </si>
  <si>
    <t>Tratativa de Incidentes - Novembro (Fisioterapia - Inconformidade no Preenchimento dos Bundles: 1282)</t>
  </si>
  <si>
    <t>TI 0511 / 2026</t>
  </si>
  <si>
    <t>Segue notificação para análise:
[item:sas:qms:occurrence:7855]</t>
  </si>
  <si>
    <t>Tratativa de Incidentes  - Dezembro (UCI - Falha nos cuidados com dispositivos: 1304; 1491)</t>
  </si>
  <si>
    <t>TI 0512 / 2026</t>
  </si>
  <si>
    <t>Segue notificações para análise:
[item:sas:qms:occurrence:7908]
[item:sas:qms:occurrence:8671]</t>
  </si>
  <si>
    <t>Tratativa de Incidentes - Dezembro (UCI - Falha no preenchimento de Budles: 1504; 1507)</t>
  </si>
  <si>
    <t>TI 0513 / 2026</t>
  </si>
  <si>
    <t>Segue notificação para análise:
[item:sas:qms:occurrence:8721]
[item:sas:qms:occurrence:8729]</t>
  </si>
  <si>
    <t>Tratativa de Incidentes - Dezembro (UCI - Mal uso de equipamento: 1523)</t>
  </si>
  <si>
    <t>TI 0514 / 2026</t>
  </si>
  <si>
    <t>Segue notificação para análise:
[item:sas:qms:occurrence:8787]</t>
  </si>
  <si>
    <t>Tratativa de Incidentes - Novembro (Laboratório - Demora na coleta: 1323)</t>
  </si>
  <si>
    <t>TI 0515 / 2026</t>
  </si>
  <si>
    <t>Segue notificação para análise:
[item:sas:qms:occurrence:8022]</t>
  </si>
  <si>
    <t>Tratativa de Incidentes - Nov/Dez (C. Cirúrgica - Falha no cuidado com dispositivos: 1254; 1255; 1256; 1283; 1284; 1428; 1469)</t>
  </si>
  <si>
    <t>TI 0516 / 2026</t>
  </si>
  <si>
    <t>Segue notificações para análise:
[item:sas:qms:occurrence:7801]
[item:sas:qms:occurrence:7802]
[item:sas:qms:occurrence:7803]
[item:sas:qms:occurrence:7864]
[item:sas:qms:occurrence:7865]
[item:sas:qms:occurrence:8573]
[item:sas:qms:occurrence:8630]</t>
  </si>
  <si>
    <t>Tratativa de Incidentes - Nov/Dez (C. Cirúrgica - Falha no preenchimento de Budles: 1356; 1394; 1395; 1406; 1498; 1499; 1500; 1501)</t>
  </si>
  <si>
    <t>TI 0517 / 2026</t>
  </si>
  <si>
    <t>Segue notificações para análise:
[item:sas:qms:occurrence:8233]
[item:sas:qms:occurrence:8458]
[item:sas:qms:occurrence:8460]
[item:sas:qms:occurrence:8542]
[item:sas:qms:occurrence:8699]
[item:sas:qms:occurrence:8700]
[item:sas:qms:occurrence:8701]
[item:sas:qms:occurrence:8703]</t>
  </si>
  <si>
    <t>Tratativa de Incidentes - Dezembro (C. Cirúrgica - Falha no registro em prontuário: 1389; 1390; 1402)</t>
  </si>
  <si>
    <t>TI 0518 / 2026</t>
  </si>
  <si>
    <t>Segue notificação para análise:
[item:sas:qms:occurrence:8433]
[item:sas:qms:occurrence:8434]
[item:sas:qms:occurrence:8525]</t>
  </si>
  <si>
    <t>Tratativa de Incidentes - Nov/Dez (C.Cirúrgica - Falha na adesão as práticas de segurança do paciente: 1275; 1420; 1425; 1437; 1438; 1439; 1440; 1441; 1475)</t>
  </si>
  <si>
    <t>TI 0519 / 2026</t>
  </si>
  <si>
    <t>1476; 1477; 1479; 1480; 1481
[item:sas:qms:occurrence:7844]
[item:sas:qms:occurrence:8559]
[item:sas:qms:occurrence:8568]
[item:sas:qms:occurrence:8586]
[item:sas:qms:occurrence:8587]
[item:sas:qms:occurrence:8588]
[item:sas:qms:occurrence:8589]
[item:sas:qms:occurrence:8590]
[item:sas:qms:occurrence:8650]
[item:sas:qms:occurrence:8651]
[item:sas:qms:occurrence:8652]
[item:sas:qms:occurrence:8656]
[item:sas:qms:occurrence:8657]
[item:sas:qms:occurrence:8658]</t>
  </si>
  <si>
    <t>Tratativa de Incidentes - Dezembro (C. Cirúrgica - Falha na adesão as práticas de segurança dos pacientes: 1421; 1473; 1474)</t>
  </si>
  <si>
    <t>TI 0520 / 2026</t>
  </si>
  <si>
    <t>Segue notificações para análise:
[item:sas:qms:occurrence:8561]
[item:sas:qms:occurrence:8648]
[item:sas:qms:occurrence:8649]</t>
  </si>
  <si>
    <t>Tratativa de Incidentes - Novembro (C. Médica - Falha nos cuidados com dispositivos: 1263; 1264)</t>
  </si>
  <si>
    <t>TI 0521 / 2026</t>
  </si>
  <si>
    <t>Segue notificações para análise:
[item:sas:qms:occurrence:7818]
[item:sas:qms:occurrence:7819]</t>
  </si>
  <si>
    <t>Tratativa de Incidentes - Novembro (C. Médica - Falta de prescrição médica de uso do carrinho de emergência: 1340)</t>
  </si>
  <si>
    <t>TI 0522 / 2026</t>
  </si>
  <si>
    <t>Segue notificação para análise:
[item:sas:qms:occurrence:8174]</t>
  </si>
  <si>
    <t>Tratativa de Incidentes - Dezembro (C. Médica - Indicação Inadequada de Exames Radiológicos : 1383)</t>
  </si>
  <si>
    <t>TI 0523 / 2026</t>
  </si>
  <si>
    <t>Segue notificação para análise:
[item:sas:qms:occurrence:8393]</t>
  </si>
  <si>
    <t>Tratativa de Incidentes - Dezembro (C. Médica - Falha no preenchimento de Budle: 1393; 1398; 1427)</t>
  </si>
  <si>
    <t>TI 0524 / 2026</t>
  </si>
  <si>
    <t>Segue notificações para análise:
[item:sas:qms:occurrence:8447]
[item:sas:qms:occurrence:8480]
[item:sas:qms:occurrence:8569]</t>
  </si>
  <si>
    <t>Tratativa de Incidentes - Nov/Dez (C. Médica - Falha na adesão as práticas de Segurança do Paciente: 1266; 1270;1306;1412;1414;1415;1447;1449;1451;1454)</t>
  </si>
  <si>
    <t>TI 0525 / 2026</t>
  </si>
  <si>
    <t>Segue notificações para análise:
[item:sas:qms:occurrence:7829]
[item:sas:qms:occurrence:7834]
[item:sas:qms:occurrence:7918]
[item:sas:qms:occurrence:8548]
[item:sas:qms:occurrence:8550]
[item:sas:qms:occurrence:8551]
[item:sas:qms:occurrence:8596]
[item:sas:qms:occurrence:8598]
[item:sas:qms:occurrence:8600]
[item:sas:qms:occurrence:8603]</t>
  </si>
  <si>
    <t>Tratativa de Incidentes - Nov/Dez (C. Médica - Falha na identificação correta de pacientes: 1267;1271;1272;1273;1274;1307;1308;1408;1409;1411;1413;1416;1417;</t>
  </si>
  <si>
    <t>TI 0526 / 2026</t>
  </si>
  <si>
    <t>1418; 1429; 1430; 1431; 1432; 1433; 1434; 1435; 1436; 1446; 1448; 1450; 1452; 1453; 1455
Segue notificações para análise:
[item:sas:qms:occurrence:7830]
[item:sas:qms:occurrence:7835]
[item:sas:qms:occurrence:7836]
[item:sas:qms:occurrence:7837]
[item:sas:qms:occurrence:7838]
[item:sas:qms:occurrence:7919]
[item:sas:qms:occurrence:7920]
[item:sas:qms:occurrence:8544]
[item:sas:qms:occurrence:8545]
[item:sas:qms:occurrence:8547]
[item:sas:qms:occurrence:8549]
[item:sas:qms:occurrence:8552]
[item:sas:qms:occurrence:8553]
[item:sas:qms:occurrence:8554]
[item:sas:qms:occurrence:8578]
[item:sas:qms:occurrence:8579]
[item:sas:qms:occurrence:8579]
[item:sas:qms:occurrence:8580]
[item:sas:qms:occurrence:8581]
[item:sas:qms:occurrence:8582]
[item:sas:qms:occurrence:8583]
[item:sas:qms:occurrence:8584]
[item:sas:qms:occurrence:8585]
[item:sas:qms:occurrence:8595]
[item:sas:qms:occurrence:8597]
[item:sas:qms:occurrence:8599]
[item:sas:qms:occurrence:8601]
[item:sas:qms:occurrence:8602]
[item:sas:qms:occurrence:8604]</t>
  </si>
  <si>
    <t>Tratativa de Incidentes - Novembro (C. Médica - Não uso de colchão pneumático: 1269)</t>
  </si>
  <si>
    <t>TI 0527 / 2026</t>
  </si>
  <si>
    <t>Segue notificação para análise:
[item:sas:qms:occurrence:7831]</t>
  </si>
  <si>
    <t>Tratativa de Incidentes - Novembro (CGO - RN com sífilis congênita, não realizado exames solicitados: 1252)</t>
  </si>
  <si>
    <t>TI 0528 / 2026</t>
  </si>
  <si>
    <t>Segue notificação para análise:
[item:sas:qms:occurrence:7780]</t>
  </si>
  <si>
    <t>Tratativa de Incidentes - Novembro (CGO - Demora na assistência a paciente com risco de deteorização clínica: 1277)</t>
  </si>
  <si>
    <t>TI 0529 / 2026</t>
  </si>
  <si>
    <t>Segue notificação para análise:
[item:sas:qms:occurrence:7845]</t>
  </si>
  <si>
    <t>Tratativa de Incidentes - Novembro (CGO - não realização de exames em RN: 1287; 1288; 1331)</t>
  </si>
  <si>
    <t>TI 0530 / 2026</t>
  </si>
  <si>
    <t>Segue notificação para análise:
[item:sas:qms:occurrence:7878]
[item:sas:qms:occurrence:7879]
[item:sas:qms:occurrence:8095]</t>
  </si>
  <si>
    <t>Tratativa de Incidentes - Novembro (CGO - Falha na identificação de pacientes: 1291; 1294; 1295; 1298)</t>
  </si>
  <si>
    <t>TI 0531 / 2026</t>
  </si>
  <si>
    <t>Segue notificação para análise: 
[item:sas:qms:occurrence:7889]
[item:sas:qms:occurrence:7893]
[item:sas:qms:occurrence:7894]
[item:sas:qms:occurrence:7897]</t>
  </si>
  <si>
    <t>Tratativa de Incidentes - Novembro (CGO - Não conformidades nas práticas de segurança do paciente - Risco de queda: 1292; 1293)</t>
  </si>
  <si>
    <t>TI 0532 / 2026</t>
  </si>
  <si>
    <t>Segue notificações para análise:
[item:sas:qms:occurrence:7890]
[item:sas:qms:occurrence:7892]</t>
  </si>
  <si>
    <t>Tratativa de Incidentes - Dezembro (CGO - Não realização do teste do coração no tempo correto: 1368)</t>
  </si>
  <si>
    <t>TI 0533 / 2026</t>
  </si>
  <si>
    <t>Segue notificação para análise:
[item:sas:qms:occurrence:8352]</t>
  </si>
  <si>
    <t>Tratativa de Incidentes - Dezembro (CGO - Acesso sem identificação: 1369; 1524)</t>
  </si>
  <si>
    <t>TI 0534 / 2026</t>
  </si>
  <si>
    <t>Segue notificação para análise:
[item:sas:qms:occurrence:8354]
[item:sas:qms:occurrence:8789]</t>
  </si>
  <si>
    <t>Tratativa de Incidentes - Novembro (C. Orto - Curativo não identificado: 1257)</t>
  </si>
  <si>
    <t>TI 0535 / 2026</t>
  </si>
  <si>
    <t>Segue notificação para análise:
[item:sas:qms:occurrence:7804]</t>
  </si>
  <si>
    <t>Tratativa de Incidentes - Dezembro (C. Orto - Não conformidades nas práticas de segurança do paciente - Risco de Queda: 1426; 1442; 1443; 1444; 1482; 1483; 1484</t>
  </si>
  <si>
    <t>TI 0536 / 2026</t>
  </si>
  <si>
    <t>Segue notificações para análise:
[item:sas:qms:occurrence:8570]
[item:sas:qms:occurrence:8591]
[item:sas:qms:occurrence:8593]
[item:sas:qms:occurrence:8594]
[item:sas:qms:occurrence:8659]
[item:sas:qms:occurrence:8660]
[item:sas:qms:occurrence:8661]</t>
  </si>
  <si>
    <t>Tratativa de Incidentes - Dezembro (C. Orto - Falha na adesão ao protocolo de precaução: 1489)</t>
  </si>
  <si>
    <t>TI 0537 / 2026</t>
  </si>
  <si>
    <t>Segue notificação para análise:
[item:sas:qms:occurrence:8668]</t>
  </si>
  <si>
    <t>Tratativa de Incidentes - Dezembro (C. Orto - Falha no preenchimento de Budle: 1497)</t>
  </si>
  <si>
    <t>TI 0538 / 2026</t>
  </si>
  <si>
    <t>Segue notificação para análise:
[item:sas:qms:occurrence:8698]</t>
  </si>
  <si>
    <t>Tratativa de Incidentes - Novembro (C. Pediátrica - Falha nos cuidados com dispositivos: 1253)</t>
  </si>
  <si>
    <t>TI 0539 / 2026</t>
  </si>
  <si>
    <t>Segue notificação para análise:
[item:sas:qms:occurrence:7782]</t>
  </si>
  <si>
    <t>Tratativa de Incidentes - Novembro (C. Pediátrica - Falha na adesão as práticas de segurança do paciente - Risco de Queda: 1299)</t>
  </si>
  <si>
    <t>TI 0540 / 2026</t>
  </si>
  <si>
    <t>Segue notificação para análise:
[item:sas:qms:occurrence:7898]</t>
  </si>
  <si>
    <t>Tratativa de Incidentes - Nov/Dez (C.Pediátrica - Não conformidades nas práticas de segurança do paciente - Falha na identificação: 1300; 1301; 1485)</t>
  </si>
  <si>
    <t>TI 0541 / 2026</t>
  </si>
  <si>
    <t>Segue notificação para análise:
[item:sas:qms:occurrence:7900]
[item:sas:qms:occurrence:7902]
[item:sas:qms:occurrence:8663]</t>
  </si>
  <si>
    <t>Tratativa de Incidentes - Novembro (Laboratório - Não comunicação de recoleta de exame Caríotipo: 1342)</t>
  </si>
  <si>
    <t>TI 0542 / 2026</t>
  </si>
  <si>
    <t>Segue notificação para análise:
[item:sas:qms:occurrence:8181]</t>
  </si>
  <si>
    <t>Tratativa de Incidentes - Nov/Dez (UTI - Falha no cuidado com dispositivos: 1261; 1314; 1399; 1407; 1471; 1472)</t>
  </si>
  <si>
    <t>TI 0543 / 2026</t>
  </si>
  <si>
    <t>Segue notificação para análise:
[item:sas:qms:occurrence:7816]
[item:sas:qms:occurrence:7990]
[item:sas:qms:occurrence:8487]
[item:sas:qms:occurrence:8543]
[item:sas:qms:occurrence:8632]
[item:sas:qms:occurrence:8633]</t>
  </si>
  <si>
    <t>Tratativa de Incidentes - Novembro (UTI - Paciente transferido de unidade em más condições de higiene: 1268)</t>
  </si>
  <si>
    <t>TI 0544 / 2026</t>
  </si>
  <si>
    <t>Segue notificação para análise:
[item:sas:qms:occurrence:7828]</t>
  </si>
  <si>
    <t>Tratativa de Incidentes - Dezembro (UTI - Descumprimento protocolo de Isolamento: 1386)</t>
  </si>
  <si>
    <t>TI 0545 / 2026</t>
  </si>
  <si>
    <t>Segue notificação para análise:
[item:sas:qms:occurrence:8420]</t>
  </si>
  <si>
    <t>Tratativa de Incidentes - Dezembro (UTI - Atraso na administração de ATB: 1468)</t>
  </si>
  <si>
    <t>TI 0546 / 2026</t>
  </si>
  <si>
    <t>Segue notificação para análise:
[item:sas:qms:occurrence:8624]</t>
  </si>
  <si>
    <t>Tratativa de Incidentes - Dezembro (UTI - Risco de Broncoaspiração: 1470)</t>
  </si>
  <si>
    <t>TI 0547 / 2026</t>
  </si>
  <si>
    <t>Segue notificação para análise:
[item:sas:qms:occurrence:8631]</t>
  </si>
  <si>
    <t>Tratativa de Incidentes - Dezembro (UTI - Falha na adesão as práticas de segurança do paciente: 1487; 1488)</t>
  </si>
  <si>
    <t>TI 0548 / 2026</t>
  </si>
  <si>
    <t>Segue notificação para análise:
[item:sas:qms:occurrence:8665]
[item:sas:qms:occurrence:8666]</t>
  </si>
  <si>
    <t>Tratativa de Incidentes - Dezembro (UTI - Falha na comunicação de paciente em precaução: 1496)</t>
  </si>
  <si>
    <t>TI 0549 / 2026</t>
  </si>
  <si>
    <t>Segue notificação para análise:
[item:sas:qms:occurrence:8697]</t>
  </si>
  <si>
    <t>Tratativa de Incidentes - Dezembro (UTI - Falta de itens na auditoria do carro de emergência: 1503)</t>
  </si>
  <si>
    <t>TI 0550 / 2026</t>
  </si>
  <si>
    <t>Segue notificação para análise:
[item:sas:qms:occurrence:8720]</t>
  </si>
  <si>
    <t>Análise de Óbito Evitável - (L.P.S.S - 283681: 0674)</t>
  </si>
  <si>
    <t>TI 0551 / 2026</t>
  </si>
  <si>
    <t>Segue notificação para análise:
[item:sas:qms:occurrence:4563]</t>
  </si>
  <si>
    <t>Análise Óbito - W.S.R - 290871: 0681)</t>
  </si>
  <si>
    <t>TI 0552 / 2026</t>
  </si>
  <si>
    <t>Segue notificação para análise:
[item:sas:qms:occurrence:4605]</t>
  </si>
  <si>
    <t>Tratativa de Incidente - Janeiro (CGO - Reação Transfusional: 1562)</t>
  </si>
  <si>
    <t>TI 0553 / 2026</t>
  </si>
  <si>
    <t>Segue notificação para análise:
[item:sas:qms:occurrence:8988]</t>
  </si>
  <si>
    <t>Tratativa de Incidentes - Janeiro/26 (UTI - Omissão de dose Esquema RIPE: 1548)</t>
  </si>
  <si>
    <t>TI 0554 / 2026</t>
  </si>
  <si>
    <t>Segue notificação para análise:
[item:sas:qms:occurrence:8923]</t>
  </si>
  <si>
    <t>Tratativa de Incidentes - Janeiro/26 (C. Cirúrgica - Omissão de dose por falta de prescrição médica: 1547)</t>
  </si>
  <si>
    <t>TI 0555 / 2026</t>
  </si>
  <si>
    <t>Segue notificação para análise:
[item:sas:qms:occurrence:8917]</t>
  </si>
  <si>
    <t>Tratativa de Incidentes - Janeiro/26 (UTI - Flebite química: 1549)</t>
  </si>
  <si>
    <t>TI 0556 / 2026</t>
  </si>
  <si>
    <t>Segue notificação para análise:
[item:sas:qms:occurrence:8926]</t>
  </si>
  <si>
    <t>Tratativa de Incidentes - Janeiro/26 (C. Cirúrgica - Flebite: 1551)</t>
  </si>
  <si>
    <t>TI 0557 / 2026</t>
  </si>
  <si>
    <t>Segue notificação para análise:
[item:sas:qms:occurrence:8938]</t>
  </si>
  <si>
    <t>Tratativa de Incidentes - Janeiro (CC - Reabordagem cirúrgica: 1582)</t>
  </si>
  <si>
    <t>TI 0558 / 2026</t>
  </si>
  <si>
    <t>Segue notificação para análise:
[item:sas:qms:occurrence:9126]</t>
  </si>
  <si>
    <t>Tratativa de Incidentes - Janeiro/26 (UTI - Lesão de pele: 1589)</t>
  </si>
  <si>
    <t>TI 0559 / 2026</t>
  </si>
  <si>
    <t>Segue notificação para análise:
[item:sas:qms:occurrence:9135]</t>
  </si>
  <si>
    <t>Tratativa de Incidentes - Janeiro/26 (UTI - LPP: 1574; 1584; 1538; 1575; 1526; 1647)</t>
  </si>
  <si>
    <t>TI 0560 / 2026</t>
  </si>
  <si>
    <t>Segue notificação para análise:
[item:sas:qms:occurrence:9062]
[item:sas:qms:occurrence:9130]
[item:sas:qms:occurrence:8895]
[item:sas:qms:occurrence:9063]
[item:sas:qms:occurrence:8792]
[item:sas:qms:occurrence:9256]</t>
  </si>
  <si>
    <t>Tratativa de Incidentes - Janeiro/26 (Óbito possivelmente evitável: 1578)</t>
  </si>
  <si>
    <t>TI 0561 / 2026</t>
  </si>
  <si>
    <t>Segue notificação para análise:
[item:sas:qms:occurrence:9068]</t>
  </si>
  <si>
    <t>Tratativa de Incidentes - Janeiro/26 (UCI - Infecção primária de corrente sanguínea: 1592)</t>
  </si>
  <si>
    <t>TI 0562 / 2026</t>
  </si>
  <si>
    <t>Segue notificação para análise:
[item:sas:qms:occurrence:9155]</t>
  </si>
  <si>
    <t>Tratativa de Incidentes - Janeiro/26 (Laboratório - Não encaminhamento de amostras ocasionando atraso no tratamento: 1609)</t>
  </si>
  <si>
    <t>TI 0563 / 2026</t>
  </si>
  <si>
    <t>Segue notificação para análise:
[item:sas:qms:occurrence:9182]</t>
  </si>
  <si>
    <t>Tratativa de Incidentes - Janeiro/26 (PS médico - Erro de diagnóstico e conduta - Leishmaniose: 1604)</t>
  </si>
  <si>
    <t>TI 0564 / 2026</t>
  </si>
  <si>
    <t>Segue notificação para análise:
[item:sas:qms:occurrence:9176]</t>
  </si>
  <si>
    <t>Tratativa de Incidentes - Janeiro (C. Ortopédica - Queda de paciente no banheiro: 1629)</t>
  </si>
  <si>
    <t>TI 0565 / 2026</t>
  </si>
  <si>
    <t>Segue notificação para análise:
[item:sas:qms:occurrence:9218]</t>
  </si>
  <si>
    <t>Tratativa de Incidentes - Janeiro (C. Ortopédica - LPP : 1630)</t>
  </si>
  <si>
    <t>TI 0566 / 2026</t>
  </si>
  <si>
    <t>Segue notificação para análise:
[item:sas:qms:occurrence:9219]</t>
  </si>
  <si>
    <t>Tratativa de Incidentes - Janeiro (CGO/PAM - ISC CESARIANA:  1622; 1623; 1624; 1625; 1626)</t>
  </si>
  <si>
    <t>TI 0567 / 2026</t>
  </si>
  <si>
    <t>Segue notificações para análise:
[item:sas:qms:occurrence:9207]
[item:sas:qms:occurrence:9208]
[item:sas:qms:occurrence:9209]
[item:sas:qms:occurrence:9210]
[item:sas:qms:occurrence:9211]</t>
  </si>
  <si>
    <t>Tratativa de Incidente - Janeiro/26 (UTI - Erro de medicação: 1657)</t>
  </si>
  <si>
    <t>TI 0568 / 2026</t>
  </si>
  <si>
    <t>Segue para análise:
[item:sas:qms:occurrence:9296]</t>
  </si>
  <si>
    <t xml:space="preserve">ENFERMAGEM CENTRO CIRURGICO </t>
  </si>
  <si>
    <t>TI 0569 / 2026</t>
  </si>
  <si>
    <t>Dia 27/01/26 FARMÁCIA CENTRO CIRURGICO entregou para enfermagem 4 rocurônio bipadas (medicação termolábil) 
02 unidades para paciente V.L.M.C.
02 unidades para paciente J.P.B.  
Enfermagem não conseguiu fazer devolução das maletas no mesmo dia, devolveram após 24h (28/01/26 as 17:00 horas)
Dia 28/01/26 foram devolvidos 4 rocurônio (medicação termolábil)  
Causando perda da medicação devido comprometimento com temperatura, pois ficou fora da geladeira por mais de 24h.</t>
  </si>
  <si>
    <t>Tratativa de Incidentes - Fevereiro (PS - Criança evolui para estado grave clínica no PS: 1658)</t>
  </si>
  <si>
    <t>TI 0570 / 2026</t>
  </si>
  <si>
    <t>Segue notificação para análise:
[item:sas:qms:occurrence:9304]</t>
  </si>
  <si>
    <t>Tratativa de Incidentes - Fevereiro (UTI - Investigação de reação transfusional: 1671)</t>
  </si>
  <si>
    <t>TI 0571 / 2026</t>
  </si>
  <si>
    <t>Segue notificação para análise:
[item:sas:qms:occurrence:9340]</t>
  </si>
  <si>
    <t>Tratativa de Incidentes - Janeiro (SADT - Demora na resposta e realização de exame em paciente crítico que evolui a óbito: 1645)</t>
  </si>
  <si>
    <t>TI 0572 / 2026</t>
  </si>
  <si>
    <t>Segue notificação para análise:
[item:sas:qms:occurrence:9248]</t>
  </si>
  <si>
    <t>Tratativa de Incidentes - Fev/26 (UTI - Interrupção de tratamento: 1679)</t>
  </si>
  <si>
    <t>TI 0573 / 2026</t>
  </si>
  <si>
    <t>Segue notificação para análise:
[item:sas:qms:occurrence:9373]</t>
  </si>
  <si>
    <t>Tratativa de Incidentes - Janeiro (C. médica - LPP: 1677)</t>
  </si>
  <si>
    <t>TI 0574 / 2026</t>
  </si>
  <si>
    <t>Segue notificação para análise:
[item:sas:qms:occurrence:9369]</t>
  </si>
  <si>
    <t>Tratativa de Incidentes - Janeiro/26 (CGO - HPP: 1512)</t>
  </si>
  <si>
    <t>TI 0575 / 2026</t>
  </si>
  <si>
    <t>Segue notificação para análise:
[item:sas:qms:occurrence:8753]</t>
  </si>
  <si>
    <t>Tratativa de Incidentes - Jan/26 (CGO - Erro de medicação: 1527)</t>
  </si>
  <si>
    <t>TI 0576 / 2026</t>
  </si>
  <si>
    <t>Segue notificação para análise:
[item:sas:qms:occurrence:8793]</t>
  </si>
  <si>
    <t>Tratativa de Incidentes - Jan/26 (UCI - ÓBTIO LACTENTE: 1564)</t>
  </si>
  <si>
    <t>TI 0577 / 2026</t>
  </si>
  <si>
    <t>Segue notificação para análise:
[item:sas:qms:occurrence:9021]</t>
  </si>
  <si>
    <t>Tratativa de Incidentes - Jan/26 (UTI - PAV: 1593)</t>
  </si>
  <si>
    <t>TI 0578 / 2026</t>
  </si>
  <si>
    <t>Segue notificação para análise:
[item:sas:qms:occurrence:9158]</t>
  </si>
  <si>
    <t>Tratativa de Incidentes - Jan/26 (C. Cirúrgica - LPP: 1621)</t>
  </si>
  <si>
    <t>TI 0579 / 2026</t>
  </si>
  <si>
    <t>Segue notificação para análise:
[item:sas:qms:occurrence:9206]</t>
  </si>
  <si>
    <t>Tratativa de Incidentes - Jan/26 (PS - Óbito M. S. C 310400: 1627)</t>
  </si>
  <si>
    <t>TI 0580 / 2026</t>
  </si>
  <si>
    <t>Segue notificação para análise:
[item:sas:qms:occurrence:9212]</t>
  </si>
  <si>
    <t>Tratativa de Incidentes - Jan/26 (PS - ÓBITO N. P. P. S 3416: 1628)</t>
  </si>
  <si>
    <t>TI 0581 / 2026</t>
  </si>
  <si>
    <t>Segue notificação para análise:
[item:sas:qms:occurrence:9213]</t>
  </si>
  <si>
    <t>Tratativa de Incidentes - Jan/26 (UTI - ÓBITO ADULTO ACDF 190698: 1653)</t>
  </si>
  <si>
    <t>TI 0582 / 2026</t>
  </si>
  <si>
    <t>Segue notificação para análise:
[item:sas:qms:occurrence:9280]</t>
  </si>
  <si>
    <t>Tratativa de Incidentes - Jan/26 (UTI - ÓBITO ADULTO MESS 330435: 1654)</t>
  </si>
  <si>
    <t>TI 0583 / 2026</t>
  </si>
  <si>
    <t>Segue notificação para análise:
[item:sas:qms:occurrence:9281]</t>
  </si>
  <si>
    <t>Tratativa de Incidentes - Jan/26 (PS - CJS 221540: 1655)</t>
  </si>
  <si>
    <t>TI 0584 / 2026</t>
  </si>
  <si>
    <t>Segue notificação para análise:
[item:sas:qms:occurrence:9282]</t>
  </si>
  <si>
    <t>Tratativa de Incidentes - Jan/26 (CC - Falha na identificação de dispositivos: 1530; 1571; 1585; 1587; 1594; 1598)</t>
  </si>
  <si>
    <t>TI 0585 / 2026</t>
  </si>
  <si>
    <t>Segue notificações para análise:
[item:sas:qms:occurrence:8810]
[item:sas:qms:occurrence:9055]
[item:sas:qms:occurrence:9132]
[item:sas:qms:occurrence:9133]
[item:sas:qms:occurrence:9162]
[item:sas:qms:occurrence:9167]</t>
  </si>
  <si>
    <t>Tratativa de Incidentes - Jan/26 (CC - Uso de adorno no CC: 1557)</t>
  </si>
  <si>
    <t>TI 0586 / 2026</t>
  </si>
  <si>
    <t>Segue notificação para análise:
[item:sas:qms:occurrence:8955]</t>
  </si>
  <si>
    <t>Tratativa de Incidentes - Jan/26 (CC - Paciente sem pulseira de alergia: 1572; 1573)</t>
  </si>
  <si>
    <t>TI 0587 / 2026</t>
  </si>
  <si>
    <t>Segue notificação para análise:
[item:sas:qms:occurrence:9056]
[item:sas:qms:occurrence:9057]</t>
  </si>
  <si>
    <t>Tratativa de Incidentes - Jan/26 (CC - Falta de prescrição médica: 1576; 1633)</t>
  </si>
  <si>
    <t>TI 0588 / 2026</t>
  </si>
  <si>
    <t>Segue notificação para análise:
[item:sas:qms:occurrence:9066]
[item:sas:qms:occurrence:9234]</t>
  </si>
  <si>
    <t>Tratativa de Incidentes - Jan/26 (CC - Não realizado procedimento, paciente em dieta zero: 1583)</t>
  </si>
  <si>
    <t>TI 0589 / 2026</t>
  </si>
  <si>
    <t>Segue notificação para análise:
[item:sas:qms:occurrence:9127]</t>
  </si>
  <si>
    <t>Tratativa de Incidentes - Jan/26 (CC - Não conformidades quanto a biossegurança: 1586)</t>
  </si>
  <si>
    <t>TI 0590 / 2026</t>
  </si>
  <si>
    <t>Segue notificação para análise:
[item:sas:qms:occurrence:9131]</t>
  </si>
  <si>
    <t>Tratativa de Incidentes - Jan/26 (CC - Prescrições de pacientes diferentes no mesmo prontuário: 1588)</t>
  </si>
  <si>
    <t>TI 0591 / 2026</t>
  </si>
  <si>
    <t>Segue notificação para análise:
[item:sas:qms:occurrence:9134]</t>
  </si>
  <si>
    <t>Tratativa de Incidentes - Jan/26 (CC - Erro na identificação: 1600)</t>
  </si>
  <si>
    <t>TI 0592 / 2026</t>
  </si>
  <si>
    <t>Segue notificação para análise:
[item:sas:qms:occurrence:9170]</t>
  </si>
  <si>
    <t>Tratativa de Incidentes - Jan/26 (Gestão de acesso - Risco de Evasão: 1566)</t>
  </si>
  <si>
    <t>TI 0593 / 2026</t>
  </si>
  <si>
    <t>Segue notificação para análise:
[item:sas:qms:occurrence:9035]</t>
  </si>
  <si>
    <t>Tratativa de Incidentes - Jan/26 (CPN - Ambu sem data de validade : 1642)</t>
  </si>
  <si>
    <t>TI 0594 / 2026</t>
  </si>
  <si>
    <t>Segue notificação para análise:
[item:sas:qms:occurrence:9243]</t>
  </si>
  <si>
    <t>Tratativa de Incidentes - Jan/26 (Farmácia - Falha de identificação de soro na dispensação: 1570)</t>
  </si>
  <si>
    <t>TI 0595 / 2026</t>
  </si>
  <si>
    <t>Segue notificação para análise:
[item:sas:qms:occurrence:9048]</t>
  </si>
  <si>
    <t>Tratativa de Incidentes - Jan/26 (Farmácia - Erro de dispensação: 1596)</t>
  </si>
  <si>
    <t>TI 0596 / 2026</t>
  </si>
  <si>
    <t>Segue notificação para análise:
[item:sas:qms:occurrence:9165]</t>
  </si>
  <si>
    <t>Tratativa de Incidentes - Jan/ 26 (NIR - Falha de processo de Agendamento de exame: 1568)</t>
  </si>
  <si>
    <t>TI 0597 / 2026</t>
  </si>
  <si>
    <t>Segue notificação para análise:
[item:sas:qms:occurrence:9037]</t>
  </si>
  <si>
    <t>Tratativa de Incidentes - Jan/26 (NIR - Fluxo de Pacientes em Leitos Virtuais: 1577)</t>
  </si>
  <si>
    <t>TI 0598 / 2026</t>
  </si>
  <si>
    <t>Segue notificação para análise:
[item:sas:qms:occurrence:9067]</t>
  </si>
  <si>
    <t>Tratativa de Incidentes - Jan/26 (PAM - RN sem alimentação: 1511)</t>
  </si>
  <si>
    <t>TI 0599 / 2026</t>
  </si>
  <si>
    <t>Segue notificação para análise:
[item:sas:qms:occurrence:8749]</t>
  </si>
  <si>
    <t>Tratativa de Incidentes - Jan/26 (PAM - Falha na comunicação: 1555)</t>
  </si>
  <si>
    <t>TI 0600 / 2026</t>
  </si>
  <si>
    <t>Segue notificação para análise:
[item:sas:qms:occurrence:8946]</t>
  </si>
  <si>
    <t>Tratativa de Incidentes - Jan/26 (PAM - Falha na identificação de pacientes: 1595; 1648)</t>
  </si>
  <si>
    <t>TI 0601 / 2026</t>
  </si>
  <si>
    <t>Segue notificação para análise:
[item:sas:qms:occurrence:9164]
[item:sas:qms:occurrence:9263]</t>
  </si>
  <si>
    <t>Tratativa de Incidentes - Jan/26 (PS - Risco no encaminhamento de paciente para realização de exame: 1514; 1522; 1552; 1553; 1554; 1563)</t>
  </si>
  <si>
    <t>TI 0602 / 2026</t>
  </si>
  <si>
    <t>Segue notificações para análise:
[item:sas:qms:occurrence:8756]
[item:sas:qms:occurrence:8783]
[item:sas:qms:occurrence:8941]
[item:sas:qms:occurrence:8942]
[item:sas:qms:occurrence:8945]
[item:sas:qms:occurrence:9019]</t>
  </si>
  <si>
    <t>Tratativa de Incidentes - Jan/26 (PS - Não coleta de material para realização de exame: 1536; 1537)</t>
  </si>
  <si>
    <t>TI 0603 / 2026</t>
  </si>
  <si>
    <t>Segue notificações para análise:
[item:sas:qms:occurrence:8892]
[item:sas:qms:occurrence:8893]</t>
  </si>
  <si>
    <t>Tratativa de Incidentes - Jan/26 (PS - Falha na identificação: 1539; 1540; 1541; 1542; 1543; 1559; 1591)</t>
  </si>
  <si>
    <t>TI 0604 / 2026</t>
  </si>
  <si>
    <t>Segue notificação para análise:
[item:sas:qms:occurrence:8909]
[item:sas:qms:occurrence:8910]
[item:sas:qms:occurrence:8911]
[item:sas:qms:occurrence:8912]
[item:sas:qms:occurrence:8913]
[item:sas:qms:occurrence:8967]
[item:sas:qms:occurrence:9156]</t>
  </si>
  <si>
    <t>Tratativa de Incidentes - Jan/26 (PS - Demora na profilaxia antirretroviral em paciente pediátrico: 1581)</t>
  </si>
  <si>
    <t>TI 0605 / 2026</t>
  </si>
  <si>
    <t>Segue notificação para análise:
[item:sas:qms:occurrence:9125]</t>
  </si>
  <si>
    <t>Tratativa de Incidentes - Jan/26 (PS - Higienização das mãos prejudicada: 1599)</t>
  </si>
  <si>
    <t>TI 0606 / 2026</t>
  </si>
  <si>
    <t>Segue notificação para análise:
[item:sas:qms:occurrence:9169]</t>
  </si>
  <si>
    <t>Tratativa de Incidentes - Jan/26 (PS - Mobília impossibilitando higienização adequada: 1602; 1605)</t>
  </si>
  <si>
    <t>TI 0607 / 2026</t>
  </si>
  <si>
    <t>Segue notificação para análise:
[item:sas:qms:occurrence:9173]
[item:sas:qms:occurrence:9174]</t>
  </si>
  <si>
    <t>Tratativa de Incidentes - Jan/26 (PS - Não utilização  de EPI : 1606)</t>
  </si>
  <si>
    <t>TI 0608 / 2026</t>
  </si>
  <si>
    <t>Segue notificação para análise:
[item:sas:qms:occurrence:9179]</t>
  </si>
  <si>
    <t>Tratativa de Incidentes - Jan/26 (PS - Liberação de Dieta no PS por profissional não habilitado: 1612)</t>
  </si>
  <si>
    <t>TI 0609 / 2026</t>
  </si>
  <si>
    <t>Segue notificação para análise:
[item:sas:qms:occurrence:9185]</t>
  </si>
  <si>
    <t>Tratativa de Incidentes - Jan/26 (PS - Falha no diagnóstico resultando em alta insegura: 1632)</t>
  </si>
  <si>
    <t>TI 0610 / 2026</t>
  </si>
  <si>
    <t>Segue notificação para análise:
[item:sas:qms:occurrence:9231]</t>
  </si>
  <si>
    <t>Tratativa de Incidentes - Jan/26 (PS - Desorganização em carro de emergência: 1634)</t>
  </si>
  <si>
    <t>TI 0611 / 2026</t>
  </si>
  <si>
    <t>Segue notificação para análise:
[item:sas:qms:occurrence:9235]</t>
  </si>
  <si>
    <t>Tratativa de Incidentes - Jan/26 (PS - Gel sem identificação: 1635)</t>
  </si>
  <si>
    <t>TI 0612 / 2026</t>
  </si>
  <si>
    <t>Segue notificação para análise:
[item:sas:qms:occurrence:9236]</t>
  </si>
  <si>
    <t>Tratativa de Incidentes - Jan/26 (PS - Erro na cadeia medicamentosa: 1643)</t>
  </si>
  <si>
    <t>TI 0613 / 2026</t>
  </si>
  <si>
    <t>Segue notificação para análise:
[item:sas:qms:occurrence:9244]</t>
  </si>
  <si>
    <t>Tratativa de Incidentes - Jan/26 (PS - Erro de prescrição: 1644)</t>
  </si>
  <si>
    <t>TI 0614 / 2026</t>
  </si>
  <si>
    <t>Segue notificação para análise:
[item:sas:qms:occurrence:9245]</t>
  </si>
  <si>
    <t>Tratativa de Incidentes - Jan/26 (PS - Cateter nasal sem proteção: 1649)</t>
  </si>
  <si>
    <t>TI 0615 / 2026</t>
  </si>
  <si>
    <t>Segue notificação para análise:
[item:sas:qms:occurrence:9267]</t>
  </si>
  <si>
    <t>Tratativa de Incidentes - Jan/26 (PSICO - Más Condições de higiene e desorganização no leito: 1534)</t>
  </si>
  <si>
    <t>TI 0616 / 2026</t>
  </si>
  <si>
    <t>Segue notificação para análise:
[item:sas:qms:occurrence:8875]</t>
  </si>
  <si>
    <t>Tratativa de Incidentes - Jan/26 (PSICO - Testagem do carro de emergência não realizada: 1637)</t>
  </si>
  <si>
    <t>TI 0617 / 2026</t>
  </si>
  <si>
    <t>Segue notificação para análise:
[item:sas:qms:occurrence:9238]</t>
  </si>
  <si>
    <t>Tratativa de Incidentes - Jan/26 (Recepção - Erro de cadastro: 1567)</t>
  </si>
  <si>
    <t>TI 0618 / 2026</t>
  </si>
  <si>
    <t>Segue notificação para análise:
[item:sas:qms:occurrence:9036]</t>
  </si>
  <si>
    <t>Tratativa de Incidentes - Jan/26 (SADT - Recusa no atendimento: 1580)</t>
  </si>
  <si>
    <t>TI 0619 / 2026</t>
  </si>
  <si>
    <t>Segue notificação para análise:
[item:sas:qms:occurrence:9070]</t>
  </si>
  <si>
    <t>Tratativa de Incidentes - Jan/26 (SHL - Desabastecimento de insumo: 1650)</t>
  </si>
  <si>
    <t>TI 0620 / 2026</t>
  </si>
  <si>
    <t>Segue notificação para análise:
[item:sas:qms:occurrence:9268]</t>
  </si>
  <si>
    <t>Tratativa de Incidentes - Jan/26 (UCI - Não Conformidade no Preenchimento de Bundles: 1560)</t>
  </si>
  <si>
    <t>TI 0621 / 2026</t>
  </si>
  <si>
    <t>Segue notificação para análise:
[item:sas:qms:occurrence:8973]</t>
  </si>
  <si>
    <t>Tratativa de Incidentes - Jan/26 (UCI - Testagem do carro de emergência não realizada: 1638)</t>
  </si>
  <si>
    <t>TI 0622 / 2026</t>
  </si>
  <si>
    <t>Segue notificação para análise:
[item:sas:qms:occurrence:9239]</t>
  </si>
  <si>
    <t>Tratativa de Incidentes - Jan/26 (Ambulatório - Leitos sem identificação beira leito: 1535)</t>
  </si>
  <si>
    <t>TI 0623 / 2026</t>
  </si>
  <si>
    <t>Segue notificação para análise:
[item:sas:qms:occurrence:8876]</t>
  </si>
  <si>
    <t>Tratativa de Incidentes - Jan/26 (Laboratório - Falha no uso de EPI: 1569)</t>
  </si>
  <si>
    <t>TI 0624 / 2026</t>
  </si>
  <si>
    <t>Beatriz dos Santos Brabo</t>
  </si>
  <si>
    <t>Segue notificação para análise:
[item:sas:qms:occurrence:9047]</t>
  </si>
  <si>
    <t>Tratativa de Incidentes - Jan/26 (C. Cirúrgica - Amostra não coletada para realização de exame: 1516)</t>
  </si>
  <si>
    <t>TI 0625 / 2026</t>
  </si>
  <si>
    <t>Segue notificação para análise:
[item:sas:qms:occurrence:8758]</t>
  </si>
  <si>
    <t>Tratativa de Incidentes - Jan/26 (C. Cirúrgica - Falta de registro em prontuário e conduta inadequada: 1517)</t>
  </si>
  <si>
    <t>TI 0626 / 2026</t>
  </si>
  <si>
    <t>Segue notificação para análise:
[item:sas:qms:occurrence:8760]</t>
  </si>
  <si>
    <t>Tratativa de Incidentes - Jan/26 (C. Cirúrgica - Paciente desassistido: 1521)</t>
  </si>
  <si>
    <t>TI 0627 / 2026</t>
  </si>
  <si>
    <t>Segue notificação para análise:
[item:sas:qms:occurrence:8771]</t>
  </si>
  <si>
    <t>Tratativa de Incidentes - Jan/26 (C. Cirúrgica - Falha nos cuidados com dispositivo: 1550; 1614)</t>
  </si>
  <si>
    <t>TI 0628 / 2026</t>
  </si>
  <si>
    <t>Segue notificação para análise:
[item:sas:qms:occurrence:8935]
[item:sas:qms:occurrence:9187]</t>
  </si>
  <si>
    <t>Tratativa de Incidentes - Jan/26 (C. Cirúrgica - Não adesão ao protocolo de Sepse: 1556)</t>
  </si>
  <si>
    <t>TI 0629 / 2026</t>
  </si>
  <si>
    <t>Segue notificação para análise:
[item:sas:qms:occurrence:8947]</t>
  </si>
  <si>
    <t>Tratativa de Incidentes - Jan/26 (C. Cirúrgica - Mobília inadequada para higienização: 1608; 1616)</t>
  </si>
  <si>
    <t>TI 0630 / 2026</t>
  </si>
  <si>
    <t>Segue notificação para análise:
[item:sas:qms:occurrence:9178]
[item:sas:qms:occurrence:9192]</t>
  </si>
  <si>
    <t>Tratativa de Incidentes - Jan/26 (C. Cirúrgica - Cateter nasal exposto: 1615)</t>
  </si>
  <si>
    <t>TI 0631 / 2026</t>
  </si>
  <si>
    <t>Segue notificação para análise:
[item:sas:qms:occurrence:9188]</t>
  </si>
  <si>
    <t>Tratativa de Incidentes - Jan/26 (C. Cirúrgica - Falha no uso de EPI: 1617; 1618; 1651)</t>
  </si>
  <si>
    <t>TI 0632 / 2026</t>
  </si>
  <si>
    <t>Segue notificação para análise:
[item:sas:qms:occurrence:9193]
[item:sas:qms:occurrence:9194]
[item:sas:qms:occurrence:9269]</t>
  </si>
  <si>
    <t>Tratativa de Incidentes - Jan/26 (C. Cirúrgica - Gel sem identificação de validade: 1640)</t>
  </si>
  <si>
    <t>TI 0633 / 2026</t>
  </si>
  <si>
    <t>Segue notificação para análise:
[item:sas:qms:occurrence:9241]</t>
  </si>
  <si>
    <t>Tratativa de Incidentes - Jan/26 (C. Cirúrgica - Ambu com data de validade vencida: 1641)</t>
  </si>
  <si>
    <t>TI 0634 / 2026</t>
  </si>
  <si>
    <t>Segue notificação para análise:
[item:sas:qms:occurrence:9242]</t>
  </si>
  <si>
    <t>Tratativa de Incidentes - Jan/26 (C. Médica - Prescrição de medicação com diluição inadequada: 1565)</t>
  </si>
  <si>
    <t>TI 0635 / 2026</t>
  </si>
  <si>
    <t>Segue notificação para análise:
[item:sas:qms:occurrence:9034]</t>
  </si>
  <si>
    <t>Tratativa de Incidentes - Jan/26 (C. Médica - Larvas em cavidade oral de paciente: 1579)</t>
  </si>
  <si>
    <t>TI 0636 / 2026</t>
  </si>
  <si>
    <t>Segue notificação para análise:
[item:sas:qms:occurrence:9069]</t>
  </si>
  <si>
    <t>Tratativa de Incidentes - Jan/26 (C. Médica - Falha no registro em prontuário: 1613)</t>
  </si>
  <si>
    <t>TI 0637 / 2026</t>
  </si>
  <si>
    <t>Segue notificação para análise:
[item:sas:qms:occurrence:9186]</t>
  </si>
  <si>
    <t>Tratativa de Incidentes - Jan/26 (C. Médica - Falha no uso de EPI: 1619; 1646)</t>
  </si>
  <si>
    <t>TI 0638 / 2026</t>
  </si>
  <si>
    <t>Segue notificação para análise:
[item:sas:qms:occurrence:9195]
[item:sas:qms:occurrence:9254]</t>
  </si>
  <si>
    <t>Tratativa de Incidentes - Jan/26 (C. Médica - Falha nos cuidados com dispositivo: 1620)</t>
  </si>
  <si>
    <t>TI 0639 / 2026</t>
  </si>
  <si>
    <t>Segue notificação para análise:
[item:sas:qms:occurrence:9196]</t>
  </si>
  <si>
    <t>Tratativa de Incidentes Jan/26 (CGO - Leite sem identificação: 1603)</t>
  </si>
  <si>
    <t>TI 0640 / 2026</t>
  </si>
  <si>
    <t>Segue notificação para análise:
[item:sas:qms:occurrence:9175]</t>
  </si>
  <si>
    <t>Tratativa de Incidentes - Jan/26 (C. Ortopédica - Falha na identificação: 1544)</t>
  </si>
  <si>
    <t>TI 0641 / 2026</t>
  </si>
  <si>
    <t>Segue notificação para análise:
[item:sas:qms:occurrence:8914]</t>
  </si>
  <si>
    <t>Tratativa de Incidentes - Jan/26 (C. Ortopedica - Paciente sem TCLE: 1590)</t>
  </si>
  <si>
    <t>TI 0642 / 2026</t>
  </si>
  <si>
    <t>Segue notificação para análise:
[item:sas:qms:occurrence:9153]</t>
  </si>
  <si>
    <t xml:space="preserve">Tratativa de Incidentes - Jan/26 (C. Ortopédica - Paciente com SNG sem identificação: 1611) </t>
  </si>
  <si>
    <t>TI 0643 / 2026</t>
  </si>
  <si>
    <t>Segue notificação para análise:
[item:sas:qms:occurrence:9184]</t>
  </si>
  <si>
    <t>Tratativa de Incidentes - Janeiro/26 (C. Pediátrica - AVP não funcionante: 1558)</t>
  </si>
  <si>
    <t>TI 0644 / 2026</t>
  </si>
  <si>
    <t>Segue notificação para análise:
[item:sas:qms:occurrence:8966]</t>
  </si>
  <si>
    <t>Tratativa de Incidentes - Jan/26 (Laboratório - Exames não coletados: 1515)</t>
  </si>
  <si>
    <t>TI 0645 / 2026</t>
  </si>
  <si>
    <t>Segue notificação para análise:
[item:sas:qms:occurrence:8757]</t>
  </si>
  <si>
    <t>Tratativa de Incidentes - Jan/26 (UTI - Curativos não identificados: 1531; 1532; 1533)</t>
  </si>
  <si>
    <t>TI 0646 / 2026</t>
  </si>
  <si>
    <t>Segue notificações para análise:
[item:sas:qms:occurrence:8847]
[item:sas:qms:occurrence:8852]
[item:sas:qms:occurrence:8855]</t>
  </si>
  <si>
    <t>Tratativa de Incidentes - Jan/26 (UTI - Falha no preenchimento de Bundle: 1631)</t>
  </si>
  <si>
    <t>TI 0647 / 2026</t>
  </si>
  <si>
    <t>Segue notificação para análise:
[item:sas:qms:occurrence:9225]</t>
  </si>
  <si>
    <t>Tratativa de Incidentes - Jan/26 (UTI - Gel com data de validade vencida: 1636)</t>
  </si>
  <si>
    <t>TI 0648 / 2026</t>
  </si>
  <si>
    <t>Segue notificação para análise:
[item:sas:qms:occurrence:9237]</t>
  </si>
  <si>
    <t>Tratativa de Incidentes - Fev/26 (C. Médica - Omissão de dose tratamento de malária: 1700; 1712)</t>
  </si>
  <si>
    <t>TI 0649 / 2026</t>
  </si>
  <si>
    <t>Segue notificações para análise:
[item:sas:qms:occurrence:9466]
[item:sas:qms:occurrence:9592]</t>
  </si>
  <si>
    <t>Tratativa de Incidentes - Fev/26 (CGO - Medicação checada porém não foi administrada: 1726)</t>
  </si>
  <si>
    <t>TI 0650 / 2026</t>
  </si>
  <si>
    <t>Segue notificação para análise:
[item:sas:qms:occurrence:9633]</t>
  </si>
  <si>
    <t>Tratativa de Incidentes - Fev/26 (PS - Falha na detecção e acionamento do TRR: 1708)</t>
  </si>
  <si>
    <t>TI 0651 / 2026</t>
  </si>
  <si>
    <t>Segue notificação para análise:
[item:sas:qms:occurrence:9513]</t>
  </si>
  <si>
    <t>Tratativa de Incidentes - Fev/26 (UTI - Omissão de dose: 1733)</t>
  </si>
  <si>
    <t>TI 0652 / 2026</t>
  </si>
  <si>
    <t>Segue notificação para análise:
[item:sas:qms:occurrence:9653]</t>
  </si>
  <si>
    <t>Tratativa de Incidentes - Fev/26 (UTI - Provável Alta precoce: 1731)</t>
  </si>
  <si>
    <t>TI 0653 / 2026</t>
  </si>
  <si>
    <t>Segue para análise:
[item:sas:qms:occurrence:9645]</t>
  </si>
  <si>
    <t>Tratativa de Incidentes - Fev/26 (CGO - Erro de medicação: 1702)</t>
  </si>
  <si>
    <t>TI 0654 / 2026</t>
  </si>
  <si>
    <t>Segue notificação para análise:
[item:sas:qms:occurrence:9475]</t>
  </si>
  <si>
    <t>Tratativa de Incidentes - Fev/26 (CGO - HPP : 1730)</t>
  </si>
  <si>
    <t>TI 0655 / 2026</t>
  </si>
  <si>
    <t>Segue notificação para análise:
[item:sas:qms:occurrence:9641]</t>
  </si>
  <si>
    <t>Tratativa de Incidentes - Fev/26 (Pediatria - Omissão de dose: 1678)</t>
  </si>
  <si>
    <t>TI 0656 / 2026</t>
  </si>
  <si>
    <t>Segue notificação para análise:
[item:sas:qms:occurrence:9365]</t>
  </si>
  <si>
    <t>Tratativa de Incidentes - Fev/26 (CC - Reoperação por complicação em Cesariana: 1737)</t>
  </si>
  <si>
    <t>TI 0657 / 2026</t>
  </si>
  <si>
    <t>Segue notificação para análise:
[item:sas:qms:occurrence:9725]</t>
  </si>
  <si>
    <t>Tratativa de Incidentes - Fev/26 (C. Médica - Omissão de dose: 1765)</t>
  </si>
  <si>
    <t>TI 0658 / 2026</t>
  </si>
  <si>
    <t>Segue notificação para análise:
[item:sas:qms:occurrence:9808]</t>
  </si>
  <si>
    <t>Tratativa de Incidentes - Fev/26 (UTI - Óbito por Sepse: 1773)</t>
  </si>
  <si>
    <t>TI 0659 / 2026</t>
  </si>
  <si>
    <t>Segue notificação para análise:
[item:sas:qms:occurrence:9827]</t>
  </si>
  <si>
    <t>Tratativa de Incidentes - Fev/26 (C. Cirúrgica - Flebite e falha na passagem de plantão: 1746)</t>
  </si>
  <si>
    <t>TI 0660 / 2026</t>
  </si>
  <si>
    <t>Segue notificação para análise:
[item:sas:qms:occurrence:9748]</t>
  </si>
  <si>
    <t>Tratativa de Incidentes - Fev/26 (Farmácia - Medicação para trombólise não dispensada em tempo hábil: 1759)</t>
  </si>
  <si>
    <t>TI 0661 / 2026</t>
  </si>
  <si>
    <t>Segue notificação para análise:
[item:sas:qms:occurrence:9792]</t>
  </si>
  <si>
    <t>Tratativa de Incidentes - Fev/26 (CGO - Falha no processo de hemotransfusão: 1753)</t>
  </si>
  <si>
    <t>TI 0662 / 2026</t>
  </si>
  <si>
    <t>Segue notificação para análise:
[item:sas:qms:occurrence:9785]</t>
  </si>
  <si>
    <t>Tratativa de Incidentes - Fev/26 (UTI - Extubação acidental: 1763)</t>
  </si>
  <si>
    <t>TI 0663 / 2026</t>
  </si>
  <si>
    <t>Segue notificação para análise:
[item:sas:qms:occurrence:9798]</t>
  </si>
  <si>
    <t>Tratativa de Incidentes - Fev/26 (Laboratório - Recoleta: 1764)</t>
  </si>
  <si>
    <t>TI 0664 / 2026</t>
  </si>
  <si>
    <t>Segue notificação para análise:
[item:sas:qms:occurrence:9801]</t>
  </si>
  <si>
    <t>Tratativa de Incidentes - Fev/26 (C. Médica - Paciente em uso de dieta enteral vencida: 1768)</t>
  </si>
  <si>
    <t>TI 0665 / 2026</t>
  </si>
  <si>
    <t>Segue notificação para análise:
[item:sas:qms:occurrence:9820]</t>
  </si>
  <si>
    <t>Tratativa de Incidentes - Fev/26 (UTI - Extubação acidental: 1774)</t>
  </si>
  <si>
    <t>TI 0666 / 2026</t>
  </si>
  <si>
    <t>Segue notificação para análise:
[item:sas:qms:occurrence:9828]</t>
  </si>
  <si>
    <t>Tratativa de Incidentes - Fev/26 (UTI - Falha na conferência e administração de dieta: 1668; 1670)</t>
  </si>
  <si>
    <t>TI 0667 / 2026</t>
  </si>
  <si>
    <t>Segue notificação para análise:
[item:sas:qms:occurrence:9337]
[item:sas:qms:occurrence:9339]</t>
  </si>
  <si>
    <t>Tratativa de Incidentes - Fev/26 (C. Cirúrgica - Possível reação transfusional: 1681)</t>
  </si>
  <si>
    <t>TI 0668 / 2026</t>
  </si>
  <si>
    <t>Segue notificação para análise:
[item:sas:qms:occurrence:9381]</t>
  </si>
  <si>
    <t>Tratativa de Incidentes - Fev/26 (UTI - Omissão de dose por falta de prescrição: 1748)</t>
  </si>
  <si>
    <t>TI 0669 / 2026</t>
  </si>
  <si>
    <t>Segue notificação para análise:
[item:sas:qms:occurrence:9750]</t>
  </si>
  <si>
    <t>Tratativa de Incidentes - Fev/26 (UCI - Incidente relacionado a fixação de CVC: 1772)</t>
  </si>
  <si>
    <t>TI 0670 / 2026</t>
  </si>
  <si>
    <t>Mara Silvia Rezende Freitas</t>
  </si>
  <si>
    <t>Segue notificação para análise:
[item:sas:qms:occurrence:9823]</t>
  </si>
  <si>
    <t>Tratativa de Incidentes - Fev/26 (C. Ortopédica - ISC: 1797)</t>
  </si>
  <si>
    <t>TI 0671 / 2026</t>
  </si>
  <si>
    <t>Segue notificação para análise:
[item:sas:qms:occurrence:9891]</t>
  </si>
  <si>
    <t>Tratativa de Incidentes - Fev/26 (CC - Falha no posicionamento de Clamp umbilical: 1867)</t>
  </si>
  <si>
    <t>TI 0672 / 2026</t>
  </si>
  <si>
    <t>Segue notificação para análise:
[item:sas:qms:occurrence:10016]</t>
  </si>
  <si>
    <t>Tratativa de Incidentes - Fev/26 (C. Cirúrgica - Falha na avaliação de paciente para hemotransfusão: 1868)</t>
  </si>
  <si>
    <t>TI 0673 / 2026</t>
  </si>
  <si>
    <t>Segue notificação para análise:
[item:sas:qms:occurrence:10027]</t>
  </si>
  <si>
    <t>Tratativa de Incidentes - Fev/26 (PS - Intercorrência durante transporte de paciente crítico para o CC: 1883)</t>
  </si>
  <si>
    <t>TI 0674 / 2026</t>
  </si>
  <si>
    <t>Segue notificação para análise:
[item:sas:qms:occurrence:10109]</t>
  </si>
  <si>
    <t>Tratativa de Incidentes - Fev/26 (CC - Falha no cuidado com dispositivos: 1674; 1675; 1683; 1723; 1741; 1793)</t>
  </si>
  <si>
    <t>TI 0675 / 2026</t>
  </si>
  <si>
    <t>Segue notificação para análise:
[item:sas:qms:occurrence:9359]
[item:sas:qms:occurrence:9361]
[item:sas:qms:occurrence:9399]
[item:sas:qms:occurrence:9625]
[item:sas:qms:occurrence:9730]
[item:sas:qms:occurrence:9885]</t>
  </si>
  <si>
    <t>Tratativa de Incidentes - Fev/26 (CC - Falha na higienização de paciente: 1709)</t>
  </si>
  <si>
    <t>TI 0676 / 2026</t>
  </si>
  <si>
    <t>Segue notificação para análise:
[item:sas:qms:occurrence:9521]</t>
  </si>
  <si>
    <t>Tratativa de Incidentes - Fev/26 (CC - Falta de avaliação Pré-anestésica: 1781)</t>
  </si>
  <si>
    <t>TI 0677 / 2026</t>
  </si>
  <si>
    <t>Segue notificação para análise:
[item:sas:qms:occurrence:9871]</t>
  </si>
  <si>
    <t>Tratativa de Incidentes - Fev/26 (CC - Materiais vencidos: 1782)</t>
  </si>
  <si>
    <t>TI 0678 / 2026</t>
  </si>
  <si>
    <t>Segue notificação para análise:
[item:sas:qms:occurrence:9873]</t>
  </si>
  <si>
    <t>Tratativa de Incidentes - Fev/26 (CC - Não realizado conferência do carrinho anestésico: 1783)</t>
  </si>
  <si>
    <t>TI 0679 / 2026</t>
  </si>
  <si>
    <t>Segue notificação para análise:
[item:sas:qms:occurrence:9874]</t>
  </si>
  <si>
    <t>Tratativa de Incidentes - Fev/26 (CC - Pacientes Sem Pulseira de Identificação: 1784)</t>
  </si>
  <si>
    <t>TI 0680 / 2026</t>
  </si>
  <si>
    <t>Segue notificação para análise:
[item:sas:qms:occurrence:9875]</t>
  </si>
  <si>
    <t>Tratativa de Incidentes - Fev/26 (CC - Não houve confirmação verbal do "Time Out" cirúrgico: 1785)</t>
  </si>
  <si>
    <t>TI 0681 / 2026</t>
  </si>
  <si>
    <t>Segue notificação para análise:
[item:sas:qms:occurrence:9876]</t>
  </si>
  <si>
    <t>Tratativa de Incidentes - Fev/26 (UTI - Não Abertura do Bundle: 1686)</t>
  </si>
  <si>
    <t>TI 0682 / 2026</t>
  </si>
  <si>
    <t>Segue notificação para análise:
[item:sas:qms:occurrence:9416]</t>
  </si>
  <si>
    <t>Tratativa de Incidentes - Fev/26 (UTI - Curativo de CVC com data de validade vencida: 1710)</t>
  </si>
  <si>
    <t>TI 0683 / 2026</t>
  </si>
  <si>
    <t>Segue notificação para análise:
[item:sas:qms:occurrence:9587]</t>
  </si>
  <si>
    <t>Tratativa de Incidentes - Fev/26 (UTI - Falta de itens no carro de emergência: 1713)</t>
  </si>
  <si>
    <t>TI 0684 / 2026</t>
  </si>
  <si>
    <t>Segue notificação para análise:
[item:sas:qms:occurrence:9594]</t>
  </si>
  <si>
    <t>Tratativa de Incidentes - Fev/26 (UTI - Não conformidade em Auditoria Transfusional : 1755; 1757; 1758)</t>
  </si>
  <si>
    <t>TI 0685 / 2026</t>
  </si>
  <si>
    <t>Segue notificação para análise:
[item:sas:qms:occurrence:9788]
[item:sas:qms:occurrence:9790]
[item:sas:qms:occurrence:9791]</t>
  </si>
  <si>
    <t>Tratativa de Incidentes - Fev/26 (UTI - Oferta de água se avaliação prévia da fono: 1762)</t>
  </si>
  <si>
    <t>TI 0686 / 2026</t>
  </si>
  <si>
    <t>Gustavo Armany Silva</t>
  </si>
  <si>
    <t>Segue notificação para análise:</t>
  </si>
  <si>
    <t>Tratativa de Incidentes - Fev/26 (UTI - Falha na identificação de pacientes: 1798; 1832)</t>
  </si>
  <si>
    <t>TI 0687 / 2026</t>
  </si>
  <si>
    <t>Segue notificação para análise:
[item:sas:qms:occurrence:9893]
[item:sas:qms:occurrence:9928]</t>
  </si>
  <si>
    <t>Tratativa de Incidentes - Fev/26 (C. Pediátrica - Oferta de alimentação inadequada: 1716)</t>
  </si>
  <si>
    <t>TI 0688 / 2026</t>
  </si>
  <si>
    <t>Segue notificação para análise:
[item:sas:qms:occurrence:9607]</t>
  </si>
  <si>
    <t>Tratativa de Incidentes - Fev/26 (C. Pediátrica - Falha na orientação a pacientes e acompanhantes: 1819)</t>
  </si>
  <si>
    <t>TI 0689 / 2026</t>
  </si>
  <si>
    <t>Segue notificação para análise:
[item:sas:qms:occurrence:9914]</t>
  </si>
  <si>
    <t>Tratativa de Incidentes - Fev/26 (C. Pediátrica - Paciente com risco sem identificação: 1821)</t>
  </si>
  <si>
    <t>TI 0690 / 2026</t>
  </si>
  <si>
    <t>Segue notificação para análise:
[item:sas:qms:occurrence:9916]</t>
  </si>
  <si>
    <t>Tratativa de Incidentes - Fev/26 (C. Ortopédica - Falha no cuidado com dispositivos: 1719)</t>
  </si>
  <si>
    <t>TI 0691 / 2026</t>
  </si>
  <si>
    <t>Segue notificação para análise:
[item:sas:qms:occurrence:9618]</t>
  </si>
  <si>
    <t>Tratativa de Incidentes - Fev/26 (C. Ortopédica - Falha na identificação de pacientes: 1806; 1827)</t>
  </si>
  <si>
    <t>TI 0692 / 2026</t>
  </si>
  <si>
    <t>Segue notificação para análise:
[item:sas:qms:occurrence:9901]
[item:sas:qms:occurrence:9922]</t>
  </si>
  <si>
    <t>Tratativa de Incidentes - Fev/26 (CGO - Falha nos cuidados com coto umbilical: 1722)</t>
  </si>
  <si>
    <t>TI 0693 / 2026</t>
  </si>
  <si>
    <t>Segue notificação para análise:
[item:sas:qms:occurrence:9624]</t>
  </si>
  <si>
    <t>Tratativa de Incidentes - Fev/26 (CGO - Ausência de conferência da identificação de paciente: 1786)</t>
  </si>
  <si>
    <t>TI 0694 / 2026</t>
  </si>
  <si>
    <t>Segue notificação para análise:
[item:sas:qms:occurrence:9877]</t>
  </si>
  <si>
    <t>Tratativa de Incidentes - Fev/26 (CGO - Falha na orientação de paciente quanto ao uso da identificação: 1787)</t>
  </si>
  <si>
    <t>TI 0695 / 2026</t>
  </si>
  <si>
    <t>Segue notificação para análise:
[item:sas:qms:occurrence:9880]</t>
  </si>
  <si>
    <t>Tratativa de Incidentes - Fev/26 (CGO - Paciente com risco sem identificação: 1818)</t>
  </si>
  <si>
    <t>TI 0696 / 2026</t>
  </si>
  <si>
    <t>Segue notificação para análise:
[item:sas:qms:occurrence:9913]</t>
  </si>
  <si>
    <t>Tratativa de Incidentes - Fev/26 (C. Médica - Falha no cuidado com curativos: 1660; 1769)</t>
  </si>
  <si>
    <t>TI 0697 / 2026</t>
  </si>
  <si>
    <t>Segue notificação para análise:
[item:sas:qms:occurrence:9319]
[item:sas:qms:occurrence:9822]</t>
  </si>
  <si>
    <t>Tratativa de Incidentes - Fev/26 (C. Médica - Falha no cuidado com dispositivos: 1661; 1707; 1771)</t>
  </si>
  <si>
    <t>TI 0698 / 2026</t>
  </si>
  <si>
    <t>Segue notificação para análise:
[item:sas:qms:occurrence:9320]
[item:sas:qms:occurrence:9511]
[item:sas:qms:occurrence:9825]</t>
  </si>
  <si>
    <t>Tratativa de Incidentes - Fev/26 (C. Médica - Falha nas medidas de segurança de precaução: 1663; 1684; 1770)</t>
  </si>
  <si>
    <t>TI 0699 / 2026</t>
  </si>
  <si>
    <t>Segue notificação para análise:
[item:sas:qms:occurrence:9322]
[item:sas:qms:occurrence:9824]
[item:sas:qms:occurrence:9414]</t>
  </si>
  <si>
    <t>Tratativa de Incidentes - Fev/26 (C. Médica - Falha no cuidado com material de CME: 1664; 1665)</t>
  </si>
  <si>
    <t>TI 0700 / 2026</t>
  </si>
  <si>
    <t>Segue notificação para análise:
[item:sas:qms:occurrence:9323]
[item:sas:qms:occurrence:9324]</t>
  </si>
  <si>
    <t>Tratativa de Incidentes - Fev/26 (C. Médica - Cancelamento de procedimento por erro de prescrição: 1698)</t>
  </si>
  <si>
    <t>TI 0701 / 2026</t>
  </si>
  <si>
    <t>Segue notificação para análise:
[item:sas:qms:occurrence:9439]</t>
  </si>
  <si>
    <t>Tratativa de Incidentes - Fev/26 (C. Médica - Prescrição de Medicamento com Registro de Alergia: 1704)</t>
  </si>
  <si>
    <t>TI 0702 / 2026</t>
  </si>
  <si>
    <t>Segue notificação para análise:
[item:sas:qms:occurrence:9500]</t>
  </si>
  <si>
    <t>Tratativa de Incidentes - Fev/26 (C. Médica - Heparina Prescrita em Paciente com Cirurgia Programada: 1729)</t>
  </si>
  <si>
    <t>TI 0703 / 2026</t>
  </si>
  <si>
    <t>Segue notificação para análise:
[item:sas:qms:occurrence:9638]</t>
  </si>
  <si>
    <t>Tratativa de Incidentes - Fev/26 (C. Médica - Transporte Inseguro de paciente grave: 1747)</t>
  </si>
  <si>
    <t>TI 0704 / 2026</t>
  </si>
  <si>
    <t>Segue notificação para análise:
[item:sas:qms:occurrence:9747]</t>
  </si>
  <si>
    <t>Tratativa de Incidentes - Fev/26 (C. Médica - Transporte Inseguro de paciente para diálise: 1756)</t>
  </si>
  <si>
    <t>TI 0705 / 2026</t>
  </si>
  <si>
    <t>Segue notificação para análise:
[item:sas:qms:occurrence:9786]</t>
  </si>
  <si>
    <t>Tratativa de Incidentes - Fev/26 (C. Médica - Falha na identificação de pacientes: 1767; 1794; 1801)</t>
  </si>
  <si>
    <t>TI 0706 / 2026</t>
  </si>
  <si>
    <t>Segue notificação para análise:
[item:sas:qms:occurrence:9818]
[item:sas:qms:occurrence:9887]
[item:sas:qms:occurrence:9896]</t>
  </si>
  <si>
    <t>Tratativa de Incidentes - Fev/26 (C. Médica - Paciente sem colchão Pneumático: 1795)</t>
  </si>
  <si>
    <t>TI 0707 / 2026</t>
  </si>
  <si>
    <t>Segue notificação para análise:
[item:sas:qms:occurrence:9888]</t>
  </si>
  <si>
    <t>Tratativa de Incidentes - Fev/26 (C. Médica - Falha na orientação ao paciente e acompanhante: 1796; 1807)</t>
  </si>
  <si>
    <t>TI 0708 / 2026</t>
  </si>
  <si>
    <t>Segue notificação para análise:
[item:sas:qms:occurrence:9890]
[item:sas:qms:occurrence:9902]</t>
  </si>
  <si>
    <t>Tratativa de Incidentes - Fev/26 (C. Médica -  Falha na avaliação do risco de Queda : 1810)</t>
  </si>
  <si>
    <t>TI 0709 / 2026</t>
  </si>
  <si>
    <t>Segue notificação para análise:
[item:sas:qms:occurrence:9905]</t>
  </si>
  <si>
    <t xml:space="preserve">Tratativa de Incidentes - Fev/26 (C. Cirúrgica - Falhas nos cuidados com AVP: 1666; 1745) </t>
  </si>
  <si>
    <t>TI 0710 / 2026</t>
  </si>
  <si>
    <t>Segue notificação para análise:
[item:sas:qms:occurrence:9333]
[item:sas:qms:occurrence:9744]</t>
  </si>
  <si>
    <t xml:space="preserve">Tratativa de Incidentes - Fev/26 (C. Cirúrgica - Quase Queda: 1680) </t>
  </si>
  <si>
    <t>TI 0711 / 2026</t>
  </si>
  <si>
    <t>Segue notificação para análise:
[item:sas:qms:occurrence:9378]</t>
  </si>
  <si>
    <t xml:space="preserve">Tratativa de Incidentes - Fev/26 (C. Cirúrgica - Falha na avaliação do risco de Queda: 1814) </t>
  </si>
  <si>
    <t>TI 0712 / 2026</t>
  </si>
  <si>
    <t>Segue notificação para análise:
[item:sas:qms:occurrence:9909]</t>
  </si>
  <si>
    <t>Tratativa de Incidentes - Fev/26 (CEP - Contato Indevido ao Leito: 1711)</t>
  </si>
  <si>
    <t>TI 0713 / 2026</t>
  </si>
  <si>
    <t>Segue notificação para análise:
[item:sas:qms:occurrence:9589]</t>
  </si>
  <si>
    <t>Tratativa de Incidentes - Fev/26 (Controle de acesso - Evasão de Paciente: 1705)</t>
  </si>
  <si>
    <t>TI 0714 / 2026</t>
  </si>
  <si>
    <t>Segue notificação para análise:
[item:sas:qms:occurrence:9503]</t>
  </si>
  <si>
    <t>Tratativa de Incidentes - Fev/26 (Transporte interno de paciente: 1697; 1699; 1706; 1740)</t>
  </si>
  <si>
    <t>TI 0715 / 2026</t>
  </si>
  <si>
    <t>Segue notificações para análise:
[item:sas:qms:occurrence:9432]
[item:sas:qms:occurrence:9446]
[item:sas:qms:occurrence:9508]
[item:sas:qms:occurrence:9729]</t>
  </si>
  <si>
    <t>Tratativa de Incidentes - Fev/26 (CPN - Encaminhamento de paciente em condições desfavoráveis: 1721)</t>
  </si>
  <si>
    <t>TI 0716 / 2026</t>
  </si>
  <si>
    <t>Segue notificação para análise:
[item:sas:qms:occurrence:9623]</t>
  </si>
  <si>
    <t>Tratativa de Incidentes - Fev/26 (Farmácia - Identificação inadequada de kit: 1672)</t>
  </si>
  <si>
    <t>TI 0717 / 2026</t>
  </si>
  <si>
    <t>Segue notificação para análise:
[item:sas:qms:occurrence:9355]</t>
  </si>
  <si>
    <t>Tratativa de Incidentes - Fev/26 (Farmácia - Dispensação de medicação errada: 1714)</t>
  </si>
  <si>
    <t>TI 0718 / 2026</t>
  </si>
  <si>
    <t>Segue notificação para análise:
[item:sas:qms:occurrence:9598]</t>
  </si>
  <si>
    <t>Tratativa de Incidentes - Fev/26 (Farmácia - Não dispensação de material necessário para exame: 1725)</t>
  </si>
  <si>
    <t>TI 0719 / 2026</t>
  </si>
  <si>
    <t>Segue notificação para análise:
[item:sas:qms:occurrence:9630]</t>
  </si>
  <si>
    <t>Tratativa de Incidentes - Fev/26 (Farmácia - Desabastecimento: 1749; 1775; 1790; 1791; 1792)</t>
  </si>
  <si>
    <t>TI 0720 / 2026</t>
  </si>
  <si>
    <t>Segue notificação para análise:
[item:sas:qms:occurrence:9754]
[item:sas:qms:occurrence:9829]
[item:sas:qms:occurrence:9878]
[item:sas:qms:occurrence:9883]
[item:sas:qms:occurrence:9884]</t>
  </si>
  <si>
    <t>Tratativa de Incidentes - Fev/26 (Farmácia - Demora na dispensação de itens: 1776)</t>
  </si>
  <si>
    <t>TI 0721 / 2026</t>
  </si>
  <si>
    <t>Segue notificação para análise:
[item:sas:qms:occurrence:9830]</t>
  </si>
  <si>
    <t>Tratativa de Incidentes - Fev/26 (Farmácia - Falta de dupla checagem na dispensação: 1816; 1820; 1824; 1833)</t>
  </si>
  <si>
    <t>TI 0722 / 2026</t>
  </si>
  <si>
    <t>Segue notificação para análise:
[item:sas:qms:occurrence:9911]
[item:sas:qms:occurrence:9915]
[item:sas:qms:occurrence:9919]
[item:sas:qms:occurrence:9929]</t>
  </si>
  <si>
    <t>Tratativa de Incidentes - Fev/26 (NIR - Atraso em Solicitação de Vaga de Hemodiálise Ambulatorial: 1701)</t>
  </si>
  <si>
    <t>TI 0723 / 2026</t>
  </si>
  <si>
    <t>Segue notificação para análise:
[item:sas:qms:occurrence:9470]</t>
  </si>
  <si>
    <t>Tratativa de Incidentes - Fev/26 (PAM - Falha no posicionamento de SVD: 1742)</t>
  </si>
  <si>
    <t>TI 0724 / 2026</t>
  </si>
  <si>
    <t>Segue notificação para análise:
[item:sas:qms:occurrence:9742]</t>
  </si>
  <si>
    <t>Tratativa de Incidentes - Fev/26 (PAM - Falha na fixação de AVP: 1789)</t>
  </si>
  <si>
    <t>TI 0725 / 2026</t>
  </si>
  <si>
    <t>Segue notificação para análise:
[item:sas:qms:occurrence:9882]</t>
  </si>
  <si>
    <t>Tratativa de Incidentes - Fev/26 (PS - Paciente com sangramento ativo encaminhado para exame sem sutura: 1673)</t>
  </si>
  <si>
    <t>TI 0726 / 2026</t>
  </si>
  <si>
    <t>Segue notificação para análise:
[item:sas:qms:occurrence:9357]</t>
  </si>
  <si>
    <t>Tratativa de Incidentes - Fev/26 (PS - Paciente em uso de SVD sem indicação: 1689)</t>
  </si>
  <si>
    <t>TI 0727 / 2026</t>
  </si>
  <si>
    <t>Segue notificação para análise:
[item:sas:qms:occurrence:9420]</t>
  </si>
  <si>
    <t>Tratativa de Incidentes - Fev/26 (PS - Falta de cuidado no manuseio com dispositivos: 1692; 1735)</t>
  </si>
  <si>
    <t>TI 0728 / 2026</t>
  </si>
  <si>
    <t>Segue notificação para análise:
[item:sas:qms:occurrence:9425]
[item:sas:qms:occurrence:9718]</t>
  </si>
  <si>
    <t>Tratativa de Incidentes - Fev/26 (PS - Paciente admitido sem o devido isolamento: 1694)</t>
  </si>
  <si>
    <t>TI 0729 / 2026</t>
  </si>
  <si>
    <t>Segue notificação para análise:
[item:sas:qms:occurrence:9428]</t>
  </si>
  <si>
    <t>Tratativa de Incidentes - Fev/26 (Falha na transição de cuidados: 1696)</t>
  </si>
  <si>
    <t>TI 0730 / 2026</t>
  </si>
  <si>
    <t>Segue notificação para análise:
[item:sas:qms:occurrence:9430]</t>
  </si>
  <si>
    <t>Tratativa de Incidentes - Fev/26 (Transporte inseguro de paciente para exame desacompanhado: 1703)</t>
  </si>
  <si>
    <t>TI 0731 / 2026</t>
  </si>
  <si>
    <t>Segue notificação para análise:
[item:sas:qms:occurrence:9498]</t>
  </si>
  <si>
    <t>Tratativa de Incidentes - Fev/26 (PS - AVP em más condições: 1732)</t>
  </si>
  <si>
    <t>TI 0732 / 2026</t>
  </si>
  <si>
    <t>Segue notificação para análise:
[item:sas:qms:occurrence:9651]</t>
  </si>
  <si>
    <t>Tratativa de Incidentes - Fev/26 (PS - Dispositivo inadequado utilizado para Drenagem Urinária: 1727)</t>
  </si>
  <si>
    <t>TI 0733 / 2026</t>
  </si>
  <si>
    <t>Segue notificação para análise:
[item:sas:qms:occurrence:9636]</t>
  </si>
  <si>
    <t>Tratativa de Incidentes - Fev/26 (PS - Pia para Higienização das mãos de difícil acesso: 1738)</t>
  </si>
  <si>
    <t>TI 0734 / 2026</t>
  </si>
  <si>
    <t>Segue notificação para análise:
[item:sas:qms:occurrence:9723]</t>
  </si>
  <si>
    <t>Tratativa de Incidentes - Fev/26 (PS - Risco no processo de hemotransfusão: 1750; 1751; 1752; 1754; 1760; 1761; 1766)</t>
  </si>
  <si>
    <t>TI 0735 / 2026</t>
  </si>
  <si>
    <t>Segue notificações para análise:
[item:sas:qms:occurrence:9763]
[item:sas:qms:occurrence:9764]
[item:sas:qms:occurrence:9765]
[item:sas:qms:occurrence:9787]
[item:sas:qms:occurrence:9793]
[item:sas:qms:occurrence:9794]
[item:sas:qms:occurrence:9815]</t>
  </si>
  <si>
    <t>Tratativa de Incidentes - Fev/26 (PS - Falha na identificação de pacientes: 1805; 1825)</t>
  </si>
  <si>
    <t>TI 0736 / 2026</t>
  </si>
  <si>
    <t>Segue notificação para análise:
[item:sas:qms:occurrence:9900]
[item:sas:qms:occurrence:9920]</t>
  </si>
  <si>
    <t>Tratativa de Incidentes - Fev/26 (PS - Kanban desatualizado/incompleto: 1823)</t>
  </si>
  <si>
    <t>TI 0737 / 2026</t>
  </si>
  <si>
    <t>Segue notificação para análise:
[item:sas:qms:occurrence:9918]</t>
  </si>
  <si>
    <t>Tratativa de Incidentes - Fev/26 (PSICO - Não recebimento de paciente com leito regulado: 1656)</t>
  </si>
  <si>
    <t>TI 0738 / 2026</t>
  </si>
  <si>
    <t>Segue notificação para análise:
[item:sas:qms:occurrence:9289]</t>
  </si>
  <si>
    <t>Tratativa de Incidentes - Fev/26 (SADT - Exame não realizado, paciente em jejum  prolongado: 1724)</t>
  </si>
  <si>
    <t>TI 0739 / 2026</t>
  </si>
  <si>
    <t>Segue notificação para análise:
[item:sas:qms:occurrence:9629]</t>
  </si>
  <si>
    <t>Tratativa de Incidentes - Fev/26 (SHL - Piso molhado alto risco de queda: 1715)</t>
  </si>
  <si>
    <t>TI 0740 / 2026</t>
  </si>
  <si>
    <t>Segue notificação para análise:
[item:sas:qms:occurrence:9606]</t>
  </si>
  <si>
    <t>Tratativa de Incidentes - Fev/26 (SND - Entrega de dieta errada: 1667; 1669)</t>
  </si>
  <si>
    <t>TI 0741 / 2026</t>
  </si>
  <si>
    <t>Segue notificação para análise:
[item:sas:qms:occurrence:9336]
[item:sas:qms:occurrence:9338]</t>
  </si>
  <si>
    <t>Tratativa de Incidentes - Fev/26 (SND - Falha na identificação de dietas: 1788)</t>
  </si>
  <si>
    <t>TI 0742 / 2026</t>
  </si>
  <si>
    <t>Segue notificação para análise:
[item:sas:qms:occurrence:9881]</t>
  </si>
  <si>
    <t>Tratativa de Incidentes - Fev/26 (SPR - Demora na liberação de privativo impactando na assistência: 1687)</t>
  </si>
  <si>
    <t>TI 0743 / 2026</t>
  </si>
  <si>
    <t>Segue notificação para análise:
[item:sas:qms:occurrence:9419]</t>
  </si>
  <si>
    <t>Tratativa de Incidentes - Fev/26 (UCI - Não conformidade em Auditoria Transfusional: 1777)</t>
  </si>
  <si>
    <t>TI 0744 / 2026</t>
  </si>
  <si>
    <t>Segue notificação para análise:
[item:sas:qms:occurrence:9843]</t>
  </si>
  <si>
    <t>Tratativa de Incidentes - Fev/26 (UCI - Administração indevida de Fórmula Infantil : 1780)</t>
  </si>
  <si>
    <t>TI 0745 / 2026</t>
  </si>
  <si>
    <t>Segue notificação para análise:
[item:sas:qms:occurrence:9857]</t>
  </si>
  <si>
    <t>Tratativa de Incidentes - Fev/26 (Ambulatório - AVP sem identificação: 1718)</t>
  </si>
  <si>
    <t>TI 0746 / 2026</t>
  </si>
  <si>
    <t>Segue notificação para análise:
[item:sas:qms:occurrence:9617]</t>
  </si>
  <si>
    <t>Tratativa de Incidentes - Fev/26 (Laboratório - Demora na liberação de resultado: 1693)</t>
  </si>
  <si>
    <t>TI 0747 / 2026</t>
  </si>
  <si>
    <t>Segue notificação para análise:
[item:sas:qms:occurrence:9427]</t>
  </si>
  <si>
    <t>Tratativa de Incidentes - Fev/26 (Laboratório - Não realizado coleta laboratorial: 1720)</t>
  </si>
  <si>
    <t>TI 0748 / 2026</t>
  </si>
  <si>
    <t>Segue notificação para análise:
[item:sas:qms:occurrence:9619]</t>
  </si>
  <si>
    <t>Tratativa de Incidentes -  Março/26 (C. Cirúrgica - Queda: 1902)</t>
  </si>
  <si>
    <t>TI 0749 / 2026</t>
  </si>
  <si>
    <t>Segue notificação para análise:
[item:sas:qms:occurrence:10282]</t>
  </si>
  <si>
    <t>Tratativa de Incidentes - Março (CC - Internação e procedimento em paciente errado: 1849)</t>
  </si>
  <si>
    <t>TI 0750 / 2026</t>
  </si>
  <si>
    <t>Segue notificação para análise:
[item:sas:qms:occurrence:9966]</t>
  </si>
  <si>
    <t>Tratativa de Incidentes - Março (CC - Reoperações não programadas: 1884; 1891; 1892; 1893; 1894;1895)</t>
  </si>
  <si>
    <t>TI 0751 / 2026</t>
  </si>
  <si>
    <t>Seguem notificações para análise:
[item:sas:qms:occurrence:10131]
[item:sas:qms:occurrence:10174]
[item:sas:qms:occurrence:10175]
[item:sas:qms:occurrence:10195]
[item:sas:qms:occurrence:10197]
[item:sas:qms:occurrence:10204]</t>
  </si>
  <si>
    <t>Tratativa de Incidentes - Março (CC - Falha cirúrgica ocasionando dano evitável: 1934)</t>
  </si>
  <si>
    <t>TI 0752 / 2026</t>
  </si>
  <si>
    <t>Segue notificação para análise:
[item:sas:qms:occurrence:10533]</t>
  </si>
  <si>
    <t>Análise óbito cirúrgico -  A.B.R 184455: 1947)</t>
  </si>
  <si>
    <t>TI 0753 / 2026</t>
  </si>
  <si>
    <t>Segue notificação para análise:
[item:sas:qms:occurrence:10585]</t>
  </si>
  <si>
    <t>Tratativa de Incidentes - Março (Farmácia - Atraso na dispensação: 1899; 1940)</t>
  </si>
  <si>
    <t>TI 0754 / 2026</t>
  </si>
  <si>
    <t>Segue notificação para análise:
[item:sas:qms:occurrence:10267]
[item:sas:qms:occurrence:10556]</t>
  </si>
  <si>
    <t>Tratativa de Incidentes - Março (NIR - Falha no fluxo de regulação de leito crítico: 1864)</t>
  </si>
  <si>
    <t>TI 0755 / 2026</t>
  </si>
  <si>
    <t>Segue notificação para análise:
[item:sas:qms:occurrence:9992]</t>
  </si>
  <si>
    <t>Tratativa de Incidentes - Março (PS - LPP: 1836; 1917)</t>
  </si>
  <si>
    <t>TI 0756 / 2026</t>
  </si>
  <si>
    <t>Segue notificação para análise:
[item:sas:qms:occurrence:9943]
[item:sas:qms:occurrence:10424]</t>
  </si>
  <si>
    <t>Tratativa de Incidentes - Março (PS - Evasão de Paciente com Óbito Posterior: 1838)</t>
  </si>
  <si>
    <t>TI 0757 / 2026</t>
  </si>
  <si>
    <t>Segue notificação para análise:
[item:sas:qms:occurrence:9945]</t>
  </si>
  <si>
    <t>Tratativa de Incidentes - Março (PS - Óbito possivelmente evitável: 1851)</t>
  </si>
  <si>
    <t>TI 0758 / 2026</t>
  </si>
  <si>
    <t>Segue notificação para análise:
[item:sas:qms:occurrence:9971]</t>
  </si>
  <si>
    <t xml:space="preserve">Tratativa de Incidentes - Março (PS - </t>
  </si>
  <si>
    <t>TI 0759 / 2026</t>
  </si>
  <si>
    <t>Tratativa de Incidentes - Março (PS - Falha na condução de Quadro Cardíaco Agudo: 1857)</t>
  </si>
  <si>
    <t>TI 0760 / 2026</t>
  </si>
  <si>
    <t>Segue notificação para análise:
[item:sas:qms:occurrence:9980]</t>
  </si>
  <si>
    <t>Tratativa de Incidentes - Março (PS - Crise Convulsiva Fora do Ponto de Cuidado Adequado: 1858)</t>
  </si>
  <si>
    <t>TI 0761 / 2026</t>
  </si>
  <si>
    <t>Segue notificação para análise:
[item:sas:qms:occurrence:9981]</t>
  </si>
  <si>
    <t>Tratativa de Incidentes - Março (PS - Falha no manejo de caso grave: 1861)</t>
  </si>
  <si>
    <t>TI 0762 / 2026</t>
  </si>
  <si>
    <t>Segue notificação para análise:
[item:sas:qms:occurrence:9985]</t>
  </si>
  <si>
    <t>Tratativa de Incidentes - Maço (PS - Óbito relacionado a indisponibilidade hemodinâmica: 1870; 1871)</t>
  </si>
  <si>
    <t>TI 0763 / 2026</t>
  </si>
  <si>
    <t>Segue notificações para análise:
[item:sas:qms:occurrence:10047]
[item:sas:qms:occurrence:10048]</t>
  </si>
  <si>
    <t>Tratativa de Incidentes - Março (PS - Omissão de Dose: 1948)</t>
  </si>
  <si>
    <t>TI 0764 / 2026</t>
  </si>
  <si>
    <t>Segue notificação para análise:
[item:sas:qms:occurrence:10586]</t>
  </si>
  <si>
    <t>Tratativa de Incidentes - Março (C. Cirúrgica - LPP: 1946)</t>
  </si>
  <si>
    <t>TI 0765 / 2026</t>
  </si>
  <si>
    <t>Segue notificação para análise:
[item:sas:qms:occurrence:10579]</t>
  </si>
  <si>
    <t>Tratativa de Incidentes - Março (C. Cirúrgica - ISC: 1958)</t>
  </si>
  <si>
    <t>TI 0766 / 2026</t>
  </si>
  <si>
    <t>Segue notificação para análise:
[item:sas:qms:occurrence:10597]</t>
  </si>
  <si>
    <t>Tratativa de Incidentes - Março (C. Cirúrgica - Reinternação: 1980)</t>
  </si>
  <si>
    <t>TI 0767 / 2026</t>
  </si>
  <si>
    <t>Segue notificação para análise:
[item:sas:qms:occurrence:10648]</t>
  </si>
  <si>
    <t>Tratativa de Incidentes - Março (C. Ortopédica - ISC: 1955)</t>
  </si>
  <si>
    <t>TI 0768 / 2026</t>
  </si>
  <si>
    <t>Segue notificação para análise:
[item:sas:qms:occurrence:10595]</t>
  </si>
  <si>
    <t>Tratativa de Incidentes - Março (C. Cirúrgica - Queda: 1902)</t>
  </si>
  <si>
    <t>TI 0769 / 2026</t>
  </si>
  <si>
    <t>Tratativa de Incidentes - Março (C. Médica - LPP: 1879; 1880; 1881; 1913; 1914)</t>
  </si>
  <si>
    <t>TI 0770 / 2026</t>
  </si>
  <si>
    <t>Segue notificações para análise:
[item:sas:qms:occurrence:10092]
[item:sas:qms:occurrence:10093]
[item:sas:qms:occurrence:10094]
[item:sas:qms:occurrence:10420]
[item:sas:qms:occurrence:10421]</t>
  </si>
  <si>
    <t>Tratativa de Incidentes - Março (C. Médica - Omissão de dose: 1841)</t>
  </si>
  <si>
    <t>TI 0771 / 2026</t>
  </si>
  <si>
    <t>Segue notificação para análise: 
[item:sas:qms:occurrence:9949]</t>
  </si>
  <si>
    <t>Tratativa de Incidentes - Março (UTI - LPP: 1835; 1915; 1916; 1918; 1922)</t>
  </si>
  <si>
    <t>TI 0772 / 2026</t>
  </si>
  <si>
    <t>Segue notificações para análise:
[item:sas:qms:occurrence:9942]
[item:sas:qms:occurrence:10422]
[item:sas:qms:occurrence:10423]
[item:sas:qms:occurrence:10425]
[item:sas:qms:occurrence:10432]</t>
  </si>
  <si>
    <t>Tratativa de Incidentes - Março (UTI - Erro de medicação Via errada: 1909)</t>
  </si>
  <si>
    <t>TI 0773 / 2026</t>
  </si>
  <si>
    <t>Segue notificação para análise:
[item:sas:qms:occurrence:10346]</t>
  </si>
  <si>
    <t>Tratativa de Incidentes - Março (UTI - PAV: 1941)</t>
  </si>
  <si>
    <t>TI 0774 / 2026</t>
  </si>
  <si>
    <t>Segue notificação para análise:
[item:sas:qms:occurrence:10557]</t>
  </si>
  <si>
    <t>Tratativa de Incidentes - Março (UTI - Fragilidade na assistência a paciente em deteorização clínica: 1944)</t>
  </si>
  <si>
    <t>TI 0775 / 2026</t>
  </si>
  <si>
    <t>Segue notificação para análise:
[item:sas:qms:occurrence:10569]</t>
  </si>
  <si>
    <t>Tratativa de Incidentes - Março (UTI - Óbito possivelmente evitável - M.A.M.D.S 171808: 1869)</t>
  </si>
  <si>
    <t>TI 0776 / 2026</t>
  </si>
  <si>
    <t>Segue notificação para análise:
[item:sas:qms:occurrence:10046]</t>
  </si>
  <si>
    <t>Tratativa de Incidentes - Março (UTI - Óbito possivelmente evitável - Marcapasso: 1872)</t>
  </si>
  <si>
    <t>TI 0777 / 2026</t>
  </si>
  <si>
    <t>Segue notificação para análise:
[item:sas:qms:occurrence:10049]</t>
  </si>
  <si>
    <t>Tratativa de Incidentes - Março (UTI - Óbito possivelmente evitável por choque séptico. J.M.C.J: 1935)</t>
  </si>
  <si>
    <t>TI 0778 / 2026</t>
  </si>
  <si>
    <t>Segue notificação para análise:
[item:sas:qms:occurrence:10536]</t>
  </si>
  <si>
    <t>Tratativa de Incidentes - Março (UTI - Óbito possivelmente evitável : 1936)</t>
  </si>
  <si>
    <t>TI 0779 / 2026</t>
  </si>
  <si>
    <t>Segue notificação para análise:
[item:sas:qms:occurrence:10538]</t>
  </si>
  <si>
    <t>Tratativa de Incidentes - Março (UTI - Óbito possivelmente evitável - M.D.C: 1937)</t>
  </si>
  <si>
    <t>TI 0780 / 2026</t>
  </si>
  <si>
    <t>Segue notificação para análise:
[item:sas:qms:occurrence:10539]</t>
  </si>
  <si>
    <t>Tratativa de Incidentes - Março (CC - Não conformidades meta 04 - Cirurgia Segura: 1967; 1968; 1970)</t>
  </si>
  <si>
    <t>TI 0781 / 2026</t>
  </si>
  <si>
    <t>Segue notificação para análise:
[item:sas:qms:occurrence:10614]
[item:sas:qms:occurrence:10615]
[item:sas:qms:occurrence:10617]</t>
  </si>
  <si>
    <t>Tratativa de Incidentes - Março (CC - Não conformidades nas práticas de segurança do paciente -  Uso de adorno: 1929)</t>
  </si>
  <si>
    <t>TI 0782 / 2026</t>
  </si>
  <si>
    <t>Segue notificação para análise:
[item:sas:qms:occurrence:10493]</t>
  </si>
  <si>
    <t>Devolução de paciente regulada para o setor de origem</t>
  </si>
  <si>
    <t>TI 0783 / 2026</t>
  </si>
  <si>
    <t>No dia 06/04/2026 foi solicitado pela pediatra de plantão leito na UCI para a RN A. S. A. S (349349), para tratamento de Neurossífilis, após aceite e contato entre equipes, RN foi encaminhado junto a genitora para a unidade, chegando a UCI, após avaliação da médica plantonista e equipe, foi solicitado o retorno da paciente para o CGO II e informado a mãe que a mesma não tinha critério para internação. Gerando ansiedade e dúvidas na família, assim como, demonstrando falta de organização e qualidade na assistência profissional, além é claro, do risco e comprometimento do tratamento do paciente. Após ocorrido, comunico supervisora do setor, que prontamente entrou em contato com equipe da UCI, para resolução, após nova avaliação de exames laboratoriais, foi solicitado o encaminhamento do RN novamente para UCI.</t>
  </si>
  <si>
    <t>TI 0784 / 2026</t>
  </si>
  <si>
    <t>TI 0785 / 2026</t>
  </si>
  <si>
    <t>Tratativa de Incidentes - Março (CC - Falha no cuidado com dispositivos: 1845; 1885; 1854)</t>
  </si>
  <si>
    <t>TI 0786 / 2026</t>
  </si>
  <si>
    <t>Segue notificação para análise:
[item:sas:qms:occurrence:9957]
[item:sas:qms:occurrence:10132]
[item:sas:qms:occurrence:9977]</t>
  </si>
  <si>
    <t>Tratativa de Incidentes - Março (CC - Jejum prolongado: 1874)</t>
  </si>
  <si>
    <t>TI 0787 / 2026</t>
  </si>
  <si>
    <t>Segue notificação para análise:
[item:sas:qms:occurrence:10070]</t>
  </si>
  <si>
    <t>Tratativa de Incidentes - Março (CC - Falha na transição de cuidados: 1875)</t>
  </si>
  <si>
    <t>TI 0788 / 2026</t>
  </si>
  <si>
    <t>Segue notificação para análise:
[item:sas:qms:occurrence:10071]</t>
  </si>
  <si>
    <t>Tratativa de Incidentes - Março (CC - Não conformidades nas práticas de segurança do paciente - Meta 01: 1906; 1969)</t>
  </si>
  <si>
    <t>TI 0789 / 2026</t>
  </si>
  <si>
    <t>Segue notificação para análise:
[item:sas:qms:occurrence:10296]
[item:sas:qms:occurrence:10616]</t>
  </si>
  <si>
    <t>Tratativa de Incidentes - Março (CC - Encaminhado paciente errado: 1930)</t>
  </si>
  <si>
    <t>TI 0790 / 2026</t>
  </si>
  <si>
    <t>Segue notificação para análise:
[item:sas:qms:occurrence:10495]</t>
  </si>
  <si>
    <t>Tratativa de Incidentes - Março (CGO - Não conformidades nas práticas de segurança do paciente - Meta 01: 1950; 1971)</t>
  </si>
  <si>
    <t>TI 0791 / 2026</t>
  </si>
  <si>
    <t>Segue notificação para análise:
[item:sas:qms:occurrence:10588]
[item:sas:qms:occurrence:10618]</t>
  </si>
  <si>
    <t>Tratativa de Incidentes - Março (CGO - Não conformidades nas práticas de segurança do paciente - Meta 06: 1961)</t>
  </si>
  <si>
    <t>TI 0792 / 2026</t>
  </si>
  <si>
    <t>Segue notificação para análise:
[item:sas:qms:occurrence:10602]</t>
  </si>
  <si>
    <t>Tratativa de Incidentes - Março (CPN - Não conformidades nas práticas de segurança do paciente - Meta 01: 1966)</t>
  </si>
  <si>
    <t>TI 0793 / 2026</t>
  </si>
  <si>
    <t>Segue notificação para análise:
[item:sas:qms:occurrence:10613]</t>
  </si>
  <si>
    <t>Tratativa de Incidentes - Março (Farmácia - Desabastecimento da farmácia UTI: 1843; 1844; 1876; 1877; 1878; 1932; 1938)</t>
  </si>
  <si>
    <t>TI 0794 / 2026</t>
  </si>
  <si>
    <t>Segue notificação para análise:
[item:sas:qms:occurrence:9955]
[item:sas:qms:occurrence:9956]
[item:sas:qms:occurrence:10086]
[item:sas:qms:occurrence:10087]
[item:sas:qms:occurrence:10088]
[item:sas:qms:occurrence:10520]
[item:sas:qms:occurrence:10541]</t>
  </si>
  <si>
    <t>Tratativa de Incidentes - Março (Farmácia - Atraso nas entregas das  medicações: 1847)</t>
  </si>
  <si>
    <t>TI 0795 / 2026</t>
  </si>
  <si>
    <t>Segue notificação para análise:
[item:sas:qms:occurrence:9960]</t>
  </si>
  <si>
    <t>Tratativa de Incidentes - Março (Laboratório - Perda de amostra de paciente: 1973)</t>
  </si>
  <si>
    <t>TI 0796 / 2026</t>
  </si>
  <si>
    <t>Segue notificação para análise:
[item:sas:qms:occurrence:10624]</t>
  </si>
  <si>
    <t>Tratativa de Incidentes - Março (PAM - Não conformidades nas práticas de segurança do paciente - Meta 01: 1882; 1912; 1921)</t>
  </si>
  <si>
    <t>TI 0797 / 2026</t>
  </si>
  <si>
    <t>Segue notificação para análise:
[item:sas:qms:occurrence:10106]
[item:sas:qms:occurrence:10402]
[item:sas:qms:occurrence:10429]</t>
  </si>
  <si>
    <t>Tratativa de Incidentes - Março (PAM - Curativo adesivo de AVP inadequado: 1919)</t>
  </si>
  <si>
    <t>TI 0798 / 2026</t>
  </si>
  <si>
    <t>Segue notificação para análise:
[item:sas:qms:occurrence:10426]</t>
  </si>
  <si>
    <t>Tratativa de Incidentes - Março (PAM - Paciente sem preparo para procedimento cirúrgico: 1920)</t>
  </si>
  <si>
    <t>TI 0799 / 2026</t>
  </si>
  <si>
    <t>Segue notificação para análise:
[item:sas:qms:occurrence:10428]</t>
  </si>
  <si>
    <t>Tratativa de Incidentes - Março (Pediatria - Paciente encaminhado ao CC com adorno: 1927)</t>
  </si>
  <si>
    <t>TI 0800 / 2026</t>
  </si>
  <si>
    <t>Segue notificação para análise:
[item:sas:qms:occurrence:10478]</t>
  </si>
  <si>
    <t>Tratativa de Incidentes - Março (Pediatria - Não conformidades nas práticas de segurança do paciente - Meta 01: 1951)</t>
  </si>
  <si>
    <t>TI 0801 / 2026</t>
  </si>
  <si>
    <t>Segue notificação para análise:
[item:sas:qms:occurrence:10589]</t>
  </si>
  <si>
    <t>Tratativa de Incidentes - Março (Pediatria - Não conformidades nas práticas de segurança do paciente. - META 06 Queda: 1962)</t>
  </si>
  <si>
    <t>TI 0802 / 2026</t>
  </si>
  <si>
    <t>Segue notificação para análise:
[item:sas:qms:occurrence:10603]</t>
  </si>
  <si>
    <t>Tratativa de Incidentes - Março (PS - Falha na transição de cuidado: 1850)</t>
  </si>
  <si>
    <t>TI 0803 / 2026</t>
  </si>
  <si>
    <t>Segue notificação para análise:
[item:sas:qms:occurrence:9967]</t>
  </si>
  <si>
    <t>Tratativa de Incidentes - Março (PS - Falha na avaliação de caso pediátrico: 1855)</t>
  </si>
  <si>
    <t>TI 0804 / 2026</t>
  </si>
  <si>
    <t>Segue notificação para análise:
[item:sas:qms:occurrence:9978]</t>
  </si>
  <si>
    <t>Tratativa de Incidentes - Março (PS - Falha na transição de cuidado: 1859; 1860; 1886; 1887)</t>
  </si>
  <si>
    <t>TI 0805 / 2026</t>
  </si>
  <si>
    <t>Segue notificação para análise:
[item:sas:qms:occurrence:9982]
[item:sas:qms:occurrence:9983]
[item:sas:qms:occurrence:10142]
[item:sas:qms:occurrence:10143]</t>
  </si>
  <si>
    <t>Tratativa de Incidentes - Março (PS - Pia para higienização das mãos inacessível: 1901)</t>
  </si>
  <si>
    <t>TI 0806 / 2026</t>
  </si>
  <si>
    <t>Segue notificação para análise:
[item:sas:qms:occurrence:10271]</t>
  </si>
  <si>
    <t>Tratativa de Incidentes - Março (PS - Transferência interna insegura: 1939)</t>
  </si>
  <si>
    <t>TI 0807 / 2026</t>
  </si>
  <si>
    <t>Segue notificação para análise:
[item:sas:qms:occurrence:10547]</t>
  </si>
  <si>
    <t>Tratativa de Incidentes - Março (SND - Contaminação física em dieta da Pediatria: 1933)</t>
  </si>
  <si>
    <t>TI 0808 / 2026</t>
  </si>
  <si>
    <t>Segue notificação para análise:
[item:sas:qms:occurrence:10523]</t>
  </si>
  <si>
    <t>Tratativa de Incidentes - Março (UCI - Carro de Emergência UCI com lacre rompido: 1910)</t>
  </si>
  <si>
    <t>TI 0809 / 2026</t>
  </si>
  <si>
    <t>Segue notificação para análise:
[item:sas:qms:occurrence:10345]</t>
  </si>
  <si>
    <t>Tratativa de Incidentes - Março (C. Cirúrgica - Não conformidades nas práticas de segurança do paciente. - META 01: 1853; 1926)</t>
  </si>
  <si>
    <t>TI 0810 / 2026</t>
  </si>
  <si>
    <t>Segue para análise:
[item:sas:qms:occurrence:9973]
[item:sas:qms:occurrence:10479]</t>
  </si>
  <si>
    <t>Tratativa de Incidentes - Março (C. Cirúrgica - Falha no cuidado a paciente encaminhado ao CC: 1897; 1898; 1900; 1905; 1928; 1945)</t>
  </si>
  <si>
    <t>TI 0811 / 2026</t>
  </si>
  <si>
    <t>Segue para análise:
[item:sas:qms:occurrence:10216]
[item:sas:qms:occurrence:10218]
[item:sas:qms:occurrence:10268]
[item:sas:qms:occurrence:10295]
[item:sas:qms:occurrence:10481]
[item:sas:qms:occurrence:10571]</t>
  </si>
  <si>
    <t>Tratativa de Incidentes - Março (C. Cirúrgica - Não conformidades nas práticas de segurança do paciente. - META 02: 1957)</t>
  </si>
  <si>
    <t>TI 0812 / 2026</t>
  </si>
  <si>
    <t>Segue para análise:
[item:sas:qms:occurrence:10598]</t>
  </si>
  <si>
    <t>Tratativa de Incidentes - Março (C. Cirúrgica - Não conformidades nas práticas de segurança do paciente. - META 06: 1960)</t>
  </si>
  <si>
    <t>TI 0813 / 2026</t>
  </si>
  <si>
    <t>Segue para análise:
[item:sas:qms:occurrence:10601]</t>
  </si>
  <si>
    <t>Tratativa de Incidentes - Março (C. Médica - Ausência de médico para avaliação: 1856)</t>
  </si>
  <si>
    <t>TI 0814 / 2026</t>
  </si>
  <si>
    <t>Segue notificação para análise:
[item:sas:qms:occurrence:9979]</t>
  </si>
  <si>
    <t>Tratativa de Incidentes - Março (C. Médica - Não conformidade no processo de hemotransfusão: 1862)</t>
  </si>
  <si>
    <t>TI 0815 / 2026</t>
  </si>
  <si>
    <t>Segue notificação para análise:
[item:sas:qms:occurrence:9990]</t>
  </si>
  <si>
    <t>Tratativa de Incidentes - Março (C. Médica - Paciente encaminhado ao CC com adorno: 1924)</t>
  </si>
  <si>
    <t>TI 0816 / 2026</t>
  </si>
  <si>
    <t>Segue notificação para análise:
[item:sas:qms:occurrence:10472]</t>
  </si>
  <si>
    <t>Tratativa de Incidentes - Março (C. Médica - Não conformidades nas práticas de segurança do paciente - Meta 01 : 1949; 1965)</t>
  </si>
  <si>
    <t>TI 0817 / 2026</t>
  </si>
  <si>
    <t>Segue notificação para análise:
[item:sas:qms:occurrence:10587]
[item:sas:qms:occurrence:10612]</t>
  </si>
  <si>
    <t>Tratativa de Incidentes - Março (C. Médica - Não conformidades nas práticas de segurança do paciente. - Meta 02: 1952)</t>
  </si>
  <si>
    <t>TI 0818 / 2026</t>
  </si>
  <si>
    <t>Segue notificação para análise:
[item:sas:qms:occurrence:10590]</t>
  </si>
  <si>
    <t>Tratativa de Incidentes - Março (C. Médica - Não conformidades nas práticas de segurança do paciente. - META 06 Queda: 1959)</t>
  </si>
  <si>
    <t>TI 0819 / 2026</t>
  </si>
  <si>
    <t>Segue notificação para análise:
[item:sas:qms:occurrence:10599]</t>
  </si>
  <si>
    <t>Tratativa de Incidentes - Março (C. Médica - Não conformidades nas práticas de segurança do paciente. - META 06 LPP: 1963)</t>
  </si>
  <si>
    <t>TI 0820 / 2026</t>
  </si>
  <si>
    <t>Segue notificação para análise:
[item:sas:qms:occurrence:10610]</t>
  </si>
  <si>
    <t>Tratativa de Incidentes - Março (C. Ortopédica - Falta higienização do paciente na admissão: 1873)</t>
  </si>
  <si>
    <t>TI 0821 / 2026</t>
  </si>
  <si>
    <t>Segue notificação para análise:
[item:sas:qms:occurrence:10053]</t>
  </si>
  <si>
    <t>Tratativa de Incidentes - Março (C. Ortopédica - Falha no cuidado com dispositivos: 1888; 1889)</t>
  </si>
  <si>
    <t>TI 0822 / 2026</t>
  </si>
  <si>
    <t>Segue notificação para análise:
[item:sas:qms:occurrence:10157]
[item:sas:qms:occurrence:10160]</t>
  </si>
  <si>
    <t>Tratativa de Incidentes - Março (C. Ortopédica - Paciente encaminhado ao CC com adorno: 1890)</t>
  </si>
  <si>
    <t>TI 0823 / 2026</t>
  </si>
  <si>
    <t>Segue notificação para análise:
[item:sas:qms:occurrence:10161]</t>
  </si>
  <si>
    <t>Tratativa de Incidentes - Março (C. Ortopédica - Não conformidades nas práticas de segurança do paciente. - META 02: 1956)</t>
  </si>
  <si>
    <t>TI 0824 / 2026</t>
  </si>
  <si>
    <t>Segue notificação para análise:
[item:sas:qms:occurrence:10596]</t>
  </si>
  <si>
    <t>Tratativa de Incidentes - Março (Ambulatório - AVP sem identificação: 1908)</t>
  </si>
  <si>
    <t>TI 0825 / 2026</t>
  </si>
  <si>
    <t>Segue notificação para análise:
[item:sas:qms:occurrence:10302]</t>
  </si>
  <si>
    <t>Tratativa de Incidentes - Março (Laboratório - Coleta de sangue em membro com fístula arteriovenosa: 1840)</t>
  </si>
  <si>
    <t>TI 0826 / 2026</t>
  </si>
  <si>
    <t>Segue notificação para análise:
[item:sas:qms:occurrence:9947]</t>
  </si>
  <si>
    <t>Tratativa de Incidentes - Março (Laboratório - Não realizado exames solicitados : 1863)</t>
  </si>
  <si>
    <t>TI 0827 / 2026</t>
  </si>
  <si>
    <t>Segue notificação para análise:
[item:sas:qms:occurrence:9991]</t>
  </si>
  <si>
    <t>Tratativa de Incidentes - Março (UTI - Falha no manejo de comunicação de noticias difíceis: 1842)</t>
  </si>
  <si>
    <t>TI 0828 / 2026</t>
  </si>
  <si>
    <t>Segue notificação para análise:
[item:sas:qms:occurrence:9952]</t>
  </si>
  <si>
    <t>Tratativa de Incidentes - Março (UTI - Falha no cuidado com dispositivos: 1896; 1931)</t>
  </si>
  <si>
    <t>TI 0829 / 2026</t>
  </si>
  <si>
    <t>Segue notificação para análise:
[item:sas:qms:occurrence:10211]
[item:sas:qms:occurrence:10504]</t>
  </si>
  <si>
    <t>Tratativa de Incidentes - Março (UTI - Falha no Descarte de Enxoval: 1942)</t>
  </si>
  <si>
    <t>TI 0830 / 2026</t>
  </si>
  <si>
    <t>Segue notificação para análise:
[item:sas:qms:occurrence:10559]</t>
  </si>
  <si>
    <t>TI 0831 / 2026</t>
  </si>
  <si>
    <t>TI 0832 / 2026</t>
  </si>
  <si>
    <t>TI 0833 / 2026</t>
  </si>
  <si>
    <t>TI 0834 / 2026</t>
  </si>
  <si>
    <t>TI 0835 / 2026</t>
  </si>
  <si>
    <t>TI 0836 / 2026</t>
  </si>
  <si>
    <t>No dia 28/04/2026, às 14h00, o colaborador tecnico de enfermagem Emanuel foi observada a ocorrência de transporte simultâneo de material limpo e material sujo/contaminado por profissionais da UTI, utilizando um carrinho inadequado (tipo carrinho de supermercado), sem a devida segregação conforme preconizam os protocolos de biossegurança. Ressalta-se que tal prática já vem se tornando rotineira. Além disso, foi identificado o manuseio dos materiais sem o uso adequado de equipamentos de proteção individual, especialmente pela ausência de troca de luvas entre o contato com materiais limpos e contaminados, configurando uma não conformidade grave, com risco elevado de contaminação cruzada, comprometimento da qualidade dos materiais e aumento da probabilidade de infecções relacionadas à assistência à saúde, exigindo intervenção imediata e adoção de medidas corretivas.</t>
  </si>
  <si>
    <t>Tratativa de Incidentes - Abril (C. Cirúrgica - Reinternação de paciente PO: 1985)</t>
  </si>
  <si>
    <t>TI 0837 / 2026</t>
  </si>
  <si>
    <t>Segue notificação para análise:
[item:sas:qms:occurrence:10707]</t>
  </si>
  <si>
    <t>Tratativa de Incidentes - Abril (UTI - Flebite: 1986; 1987; 2037)</t>
  </si>
  <si>
    <t>TI 0838 / 2026</t>
  </si>
  <si>
    <t>Segue notificação para análise:
[item:sas:qms:occurrence:10720]
[item:sas:qms:occurrence:10718]
[item:sas:qms:occurrence:11145]</t>
  </si>
  <si>
    <t>Tratativa de Incidentes - Abril (UTI - Retirada acidental de SVD: 1988)</t>
  </si>
  <si>
    <t>TI 0839 / 2026</t>
  </si>
  <si>
    <t>Segue notificação para análise:
[item:sas:qms:occurrence:10721]</t>
  </si>
  <si>
    <t>Tratativa de Incidentes - Abril (CPN : Episiotomia sem anestesia: 1992)</t>
  </si>
  <si>
    <t>TI 0840 / 2026</t>
  </si>
  <si>
    <t>Segue notificação para análise:
[item:sas:qms:occurrence:10748]</t>
  </si>
  <si>
    <t>Tratativa de Incidentes - Abril (C. Cirúrgica - Falha nos cuidados na transferência de paciente: 2035)</t>
  </si>
  <si>
    <t>TI 0841 / 2026</t>
  </si>
  <si>
    <t>Segue notificação para análise:
[item:sas:qms:occurrence:11120]</t>
  </si>
  <si>
    <t>Tratativa de Incidentes - Abril (PS - Óbito possivelmente evitável - T.F.F 215170: 2039)</t>
  </si>
  <si>
    <t>TI 0842 / 2026</t>
  </si>
  <si>
    <t>Segue notificação para análise:
[item:sas:qms:occurrence:11160]</t>
  </si>
  <si>
    <t>Tratativa de Incidentes - Abril (UTI - Óbito em UTI possivelmente evitável - F.M.S 348035: 2041)</t>
  </si>
  <si>
    <t>TI 0843 / 2026</t>
  </si>
  <si>
    <t>Segue notificação para análise:
[item:sas:qms:occurrence:11168]</t>
  </si>
  <si>
    <t xml:space="preserve">Carro Sala Vermelha </t>
  </si>
  <si>
    <t>TI 0844 / 2026</t>
  </si>
  <si>
    <t>Medicações estava faltando no carro da sala vermelha, enfermagem fez memorando para repor 
as medicações . 
[fig:vfs:1879]</t>
  </si>
  <si>
    <t>Tratativa de Incidentes - Abril (Laboratório - Exame laudado errado: 2092)</t>
  </si>
  <si>
    <t>TI 0845 / 2026</t>
  </si>
  <si>
    <t>Segue notificação para análise:
[item:sas:qms:occurrence:11374]</t>
  </si>
  <si>
    <t>Tratativa de Incidentes - Abril (UICC - IRAS Abril: 2058; 2061)</t>
  </si>
  <si>
    <t>TI 0846 / 2026</t>
  </si>
  <si>
    <t>Segue notificações para análise:
[item:sas:qms:occurrence:11213]
[item:sas:qms:occurrence:11217]</t>
  </si>
  <si>
    <t>Tratativa de incidentes - Abril (CA - Falha no controle de acesso: 2014; 2015)</t>
  </si>
  <si>
    <t>TI 0847 / 2026</t>
  </si>
  <si>
    <t>Segue notificação para análise:
[item:sas:qms:occurrence:10941]
[item:sas:qms:occurrence:10943]</t>
  </si>
  <si>
    <t>Tratativa de Incidentes - Abril (UTI - Lesão cutânea: 1977)</t>
  </si>
  <si>
    <t>TI 0848 / 2026</t>
  </si>
  <si>
    <t>Segue notificação para análise:
[item:sas:qms:occurrence:10634]</t>
  </si>
  <si>
    <t>Tratativa de Incidentes - Abril (CGO - Identificação tardia de HPP: 2017)</t>
  </si>
  <si>
    <t>TI 0849 / 2026</t>
  </si>
  <si>
    <t>Segue notificação para análise:
[item:sas:qms:occurrence:10955]</t>
  </si>
  <si>
    <t>Tratativa de Incidentes - Abril (CGO - IRAS: 2068)</t>
  </si>
  <si>
    <t>TI 0850 / 2026</t>
  </si>
  <si>
    <t>Segue notificação para análise:
[item:sas:qms:occurrence:11227]</t>
  </si>
  <si>
    <t>Tratativa de Incidentes - Abril (LAB - Coleta de material de paciente errado: 2038)</t>
  </si>
  <si>
    <t>TI 0851 / 2026</t>
  </si>
  <si>
    <t>Segue notificação para análise:
[item:sas:qms:occurrence:11151]</t>
  </si>
  <si>
    <t>Tratativa de Incidentes - Abril (PAM - IRAS: 2060)</t>
  </si>
  <si>
    <t>TI 0852 / 2026</t>
  </si>
  <si>
    <t>Segue notificação para análise:
[item:sas:qms:occurrence:11216]</t>
  </si>
  <si>
    <t>Tratativa de Incidentes - Abril (Óbito possivelmente evitável: 1989)</t>
  </si>
  <si>
    <t>TI 0853 / 2026</t>
  </si>
  <si>
    <t>Segue notificação para análise:
[item:sas:qms:occurrence:10722]</t>
  </si>
  <si>
    <t>Tratativa de Incidentes - Abril (PS - LPP: 2010)</t>
  </si>
  <si>
    <t>TI 0854 / 2026</t>
  </si>
  <si>
    <t>Segue notificação para análise:
[item:sas:qms:occurrence:10934]</t>
  </si>
  <si>
    <t>Tratativa de Incidentes - Abril (C. Cirúrgica - Lesão por Fricção: 2007)</t>
  </si>
  <si>
    <t>TI 0855 / 2026</t>
  </si>
  <si>
    <t>Segue notificação para análise:
[item:sas:qms:occurrence:10927]</t>
  </si>
  <si>
    <t>Tratativa de Incidentes - Abril (C. Cirúrgica - Omissão de dose: 2023)</t>
  </si>
  <si>
    <t>TI 0856 / 2026</t>
  </si>
  <si>
    <t>Segue notificação para análise:
[item:sas:qms:occurrence:11035]</t>
  </si>
  <si>
    <t>Tratativa de Incidentes - Abril (C. Cirúrgica - Superdose de medicamento: 2026)</t>
  </si>
  <si>
    <t>TI 0857 / 2026</t>
  </si>
  <si>
    <t>Segue notificação para análise:
[item:sas:qms:occurrence:11073]</t>
  </si>
  <si>
    <t>Tratativa de Incidentes - Abril (C. Médica - LPP: 2005; 2006)</t>
  </si>
  <si>
    <t>TI 0858 / 2026</t>
  </si>
  <si>
    <t>Segue notificação para análise:
[item:sas:qms:occurrence:10923]
[item:sas:qms:occurrence:10925]</t>
  </si>
  <si>
    <t>Tratativa de Incidentes - Abril (C. Médica - IRAS: 2059)</t>
  </si>
  <si>
    <t>TI 0859 / 2026</t>
  </si>
  <si>
    <t>Segue notificação para análise:
[item:sas:qms:occurrence:11215]</t>
  </si>
  <si>
    <t>Tratativa de Incidentes - Abril (C. Ortopédica - IRAS: 2069)</t>
  </si>
  <si>
    <t>TI 0860 / 2026</t>
  </si>
  <si>
    <t>Segue notificação para análise:
[item:sas:qms:occurrence:11228]</t>
  </si>
  <si>
    <t>Tratativa de Incidentes - Abril (UTI - Falha no cuidado com dispositivo invasivo durante banho: 2004)</t>
  </si>
  <si>
    <t>TI 0861 / 2026</t>
  </si>
  <si>
    <t>Segue notificação para análise:
[item:sas:qms:occurrence:10874]</t>
  </si>
  <si>
    <t>Tratativa de Incidentes - Abril (UTI - LPP: 2008; 2009; 2011; 2012; 2013; 2031; 2071)</t>
  </si>
  <si>
    <t>TI 0862 / 2026</t>
  </si>
  <si>
    <t>Segue notificação para análise:
[item:sas:qms:occurrence:10931]
[item:sas:qms:occurrence:10932]
[item:sas:qms:occurrence:10936]
[item:sas:qms:occurrence:10939]
[item:sas:qms:occurrence:10940]
[item:sas:qms:occurrence:11113]
[item:sas:qms:occurrence:11247]</t>
  </si>
  <si>
    <t>Tratativa de Incidentes - Abril (UTI - Extubação acidental: 2025)</t>
  </si>
  <si>
    <t>TI 0863 / 2026</t>
  </si>
  <si>
    <t>Segue notificação para análise:
[item:sas:qms:occurrence:11072]</t>
  </si>
  <si>
    <t>Tratativa de Incidentes - Abril (UTI - Óbito possivelmente evitável: 2044)</t>
  </si>
  <si>
    <t>TI 0864 / 2026</t>
  </si>
  <si>
    <t>Segue notificação para análise:
[item:sas:qms:occurrence:11172]</t>
  </si>
  <si>
    <t>acidente com material perfurocortante</t>
  </si>
  <si>
    <t>AT 0086 / 2026</t>
  </si>
  <si>
    <t>COLABORADA AO ADM MEDICAMENTO NO DISPOSITIVO (EQUIPO) FUROU O DEDO COM AGULHA.
NÃO TEVE CONTATO COM FLUIDO DO PACIENTE
APENAS NO EQUIPO, ADM DIPIRONA</t>
  </si>
  <si>
    <t>Acidente de Trabalho</t>
  </si>
  <si>
    <t>Acidente do Trabalho</t>
  </si>
  <si>
    <t>AT 0087 / 2026</t>
  </si>
  <si>
    <t>__Relato do acidente:__
A Colaborada relata que estava em procedimento cirúrgico de hernioplastia ingunal, quando o cirurgião fez movimento indevido com o porta agulha montado. Assim, perfurando o dedo mínimo da direita.</t>
  </si>
  <si>
    <t>AT 0088 / 2026</t>
  </si>
  <si>
    <t>__Relato do acidente:__
A colaboradora relata que, no momento da sua atividade, ao descer a escada, tentou se apoiar no corrimão; porém, o mesmo encontrava-se sem manutenção no momento em que foi segurado, ocasionando a queda.</t>
  </si>
  <si>
    <t>AT 0089 / 2026</t>
  </si>
  <si>
    <t>__Relato do acidente:__
A colaboradora relata quer, durante as suas atividaddes uma paciente em surto jogou café quente no seu rosto.</t>
  </si>
  <si>
    <t>AT 0090 / 2026</t>
  </si>
  <si>
    <t>__Relato do acidente:__
A colaboradora relata quer, durante as suas atividade uma paciente em surto jogou café quente no seu braço e peito.</t>
  </si>
  <si>
    <t>AT 0091 / 2026</t>
  </si>
  <si>
    <t>__Relato do acidente:__
A colaboradora relata que, ao se deslocar até a farmácia para buscar medicação, ao retornar escorregou em um piso molhado com sabão, vindo a sofrer uma queda. Após o ocorrido, passou a apresentar dor intensa na região lombar e na região occipital da cabeça.</t>
  </si>
  <si>
    <t>AT 0092 / 2026</t>
  </si>
  <si>
    <t>__Relato do acidente:__
O colaborador relata quer, quando foi pegar o acesso do paciente e fazer o descarte, Sofreu o acidente atigindo o dedo esquerdo da mão__.__</t>
  </si>
  <si>
    <t>AT 0093 / 2026</t>
  </si>
  <si>
    <t>__Relato do acidente:__
A colaboradora relata que, no momento em que estava em seu horário de atendimento foi coletar a gasometria de uma paciente internada, ao inspirar a agulha, esta saiu do local, causando o acidente no qual perfurou o dedo indicador da mão esquerda.</t>
  </si>
  <si>
    <t>AT 0094 / 2026</t>
  </si>
  <si>
    <t>__Relato do acidente:__
A colaboradora relata que, ao coletar geometria do paciente internado em leito 2 da uti, e ao fazer o descarte do perfurocortante houve o acidente do dedo da mão esquerda.</t>
  </si>
  <si>
    <t>AT 0095 / 2026</t>
  </si>
  <si>
    <t>__Relato do acidente:__
A colaboradora relata que, após uma PCR, foi desprezar o frasco de aspiração, no expurgo no momento em que foi desprezar caiu no seu olho esquerdo, lavando imediatamente com água corrente e sabão, e em seguida comunicou a enfermeira.</t>
  </si>
  <si>
    <t>AT 0096 / 2026</t>
  </si>
  <si>
    <t>__Relato do acidente:__
A colaboradora relata que, ao realizar o descarte de um material na caixa de perfurocortantes, acabou se acidentando com uma seringa que estava dentro do recipiente, o qual encontrava-se com sua capacidade máxima (lotado).</t>
  </si>
  <si>
    <t>AT 0097 / 2026</t>
  </si>
  <si>
    <t>__Relato do acidente:__
O colaborador relata que precisou auxiliar a odontóloga, pois o paciente estava apertando fortemente a mão da doutora. Durante esse processo de contenção, o paciente tossiu e escarroou sangue, atingindo seu rosto (olho e bochecha)__.__</t>
  </si>
  <si>
    <t>AT 0098 / 2026</t>
  </si>
  <si>
    <t>__Relato do acidentado:__
Colaboradora relata que ,estava realizando uma cirurgia de fratura de fêmur com Drº, em um paciente diagnosticado com B24, ao término da cirurgia, foi desmontar o material, inclusive os perfurocortantes, no momento que pegou porta-agulha para tirar a lâmina do cabo, a lâmina fez um pequeno corte, lavou imediatamente com sabão e com álcool 70.</t>
  </si>
  <si>
    <t>AT 0099 / 2026</t>
  </si>
  <si>
    <t>__Relato do Acidentado:__
A colaboradora relata quer, estava em procedimento, cirurgia colecistectomia, quando na hora de troca de agulha, ou seja na hora da sutura, quando foi trocar o fio, se acidentou, vindo o perfurar o dedo indicador da mão esquerda.</t>
  </si>
  <si>
    <t>AT 0100 / 2026</t>
  </si>
  <si>
    <t>__Relato do acidentado:__
A colaboradora relata que, às 03:20, foi realizar a administração de medicação em uma paciente na enfermaria 1, leito 03. Após a realização do procedimento, no momento do descarte da seringa na caixa de perfurocortantes, acabou furando o dedo polegar</t>
  </si>
  <si>
    <t>AT 0101 / 2026</t>
  </si>
  <si>
    <t>__Relato do acidente:__
A colaboradora relata que, ao realizar o procedimento de HGT em um paciente com B24, houve respingo de uma gota de sangue em seu olho direito. Ao perceber a situação, solicitou a um colega que confirmasse a presença de sangue. Após a confirmação, realizou imediatamente a lavagem do olho com água corrente e, em seguida, dirigiu-se ao pronto atendimento para avaliação médica.</t>
  </si>
  <si>
    <t>AT 0102 / 2026</t>
  </si>
  <si>
    <t>__Relato do acidente:__
A colaboradora relata que, às 10h00 do dia 02 de abril de 2026, estava realizando um exame de raio-x. Ao posicionar o paciente, ao realizar o disparo do equipamento, este produziu um barulho muito alto. Nesse momento, a colaboradora sentiu todo o seu corpo tremer, e o equipamento a puxou.</t>
  </si>
  <si>
    <t>AT 0103 / 2026</t>
  </si>
  <si>
    <t>__Relato do acidente:__
A colaboradora relata que, após administrar medicação, ao realizar o descarte de material perfurocortante, sofreu perfuração no dedo.</t>
  </si>
  <si>
    <t>AT 0104 / 2026</t>
  </si>
  <si>
    <t>__Relato do acidente:__
A colaboradora relata que ao tirar o equipo do suporte para descarta, caiu soro do lado que conecta no paciente em seu olho esquerdo.</t>
  </si>
  <si>
    <t>AT 0105 / 2026</t>
  </si>
  <si>
    <t>__Relato do acidente:__
A colaboradora relata quer no dia 24  de Abril de 2026 às 18h40, ao manusear o equipo a mesma observou que estava com vazamento, ao retirar e colocar novamente acabou atingindo o dedo indicador da mão esquerda.</t>
  </si>
  <si>
    <t>S/N</t>
  </si>
  <si>
    <t>Tipo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</si>
</sst>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Aptos Narrow"/>
      <family val="2"/>
      <scheme val="minor"/>
    </font>
    <font>
      <sz val="11"/>
      <color theme="0"/>
      <name val="Aptos Narrow"/>
      <family val="2"/>
      <scheme val="minor"/>
    </font>
    <font>
      <sz val="10"/>
      <name val="Arial"/>
      <family val="2"/>
    </font>
    <font>
      <sz val="10"/>
      <name val="Arial"/>
      <family val="2"/>
    </font>
    <font>
      <sz val="8"/>
      <name val="Aptos Narrow"/>
      <family val="2"/>
      <scheme val="minor"/>
    </font>
    <font>
      <b/>
      <sz val="10"/>
      <name val="Arial"/>
      <family val="2"/>
    </font>
    <font>
      <b/>
      <sz val="10"/>
      <name val="Arial"/>
      <family val="2"/>
    </font>
    <font>
      <sz val="10"/>
      <name val="Arial MT"/>
    </font>
    <font>
      <sz val="10"/>
      <name val="Arial MT"/>
      <family val="2"/>
    </font>
    <font>
      <sz val="8"/>
      <name val="Arial MT"/>
      <family val="2"/>
    </font>
    <font>
      <sz val="10"/>
      <color rgb="FF000000"/>
      <name val="Arial MT"/>
      <family val="2"/>
    </font>
    <font>
      <sz val="8"/>
      <name val="Arial MT"/>
    </font>
    <font>
      <b/>
      <sz val="11"/>
      <color indexed="8"/>
      <name val="Aptos Narrow"/>
      <family val="2"/>
      <scheme val="minor"/>
    </font>
    <font>
      <sz val="11"/>
      <color indexed="8"/>
      <name val="Aptos Narrow"/>
      <family val="2"/>
      <scheme val="minor"/>
    </font>
    <font>
      <sz val="11"/>
      <color theme="1"/>
      <name val="Aptos Narrow"/>
      <family val="2"/>
      <scheme val="minor"/>
    </font>
  </fonts>
  <fills count="13">
    <fill>
      <patternFill patternType="none"/>
    </fill>
    <fill>
      <patternFill patternType="gray125"/>
    </fill>
    <fill>
      <patternFill patternType="solid">
        <fgColor theme="3" tint="0.249977111117893"/>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2" tint="-0.749992370372631"/>
        <bgColor indexed="64"/>
      </patternFill>
    </fill>
    <fill>
      <patternFill patternType="solid">
        <fgColor rgb="FFEEEEEE"/>
      </patternFill>
    </fill>
  </fills>
  <borders count="13">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2" fillId="0" borderId="0" applyNumberFormat="0" applyFont="0" applyFill="0" applyBorder="0" applyAlignment="0" applyProtection="0"/>
    <xf numFmtId="0" fontId="13" fillId="0" borderId="0"/>
  </cellStyleXfs>
  <cellXfs count="65">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2" borderId="4" xfId="0" applyFont="1" applyFill="1" applyBorder="1" applyAlignment="1">
      <alignment horizontal="left" vertical="center"/>
    </xf>
    <xf numFmtId="0" fontId="0" fillId="3" borderId="4" xfId="0" applyFill="1" applyBorder="1" applyAlignment="1">
      <alignment horizontal="left" vertical="center" wrapText="1"/>
    </xf>
    <xf numFmtId="0" fontId="0" fillId="3" borderId="5" xfId="0" applyFill="1" applyBorder="1" applyAlignment="1">
      <alignment horizontal="left" vertical="center"/>
    </xf>
    <xf numFmtId="0" fontId="0" fillId="4" borderId="5" xfId="0" applyFill="1" applyBorder="1" applyAlignment="1">
      <alignment horizontal="left" vertical="center"/>
    </xf>
    <xf numFmtId="0" fontId="0" fillId="4" borderId="6" xfId="0" applyFill="1" applyBorder="1" applyAlignment="1">
      <alignment horizontal="left" vertical="center"/>
    </xf>
    <xf numFmtId="0" fontId="0" fillId="3" borderId="4" xfId="0" applyFill="1" applyBorder="1" applyAlignment="1">
      <alignment horizontal="left" vertical="center"/>
    </xf>
    <xf numFmtId="49" fontId="0" fillId="3" borderId="4" xfId="0" applyNumberFormat="1" applyFill="1" applyBorder="1" applyAlignment="1">
      <alignment horizontal="left" vertical="center" wrapText="1"/>
    </xf>
    <xf numFmtId="0" fontId="1" fillId="5" borderId="4" xfId="0" applyFont="1" applyFill="1" applyBorder="1" applyAlignment="1">
      <alignment horizontal="left" vertical="center"/>
    </xf>
    <xf numFmtId="0" fontId="0" fillId="6" borderId="4" xfId="0" applyFill="1" applyBorder="1" applyAlignment="1">
      <alignment horizontal="left" vertical="center"/>
    </xf>
    <xf numFmtId="0" fontId="0" fillId="6" borderId="5" xfId="0" applyFill="1" applyBorder="1" applyAlignment="1">
      <alignment horizontal="left" vertical="center"/>
    </xf>
    <xf numFmtId="0" fontId="0" fillId="7" borderId="5" xfId="0" applyFill="1" applyBorder="1" applyAlignment="1">
      <alignment horizontal="left" vertical="center"/>
    </xf>
    <xf numFmtId="0" fontId="0" fillId="7" borderId="6" xfId="0" applyFill="1" applyBorder="1" applyAlignment="1">
      <alignment horizontal="left" vertical="center"/>
    </xf>
    <xf numFmtId="0" fontId="1" fillId="8" borderId="5" xfId="0" applyFont="1" applyFill="1" applyBorder="1" applyAlignment="1">
      <alignment horizontal="left" vertical="center"/>
    </xf>
    <xf numFmtId="0" fontId="1" fillId="8" borderId="4" xfId="0" applyFont="1" applyFill="1" applyBorder="1" applyAlignment="1">
      <alignment horizontal="left" vertical="center"/>
    </xf>
    <xf numFmtId="0" fontId="0" fillId="9" borderId="4" xfId="0" applyFill="1" applyBorder="1" applyAlignment="1">
      <alignment horizontal="left" vertical="center"/>
    </xf>
    <xf numFmtId="0" fontId="0" fillId="9" borderId="5" xfId="0" applyFill="1" applyBorder="1" applyAlignment="1">
      <alignment horizontal="left" vertical="center"/>
    </xf>
    <xf numFmtId="0" fontId="0" fillId="10" borderId="5" xfId="0" applyFill="1" applyBorder="1" applyAlignment="1">
      <alignment horizontal="left" vertical="center"/>
    </xf>
    <xf numFmtId="0" fontId="0" fillId="10" borderId="6" xfId="0" applyFill="1" applyBorder="1" applyAlignment="1">
      <alignment horizontal="left" vertical="center"/>
    </xf>
    <xf numFmtId="49" fontId="0" fillId="9" borderId="4" xfId="0" applyNumberFormat="1" applyFill="1" applyBorder="1" applyAlignment="1">
      <alignment horizontal="left" vertical="center"/>
    </xf>
    <xf numFmtId="0" fontId="0" fillId="9" borderId="6" xfId="0" applyFill="1" applyBorder="1" applyAlignment="1">
      <alignment horizontal="left" vertical="center"/>
    </xf>
    <xf numFmtId="164" fontId="0" fillId="9" borderId="4" xfId="0" applyNumberFormat="1" applyFill="1" applyBorder="1" applyAlignment="1">
      <alignment horizontal="left" vertical="center"/>
    </xf>
    <xf numFmtId="0" fontId="0" fillId="11" borderId="0" xfId="0" applyFill="1" applyAlignment="1">
      <alignment horizontal="center" vertical="center"/>
    </xf>
    <xf numFmtId="0" fontId="0" fillId="11" borderId="1" xfId="0" applyFill="1" applyBorder="1" applyAlignment="1">
      <alignment horizontal="center" vertical="center"/>
    </xf>
    <xf numFmtId="0" fontId="0" fillId="11" borderId="2" xfId="0" applyFill="1" applyBorder="1" applyAlignment="1">
      <alignment horizontal="center" vertical="center"/>
    </xf>
    <xf numFmtId="0" fontId="0" fillId="11" borderId="3" xfId="0" applyFill="1" applyBorder="1" applyAlignment="1">
      <alignment horizontal="center" vertical="center"/>
    </xf>
    <xf numFmtId="0" fontId="1" fillId="5" borderId="2" xfId="0" applyFont="1" applyFill="1" applyBorder="1" applyAlignment="1">
      <alignment horizontal="left" vertical="center"/>
    </xf>
    <xf numFmtId="0" fontId="1" fillId="2" borderId="5" xfId="0" applyFont="1" applyFill="1" applyBorder="1" applyAlignment="1">
      <alignment horizontal="left" vertical="center"/>
    </xf>
    <xf numFmtId="0" fontId="1" fillId="8" borderId="2" xfId="0" applyFont="1" applyFill="1" applyBorder="1" applyAlignment="1">
      <alignment horizontal="left" vertical="center"/>
    </xf>
    <xf numFmtId="0" fontId="0" fillId="3" borderId="6" xfId="0" applyFill="1" applyBorder="1" applyAlignment="1">
      <alignment horizontal="left" vertical="center"/>
    </xf>
    <xf numFmtId="0" fontId="12" fillId="0" borderId="0" xfId="2" applyFont="1"/>
    <xf numFmtId="0" fontId="13" fillId="0" borderId="0" xfId="2"/>
    <xf numFmtId="0" fontId="13" fillId="0" borderId="4" xfId="2" applyBorder="1"/>
    <xf numFmtId="0" fontId="13" fillId="0" borderId="5" xfId="2" applyBorder="1"/>
    <xf numFmtId="14" fontId="13" fillId="0" borderId="5" xfId="2" applyNumberFormat="1" applyBorder="1"/>
    <xf numFmtId="0" fontId="13" fillId="0" borderId="6" xfId="2" applyBorder="1"/>
    <xf numFmtId="0" fontId="0" fillId="0" borderId="5" xfId="0" applyBorder="1" applyAlignment="1">
      <alignment vertical="center"/>
    </xf>
    <xf numFmtId="0" fontId="3" fillId="0" borderId="5" xfId="0" applyFont="1" applyBorder="1" applyAlignment="1">
      <alignment vertical="center"/>
    </xf>
    <xf numFmtId="0" fontId="13" fillId="0" borderId="10" xfId="2" applyBorder="1"/>
    <xf numFmtId="0" fontId="0" fillId="0" borderId="11" xfId="0" applyBorder="1" applyAlignment="1">
      <alignment vertical="center"/>
    </xf>
    <xf numFmtId="0" fontId="13" fillId="0" borderId="11" xfId="2" applyBorder="1"/>
    <xf numFmtId="14" fontId="13" fillId="0" borderId="11" xfId="2" applyNumberFormat="1" applyBorder="1"/>
    <xf numFmtId="0" fontId="13" fillId="0" borderId="12" xfId="2" applyBorder="1"/>
    <xf numFmtId="0" fontId="12" fillId="0" borderId="5" xfId="2" applyFont="1" applyBorder="1"/>
    <xf numFmtId="14" fontId="12" fillId="0" borderId="5" xfId="2" applyNumberFormat="1" applyFont="1" applyBorder="1"/>
    <xf numFmtId="0" fontId="14" fillId="0" borderId="0" xfId="2" applyFont="1"/>
    <xf numFmtId="0" fontId="5" fillId="12" borderId="7" xfId="0" applyFont="1" applyFill="1" applyBorder="1" applyAlignment="1">
      <alignment horizontal="center" vertical="center" wrapText="1"/>
    </xf>
    <xf numFmtId="0" fontId="5" fillId="12" borderId="8" xfId="0" applyFont="1" applyFill="1" applyBorder="1" applyAlignment="1">
      <alignment horizontal="center" vertical="center" wrapText="1"/>
    </xf>
    <xf numFmtId="0" fontId="6" fillId="12" borderId="8" xfId="0" applyFont="1" applyFill="1" applyBorder="1" applyAlignment="1">
      <alignment horizontal="center" vertical="center" wrapText="1"/>
    </xf>
    <xf numFmtId="0" fontId="6" fillId="12" borderId="9" xfId="0" applyFont="1" applyFill="1" applyBorder="1" applyAlignment="1">
      <alignment horizontal="center" vertical="center" wrapText="1"/>
    </xf>
    <xf numFmtId="0" fontId="7" fillId="0" borderId="7" xfId="0" applyFont="1" applyBorder="1" applyAlignment="1">
      <alignment horizontal="center" vertical="center" wrapText="1"/>
    </xf>
    <xf numFmtId="0" fontId="0" fillId="0" borderId="8" xfId="0" applyBorder="1" applyAlignment="1">
      <alignment horizontal="center" vertical="center" wrapText="1"/>
    </xf>
    <xf numFmtId="0" fontId="7" fillId="0" borderId="8" xfId="0" applyFont="1" applyBorder="1" applyAlignment="1">
      <alignment horizontal="center" vertical="center" wrapText="1"/>
    </xf>
    <xf numFmtId="14" fontId="0" fillId="0" borderId="8" xfId="0" applyNumberFormat="1" applyBorder="1" applyAlignment="1">
      <alignment horizontal="center" vertical="center" wrapText="1"/>
    </xf>
    <xf numFmtId="0" fontId="0" fillId="0" borderId="7" xfId="0" applyBorder="1" applyAlignment="1">
      <alignment horizontal="center" vertical="center" wrapText="1"/>
    </xf>
    <xf numFmtId="9" fontId="10" fillId="0" borderId="7" xfId="0" applyNumberFormat="1" applyFont="1" applyBorder="1" applyAlignment="1">
      <alignment horizontal="center" vertical="center" shrinkToFit="1"/>
    </xf>
    <xf numFmtId="0" fontId="0" fillId="0" borderId="5" xfId="0" applyBorder="1" applyAlignment="1">
      <alignment horizontal="center" vertical="center"/>
    </xf>
    <xf numFmtId="0" fontId="9" fillId="0" borderId="8" xfId="0" applyFont="1" applyBorder="1" applyAlignment="1">
      <alignment horizontal="center" vertical="center" wrapText="1"/>
    </xf>
    <xf numFmtId="0" fontId="8" fillId="0" borderId="8" xfId="0" applyFont="1" applyBorder="1" applyAlignment="1">
      <alignment horizontal="center" vertical="center" wrapText="1"/>
    </xf>
    <xf numFmtId="14" fontId="0" fillId="0" borderId="7" xfId="0" applyNumberFormat="1" applyBorder="1" applyAlignment="1">
      <alignment horizontal="center" vertical="center" wrapText="1"/>
    </xf>
    <xf numFmtId="14" fontId="9" fillId="0" borderId="8" xfId="0" applyNumberFormat="1" applyFont="1" applyBorder="1" applyAlignment="1">
      <alignment horizontal="center" vertical="center" wrapText="1"/>
    </xf>
    <xf numFmtId="0" fontId="8" fillId="0" borderId="7" xfId="0" applyFont="1" applyBorder="1" applyAlignment="1">
      <alignment horizontal="center" vertical="center" wrapText="1"/>
    </xf>
    <xf numFmtId="14" fontId="11" fillId="0" borderId="8" xfId="0" applyNumberFormat="1" applyFont="1" applyBorder="1" applyAlignment="1">
      <alignment horizontal="center" vertical="center" wrapText="1"/>
    </xf>
  </cellXfs>
  <cellStyles count="3">
    <cellStyle name="Normal" xfId="0" builtinId="0"/>
    <cellStyle name="Normal 2" xfId="1" xr:uid="{F5821490-A410-408D-B3C3-0BBE97B97A3E}"/>
    <cellStyle name="Normal 3" xfId="2" xr:uid="{A27EDA6F-5452-4AD7-A31F-C96F96D7D772}"/>
  </cellStyles>
  <dxfs count="27">
    <dxf>
      <font>
        <b/>
        <i/>
        <color rgb="FFC00000"/>
      </font>
    </dxf>
    <dxf>
      <font>
        <b/>
        <i/>
        <color theme="6" tint="-0.499984740745262"/>
      </font>
    </dxf>
    <dxf>
      <font>
        <b/>
        <i val="0"/>
        <strike val="0"/>
        <condense val="0"/>
        <extend val="0"/>
        <outline val="0"/>
        <shadow val="0"/>
        <u val="none"/>
        <vertAlign val="baseline"/>
        <sz val="11"/>
        <color indexed="8"/>
        <name val="Aptos Narrow"/>
        <family val="2"/>
        <scheme val="minor"/>
      </font>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indexed="8"/>
        <name val="Aptos Narrow"/>
        <family val="2"/>
        <scheme val="minor"/>
      </font>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center" textRotation="0" indent="0" justifyLastLine="0" shrinkToFit="0" readingOrder="0"/>
    </dxf>
    <dxf>
      <border>
        <bottom style="thin">
          <color indexed="64"/>
        </bottom>
      </border>
    </dxf>
    <dxf>
      <fill>
        <patternFill patternType="solid">
          <fgColor indexed="64"/>
          <bgColor theme="2" tint="-0.74999237037263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AF3D69-8DB5-4B37-9E13-8EFF4978090A}" name="Tabela3" displayName="Tabela3" ref="A1:H63" totalsRowShown="0" headerRowDxfId="26" dataDxfId="24" headerRowBorderDxfId="25" tableBorderDxfId="23" totalsRowBorderDxfId="22">
  <autoFilter ref="A1:H63" xr:uid="{9040B743-D6A3-40C7-B1AB-BACA554C8F6C}"/>
  <sortState xmlns:xlrd2="http://schemas.microsoft.com/office/spreadsheetml/2017/richdata2" ref="A11:H44">
    <sortCondition ref="G1:G63"/>
  </sortState>
  <tableColumns count="8">
    <tableColumn id="7" xr3:uid="{BB87BAEF-4776-4233-AD24-2BC7895E33A0}" name="Nº diretoria" dataDxfId="21"/>
    <tableColumn id="1" xr3:uid="{6BAD4E53-11B8-490F-943B-4FB4CB3AE55A}" name="Diretoria" dataDxfId="20"/>
    <tableColumn id="8" xr3:uid="{83026A92-4101-4150-959D-6CF5A4D40446}" name="Nº da Gerência" dataDxfId="19"/>
    <tableColumn id="2" xr3:uid="{0DB97E10-D1B7-4C88-80C0-A78E647ACBE0}" name="GERÊNCIA OU COORDENAÇÃO" dataDxfId="18"/>
    <tableColumn id="3" xr3:uid="{19921D57-82D3-4495-89D4-DD6C0E8B9032}" name="Responsavel pela gerência ou coordenação" dataDxfId="17"/>
    <tableColumn id="9" xr3:uid="{1DC90985-3035-4EEC-8DD5-7A232913A14A}" name="Nº do setor" dataDxfId="16"/>
    <tableColumn id="4" xr3:uid="{E4D8589A-EEDF-4E40-B116-1386DF68E5D0}" name="SETOR" dataDxfId="15"/>
    <tableColumn id="5" xr3:uid="{FAE59F1E-3596-4B7C-8779-5226E3E78A60}" name="Responsável pelo Setor" dataDxfId="14"/>
  </tableColumns>
  <tableStyleInfo name="TableStyleMedium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97F211-0DF8-4226-B785-FD5345F6D4CF}" name="Tabela1" displayName="Tabela1" ref="A1:G898" totalsRowShown="0" headerRowDxfId="13" headerRowBorderDxfId="12" tableBorderDxfId="11" totalsRowBorderDxfId="10">
  <autoFilter ref="A1:G898" xr:uid="{15BDD373-44B2-4774-BEBF-66542891BD10}"/>
  <sortState xmlns:xlrd2="http://schemas.microsoft.com/office/spreadsheetml/2017/richdata2" ref="A288:G407">
    <sortCondition ref="E1:E611"/>
  </sortState>
  <tableColumns count="7">
    <tableColumn id="1" xr3:uid="{5A937F0A-842E-42BA-8CED-DAA3109F859C}" name="TiPO" dataDxfId="9"/>
    <tableColumn id="17" xr3:uid="{1AD4FED8-117A-4872-A261-61B08DD7D544}" name="Indicadores" dataDxfId="8"/>
    <tableColumn id="19" xr3:uid="{623B93F5-D97A-435B-886A-0CDD323AB44F}" name="Status" dataDxfId="7" dataCellStyle="Normal 3"/>
    <tableColumn id="21" xr3:uid="{BF967C07-EDDC-4284-8CEE-9B6389710FFB}" name="Responsavel" dataDxfId="6" dataCellStyle="Normal 3">
      <calculatedColumnFormula>_xlfn.XLOOKUP(E2,Organograma!G:G,Organograma!H:H,"")</calculatedColumnFormula>
    </tableColumn>
    <tableColumn id="2" xr3:uid="{0817D631-C7BE-457B-B375-FDABFD7081AC}" name="Setor" dataDxfId="5"/>
    <tableColumn id="9" xr3:uid="{E7C2423A-D11F-4C82-97B0-94B835DFA57B}" name="Data da Verificação" dataDxfId="4"/>
    <tableColumn id="18" xr3:uid="{C0E98715-FBD2-4ED8-AEE8-E2E861DD5985}" name="Serial" dataDxfId="3"/>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3C61A6-9ADF-4F02-8693-3B0B0BC12B86}" name="Tabela14" displayName="Tabela14" ref="A1:Q2598" totalsRowShown="0" headerRowDxfId="2">
  <autoFilter ref="A1:Q2598" xr:uid="{015214D9-5B48-4ECD-A9FF-C3E30B29B721}">
    <filterColumn colId="4">
      <filters>
        <filter val="Aprovada"/>
        <filter val="Concluída"/>
        <filter val="Efetiva"/>
        <filter val="Em Aceite"/>
        <filter val="Em Análise"/>
        <filter val="Em Andamento"/>
        <filter val="Encerrada"/>
        <filter val="Finalizada"/>
      </filters>
    </filterColumn>
  </autoFilter>
  <tableColumns count="17">
    <tableColumn id="1" xr3:uid="{297CBBDA-DD1C-4DB3-98BB-7AE695E5714C}" name="Titulo"/>
    <tableColumn id="2" xr3:uid="{CC3B6421-E0AC-4AA9-A948-CB782CEEB697}" name="Serial"/>
    <tableColumn id="3" xr3:uid="{B412A64A-3BB3-4235-A74C-4FD1EA34A0B9}" name="Departamento/Setor "/>
    <tableColumn id="4" xr3:uid="{FB097C68-1358-4B93-9A5E-487CC638C7AA}" name="Responsável"/>
    <tableColumn id="5" xr3:uid="{6F7B5BF2-60E8-4DE3-A559-992FC6503BC4}" name="Situação"/>
    <tableColumn id="6" xr3:uid="{287492D3-EE47-489E-97A0-4E161468235F}" name="Anexos"/>
    <tableColumn id="7" xr3:uid="{2F14F327-495C-4FC0-82C7-40565CB1A164}" name="Autor"/>
    <tableColumn id="8" xr3:uid="{6781966E-1B2A-4B96-AD37-8746EA4F25D5}" name="Criado em"/>
    <tableColumn id="9" xr3:uid="{D65583BB-4D6E-4CE8-AC5A-941C9DFA3254}" name="Data da ocorrência"/>
    <tableColumn id="10" xr3:uid="{7DC0770D-DE65-4BDB-BD22-2607DE674279}" name="Descrição"/>
    <tableColumn id="11" xr3:uid="{E465C7BA-916D-4A04-9471-280FF1337A3B}" name="Status"/>
    <tableColumn id="12" xr3:uid="{77D8C44C-1868-4202-A8DA-0B59D12D1ACB}" name="Última verificação"/>
    <tableColumn id="14" xr3:uid="{B317417F-A344-4948-9FEE-2FA428352D1D}" name="Processo Notificado"/>
    <tableColumn id="15" xr3:uid="{73E4D551-3810-43EF-88BA-4A6D407A2217}" name="Processo Notificador"/>
    <tableColumn id="18" xr3:uid="{962C9964-390E-44A3-A995-355710BFAD11}" name="Local onde ocorreu o incidente (Nºleito"/>
    <tableColumn id="19" xr3:uid="{99A86587-731E-4D1D-B17D-C6BEF91AD6BE}" name="Classificação Incidente"/>
    <tableColumn id="20" xr3:uid="{E52D571F-6773-4D1B-BB24-75DD239FD272}" name="Tipo"/>
  </tableColumns>
  <tableStyleInfo name="TableStyleMedium1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7069-C067-43AC-86A3-01E882C010C6}">
  <dimension ref="A1:H63"/>
  <sheetViews>
    <sheetView tabSelected="1" topLeftCell="B1" workbookViewId="0">
      <selection activeCell="H63" sqref="H63"/>
    </sheetView>
  </sheetViews>
  <sheetFormatPr defaultRowHeight="15"/>
  <cols>
    <col min="1" max="1" width="13.7109375" style="2" bestFit="1" customWidth="1"/>
    <col min="2" max="2" width="47.7109375" style="2" bestFit="1" customWidth="1"/>
    <col min="3" max="3" width="16.85546875" style="2" bestFit="1" customWidth="1"/>
    <col min="4" max="4" width="43.7109375" style="2" bestFit="1" customWidth="1"/>
    <col min="5" max="5" width="68" style="2" bestFit="1" customWidth="1"/>
    <col min="6" max="6" width="13.42578125" style="2" bestFit="1" customWidth="1"/>
    <col min="7" max="8" width="38.7109375" style="2" bestFit="1" customWidth="1"/>
    <col min="9" max="16384" width="9.140625" style="2"/>
  </cols>
  <sheetData>
    <row r="1" spans="1:8" s="1" customFormat="1">
      <c r="A1" s="24" t="s">
        <v>99</v>
      </c>
      <c r="B1" s="25" t="s">
        <v>0</v>
      </c>
      <c r="C1" s="25" t="s">
        <v>100</v>
      </c>
      <c r="D1" s="26" t="s">
        <v>1</v>
      </c>
      <c r="E1" s="26" t="s">
        <v>2</v>
      </c>
      <c r="F1" s="26" t="s">
        <v>101</v>
      </c>
      <c r="G1" s="26" t="s">
        <v>3</v>
      </c>
      <c r="H1" s="27" t="s">
        <v>4</v>
      </c>
    </row>
    <row r="2" spans="1:8">
      <c r="A2" s="28" t="s">
        <v>137</v>
      </c>
      <c r="B2" s="10" t="s">
        <v>36</v>
      </c>
      <c r="C2" s="11">
        <v>0</v>
      </c>
      <c r="D2" s="12" t="s">
        <v>29</v>
      </c>
      <c r="E2" s="12" t="s">
        <v>41</v>
      </c>
      <c r="F2" s="13" t="s">
        <v>138</v>
      </c>
      <c r="G2" s="13" t="s">
        <v>42</v>
      </c>
      <c r="H2" s="14" t="s">
        <v>41</v>
      </c>
    </row>
    <row r="3" spans="1:8">
      <c r="A3" s="28" t="s">
        <v>137</v>
      </c>
      <c r="B3" s="10" t="s">
        <v>36</v>
      </c>
      <c r="C3" s="11">
        <v>0</v>
      </c>
      <c r="D3" s="12" t="s">
        <v>29</v>
      </c>
      <c r="E3" s="12" t="s">
        <v>47</v>
      </c>
      <c r="F3" s="13" t="s">
        <v>145</v>
      </c>
      <c r="G3" s="13" t="s">
        <v>144</v>
      </c>
      <c r="H3" s="14" t="s">
        <v>47</v>
      </c>
    </row>
    <row r="4" spans="1:8">
      <c r="A4" s="28" t="s">
        <v>137</v>
      </c>
      <c r="B4" s="10" t="s">
        <v>36</v>
      </c>
      <c r="C4" s="11">
        <v>0</v>
      </c>
      <c r="D4" s="12" t="s">
        <v>29</v>
      </c>
      <c r="E4" s="12" t="s">
        <v>39</v>
      </c>
      <c r="F4" s="13" t="s">
        <v>140</v>
      </c>
      <c r="G4" s="13" t="s">
        <v>40</v>
      </c>
      <c r="H4" s="14" t="s">
        <v>39</v>
      </c>
    </row>
    <row r="5" spans="1:8">
      <c r="A5" s="28" t="s">
        <v>137</v>
      </c>
      <c r="B5" s="10" t="s">
        <v>36</v>
      </c>
      <c r="C5" s="11">
        <v>0</v>
      </c>
      <c r="D5" s="12" t="s">
        <v>29</v>
      </c>
      <c r="E5" s="12" t="s">
        <v>48</v>
      </c>
      <c r="F5" s="13" t="s">
        <v>146</v>
      </c>
      <c r="G5" s="13" t="s">
        <v>36</v>
      </c>
      <c r="H5" s="14" t="s">
        <v>48</v>
      </c>
    </row>
    <row r="6" spans="1:8">
      <c r="A6" s="28" t="s">
        <v>137</v>
      </c>
      <c r="B6" s="10" t="s">
        <v>36</v>
      </c>
      <c r="C6" s="11">
        <v>0</v>
      </c>
      <c r="D6" s="12" t="s">
        <v>29</v>
      </c>
      <c r="E6" s="12" t="s">
        <v>48</v>
      </c>
      <c r="F6" s="13" t="s">
        <v>142</v>
      </c>
      <c r="G6" s="13" t="s">
        <v>934</v>
      </c>
      <c r="H6" s="14" t="s">
        <v>933</v>
      </c>
    </row>
    <row r="7" spans="1:8">
      <c r="A7" s="28" t="s">
        <v>137</v>
      </c>
      <c r="B7" s="10" t="s">
        <v>36</v>
      </c>
      <c r="C7" s="11">
        <v>0</v>
      </c>
      <c r="D7" s="12" t="s">
        <v>29</v>
      </c>
      <c r="E7" s="12" t="s">
        <v>44</v>
      </c>
      <c r="F7" s="13" t="s">
        <v>142</v>
      </c>
      <c r="G7" s="13" t="s">
        <v>1142</v>
      </c>
      <c r="H7" s="14" t="s">
        <v>44</v>
      </c>
    </row>
    <row r="8" spans="1:8">
      <c r="A8" s="28" t="s">
        <v>137</v>
      </c>
      <c r="B8" s="10" t="s">
        <v>36</v>
      </c>
      <c r="C8" s="11">
        <v>0</v>
      </c>
      <c r="D8" s="12" t="s">
        <v>29</v>
      </c>
      <c r="E8" s="12" t="s">
        <v>41</v>
      </c>
      <c r="F8" s="13" t="s">
        <v>141</v>
      </c>
      <c r="G8" s="13" t="s">
        <v>43</v>
      </c>
      <c r="H8" s="14" t="s">
        <v>41</v>
      </c>
    </row>
    <row r="9" spans="1:8">
      <c r="A9" s="28" t="s">
        <v>137</v>
      </c>
      <c r="B9" s="10" t="s">
        <v>36</v>
      </c>
      <c r="C9" s="11">
        <v>0</v>
      </c>
      <c r="D9" s="12" t="s">
        <v>29</v>
      </c>
      <c r="E9" s="12" t="s">
        <v>45</v>
      </c>
      <c r="F9" s="13" t="s">
        <v>143</v>
      </c>
      <c r="G9" s="13" t="s">
        <v>46</v>
      </c>
      <c r="H9" s="14" t="s">
        <v>45</v>
      </c>
    </row>
    <row r="10" spans="1:8">
      <c r="A10" s="28" t="s">
        <v>137</v>
      </c>
      <c r="B10" s="10" t="s">
        <v>36</v>
      </c>
      <c r="C10" s="11">
        <v>0</v>
      </c>
      <c r="D10" s="12" t="s">
        <v>29</v>
      </c>
      <c r="E10" s="12" t="s">
        <v>37</v>
      </c>
      <c r="F10" s="13" t="s">
        <v>139</v>
      </c>
      <c r="G10" s="13" t="s">
        <v>38</v>
      </c>
      <c r="H10" s="14" t="s">
        <v>37</v>
      </c>
    </row>
    <row r="11" spans="1:8">
      <c r="A11" s="30" t="s">
        <v>147</v>
      </c>
      <c r="B11" s="16" t="s">
        <v>49</v>
      </c>
      <c r="C11" s="17" t="s">
        <v>150</v>
      </c>
      <c r="D11" s="18" t="s">
        <v>56</v>
      </c>
      <c r="E11" s="18" t="s">
        <v>57</v>
      </c>
      <c r="F11" s="19" t="s">
        <v>164</v>
      </c>
      <c r="G11" s="19" t="s">
        <v>58</v>
      </c>
      <c r="H11" s="20" t="s">
        <v>57</v>
      </c>
    </row>
    <row r="12" spans="1:8">
      <c r="A12" s="30" t="s">
        <v>147</v>
      </c>
      <c r="B12" s="16" t="s">
        <v>49</v>
      </c>
      <c r="C12" s="17" t="s">
        <v>150</v>
      </c>
      <c r="D12" s="18" t="s">
        <v>56</v>
      </c>
      <c r="E12" s="18" t="s">
        <v>57</v>
      </c>
      <c r="F12" s="19" t="s">
        <v>165</v>
      </c>
      <c r="G12" s="19" t="s">
        <v>59</v>
      </c>
      <c r="H12" s="20" t="s">
        <v>57</v>
      </c>
    </row>
    <row r="13" spans="1:8">
      <c r="A13" s="30" t="s">
        <v>147</v>
      </c>
      <c r="B13" s="16" t="s">
        <v>49</v>
      </c>
      <c r="C13" s="17" t="s">
        <v>151</v>
      </c>
      <c r="D13" s="18" t="s">
        <v>63</v>
      </c>
      <c r="E13" s="18" t="s">
        <v>64</v>
      </c>
      <c r="F13" s="19" t="s">
        <v>169</v>
      </c>
      <c r="G13" s="19" t="s">
        <v>70</v>
      </c>
      <c r="H13" s="20" t="s">
        <v>71</v>
      </c>
    </row>
    <row r="14" spans="1:8">
      <c r="A14" s="30" t="s">
        <v>147</v>
      </c>
      <c r="B14" s="16" t="s">
        <v>49</v>
      </c>
      <c r="C14" s="17" t="s">
        <v>148</v>
      </c>
      <c r="D14" s="18" t="s">
        <v>73</v>
      </c>
      <c r="E14" s="18" t="s">
        <v>74</v>
      </c>
      <c r="F14" s="19" t="s">
        <v>157</v>
      </c>
      <c r="G14" s="19" t="s">
        <v>75</v>
      </c>
      <c r="H14" s="20" t="s">
        <v>74</v>
      </c>
    </row>
    <row r="15" spans="1:8">
      <c r="A15" s="30" t="s">
        <v>147</v>
      </c>
      <c r="B15" s="16" t="s">
        <v>49</v>
      </c>
      <c r="C15" s="17" t="s">
        <v>152</v>
      </c>
      <c r="D15" s="18" t="s">
        <v>66</v>
      </c>
      <c r="E15" s="18" t="s">
        <v>67</v>
      </c>
      <c r="F15" s="19" t="s">
        <v>175</v>
      </c>
      <c r="G15" s="19" t="s">
        <v>69</v>
      </c>
      <c r="H15" s="20" t="s">
        <v>67</v>
      </c>
    </row>
    <row r="16" spans="1:8">
      <c r="A16" s="30" t="s">
        <v>147</v>
      </c>
      <c r="B16" s="16" t="s">
        <v>49</v>
      </c>
      <c r="C16" s="17" t="s">
        <v>151</v>
      </c>
      <c r="D16" s="18" t="s">
        <v>63</v>
      </c>
      <c r="E16" s="18" t="s">
        <v>64</v>
      </c>
      <c r="F16" s="19" t="s">
        <v>170</v>
      </c>
      <c r="G16" s="19" t="s">
        <v>1083</v>
      </c>
      <c r="H16" s="20" t="s">
        <v>65</v>
      </c>
    </row>
    <row r="17" spans="1:8">
      <c r="A17" s="30" t="s">
        <v>147</v>
      </c>
      <c r="B17" s="16" t="s">
        <v>49</v>
      </c>
      <c r="C17" s="17" t="s">
        <v>152</v>
      </c>
      <c r="D17" s="18" t="s">
        <v>66</v>
      </c>
      <c r="E17" s="18" t="s">
        <v>67</v>
      </c>
      <c r="F17" s="19" t="s">
        <v>176</v>
      </c>
      <c r="G17" s="19" t="s">
        <v>95</v>
      </c>
      <c r="H17" s="20" t="s">
        <v>96</v>
      </c>
    </row>
    <row r="18" spans="1:8">
      <c r="A18" s="30" t="s">
        <v>147</v>
      </c>
      <c r="B18" s="16" t="s">
        <v>49</v>
      </c>
      <c r="C18" s="17" t="s">
        <v>151</v>
      </c>
      <c r="D18" s="18" t="s">
        <v>63</v>
      </c>
      <c r="E18" s="18" t="s">
        <v>64</v>
      </c>
      <c r="F18" s="19" t="s">
        <v>173</v>
      </c>
      <c r="G18" s="19" t="s">
        <v>80</v>
      </c>
      <c r="H18" s="20" t="s">
        <v>81</v>
      </c>
    </row>
    <row r="19" spans="1:8">
      <c r="A19" s="30" t="s">
        <v>147</v>
      </c>
      <c r="B19" s="16" t="s">
        <v>49</v>
      </c>
      <c r="C19" s="17" t="s">
        <v>150</v>
      </c>
      <c r="D19" s="18" t="s">
        <v>56</v>
      </c>
      <c r="E19" s="18" t="s">
        <v>57</v>
      </c>
      <c r="F19" s="19" t="s">
        <v>166</v>
      </c>
      <c r="G19" s="19" t="s">
        <v>60</v>
      </c>
      <c r="H19" s="20" t="s">
        <v>57</v>
      </c>
    </row>
    <row r="20" spans="1:8">
      <c r="A20" s="30" t="s">
        <v>147</v>
      </c>
      <c r="B20" s="16" t="s">
        <v>49</v>
      </c>
      <c r="C20" s="21" t="s">
        <v>190</v>
      </c>
      <c r="D20" s="18" t="s">
        <v>0</v>
      </c>
      <c r="E20" s="18" t="s">
        <v>85</v>
      </c>
      <c r="F20" s="19" t="s">
        <v>188</v>
      </c>
      <c r="G20" s="19" t="s">
        <v>49</v>
      </c>
      <c r="H20" s="20" t="s">
        <v>85</v>
      </c>
    </row>
    <row r="21" spans="1:8">
      <c r="A21" s="30" t="s">
        <v>147</v>
      </c>
      <c r="B21" s="16" t="s">
        <v>49</v>
      </c>
      <c r="C21" s="17" t="s">
        <v>149</v>
      </c>
      <c r="D21" s="18" t="s">
        <v>50</v>
      </c>
      <c r="E21" s="18" t="s">
        <v>51</v>
      </c>
      <c r="F21" s="19" t="s">
        <v>159</v>
      </c>
      <c r="G21" s="19" t="s">
        <v>52</v>
      </c>
      <c r="H21" s="20" t="s">
        <v>51</v>
      </c>
    </row>
    <row r="22" spans="1:8">
      <c r="A22" s="15" t="s">
        <v>147</v>
      </c>
      <c r="B22" s="16" t="s">
        <v>49</v>
      </c>
      <c r="C22" s="17" t="s">
        <v>149</v>
      </c>
      <c r="D22" s="18" t="s">
        <v>50</v>
      </c>
      <c r="E22" s="18" t="s">
        <v>97</v>
      </c>
      <c r="F22" s="19" t="s">
        <v>163</v>
      </c>
      <c r="G22" s="19" t="s">
        <v>98</v>
      </c>
      <c r="H22" s="20" t="s">
        <v>97</v>
      </c>
    </row>
    <row r="23" spans="1:8">
      <c r="A23" s="15" t="s">
        <v>147</v>
      </c>
      <c r="B23" s="16" t="s">
        <v>49</v>
      </c>
      <c r="C23" s="23">
        <v>0</v>
      </c>
      <c r="D23" s="18" t="s">
        <v>29</v>
      </c>
      <c r="E23" s="18" t="s">
        <v>62</v>
      </c>
      <c r="F23" s="19" t="s">
        <v>186</v>
      </c>
      <c r="G23" s="19" t="s">
        <v>187</v>
      </c>
      <c r="H23" s="20" t="s">
        <v>62</v>
      </c>
    </row>
    <row r="24" spans="1:8">
      <c r="A24" s="15" t="s">
        <v>147</v>
      </c>
      <c r="B24" s="16" t="s">
        <v>49</v>
      </c>
      <c r="C24" s="21" t="s">
        <v>190</v>
      </c>
      <c r="D24" s="18" t="s">
        <v>29</v>
      </c>
      <c r="E24" s="18" t="s">
        <v>53</v>
      </c>
      <c r="F24" s="19" t="s">
        <v>183</v>
      </c>
      <c r="G24" s="19" t="s">
        <v>54</v>
      </c>
      <c r="H24" s="20" t="s">
        <v>53</v>
      </c>
    </row>
    <row r="25" spans="1:8">
      <c r="A25" s="15" t="s">
        <v>147</v>
      </c>
      <c r="B25" s="16" t="s">
        <v>49</v>
      </c>
      <c r="C25" s="17" t="s">
        <v>150</v>
      </c>
      <c r="D25" s="18" t="s">
        <v>56</v>
      </c>
      <c r="E25" s="18" t="s">
        <v>57</v>
      </c>
      <c r="F25" s="19" t="s">
        <v>167</v>
      </c>
      <c r="G25" s="19" t="s">
        <v>61</v>
      </c>
      <c r="H25" s="20" t="s">
        <v>57</v>
      </c>
    </row>
    <row r="26" spans="1:8">
      <c r="A26" s="15" t="s">
        <v>147</v>
      </c>
      <c r="B26" s="16" t="s">
        <v>49</v>
      </c>
      <c r="C26" s="17" t="s">
        <v>148</v>
      </c>
      <c r="D26" s="18" t="s">
        <v>73</v>
      </c>
      <c r="E26" s="18" t="s">
        <v>74</v>
      </c>
      <c r="F26" s="19" t="s">
        <v>154</v>
      </c>
      <c r="G26" s="19" t="s">
        <v>193</v>
      </c>
      <c r="H26" s="20" t="s">
        <v>74</v>
      </c>
    </row>
    <row r="27" spans="1:8">
      <c r="A27" s="15" t="s">
        <v>147</v>
      </c>
      <c r="B27" s="16" t="s">
        <v>49</v>
      </c>
      <c r="C27" s="17" t="s">
        <v>149</v>
      </c>
      <c r="D27" s="18" t="s">
        <v>50</v>
      </c>
      <c r="E27" s="18" t="s">
        <v>71</v>
      </c>
      <c r="F27" s="19" t="s">
        <v>160</v>
      </c>
      <c r="G27" s="19" t="s">
        <v>72</v>
      </c>
      <c r="H27" s="20" t="s">
        <v>71</v>
      </c>
    </row>
    <row r="28" spans="1:8">
      <c r="A28" s="15" t="s">
        <v>147</v>
      </c>
      <c r="B28" s="16" t="s">
        <v>49</v>
      </c>
      <c r="C28" s="21" t="s">
        <v>190</v>
      </c>
      <c r="D28" s="18" t="s">
        <v>29</v>
      </c>
      <c r="E28" s="18" t="s">
        <v>53</v>
      </c>
      <c r="F28" s="19" t="s">
        <v>184</v>
      </c>
      <c r="G28" s="19" t="s">
        <v>55</v>
      </c>
      <c r="H28" s="20" t="s">
        <v>53</v>
      </c>
    </row>
    <row r="29" spans="1:8">
      <c r="A29" s="15" t="s">
        <v>147</v>
      </c>
      <c r="B29" s="16" t="s">
        <v>49</v>
      </c>
      <c r="C29" s="17" t="s">
        <v>153</v>
      </c>
      <c r="D29" s="18" t="s">
        <v>88</v>
      </c>
      <c r="E29" s="18" t="s">
        <v>89</v>
      </c>
      <c r="F29" s="19" t="s">
        <v>179</v>
      </c>
      <c r="G29" s="19" t="s">
        <v>91</v>
      </c>
      <c r="H29" s="20" t="s">
        <v>89</v>
      </c>
    </row>
    <row r="30" spans="1:8">
      <c r="A30" s="15" t="s">
        <v>147</v>
      </c>
      <c r="B30" s="16" t="s">
        <v>49</v>
      </c>
      <c r="C30" s="17" t="s">
        <v>151</v>
      </c>
      <c r="D30" s="18" t="s">
        <v>63</v>
      </c>
      <c r="E30" s="18" t="s">
        <v>64</v>
      </c>
      <c r="F30" s="19" t="s">
        <v>174</v>
      </c>
      <c r="G30" s="19" t="s">
        <v>82</v>
      </c>
      <c r="H30" s="20" t="s">
        <v>64</v>
      </c>
    </row>
    <row r="31" spans="1:8">
      <c r="A31" s="15" t="s">
        <v>147</v>
      </c>
      <c r="B31" s="16" t="s">
        <v>49</v>
      </c>
      <c r="C31" s="17" t="s">
        <v>151</v>
      </c>
      <c r="D31" s="18" t="s">
        <v>63</v>
      </c>
      <c r="E31" s="18" t="s">
        <v>64</v>
      </c>
      <c r="F31" s="19" t="s">
        <v>171</v>
      </c>
      <c r="G31" s="19" t="s">
        <v>195</v>
      </c>
      <c r="H31" s="20" t="s">
        <v>79</v>
      </c>
    </row>
    <row r="32" spans="1:8">
      <c r="A32" s="15" t="s">
        <v>147</v>
      </c>
      <c r="B32" s="16" t="s">
        <v>49</v>
      </c>
      <c r="C32" s="17" t="s">
        <v>149</v>
      </c>
      <c r="D32" s="18" t="s">
        <v>50</v>
      </c>
      <c r="E32" s="18" t="s">
        <v>86</v>
      </c>
      <c r="F32" s="19" t="s">
        <v>161</v>
      </c>
      <c r="G32" s="19" t="s">
        <v>87</v>
      </c>
      <c r="H32" s="20" t="s">
        <v>86</v>
      </c>
    </row>
    <row r="33" spans="1:8">
      <c r="A33" s="15" t="s">
        <v>147</v>
      </c>
      <c r="B33" s="16" t="s">
        <v>49</v>
      </c>
      <c r="C33" s="17" t="s">
        <v>153</v>
      </c>
      <c r="D33" s="18" t="s">
        <v>88</v>
      </c>
      <c r="E33" s="18" t="s">
        <v>89</v>
      </c>
      <c r="F33" s="19" t="s">
        <v>180</v>
      </c>
      <c r="G33" s="19" t="s">
        <v>1397</v>
      </c>
      <c r="H33" s="20" t="s">
        <v>90</v>
      </c>
    </row>
    <row r="34" spans="1:8">
      <c r="A34" s="15" t="s">
        <v>147</v>
      </c>
      <c r="B34" s="16" t="s">
        <v>49</v>
      </c>
      <c r="C34" s="17" t="s">
        <v>148</v>
      </c>
      <c r="D34" s="18" t="s">
        <v>73</v>
      </c>
      <c r="E34" s="18" t="s">
        <v>74</v>
      </c>
      <c r="F34" s="19" t="s">
        <v>156</v>
      </c>
      <c r="G34" s="19" t="s">
        <v>76</v>
      </c>
      <c r="H34" s="20" t="s">
        <v>74</v>
      </c>
    </row>
    <row r="35" spans="1:8">
      <c r="A35" s="15" t="s">
        <v>147</v>
      </c>
      <c r="B35" s="16" t="s">
        <v>49</v>
      </c>
      <c r="C35" s="17" t="s">
        <v>150</v>
      </c>
      <c r="D35" s="18" t="s">
        <v>56</v>
      </c>
      <c r="E35" s="22" t="s">
        <v>57</v>
      </c>
      <c r="F35" s="20" t="s">
        <v>168</v>
      </c>
      <c r="G35" s="19" t="s">
        <v>93</v>
      </c>
      <c r="H35" s="20" t="s">
        <v>94</v>
      </c>
    </row>
    <row r="36" spans="1:8">
      <c r="A36" s="15" t="s">
        <v>147</v>
      </c>
      <c r="B36" s="16" t="s">
        <v>49</v>
      </c>
      <c r="C36" s="17" t="s">
        <v>148</v>
      </c>
      <c r="D36" s="18" t="s">
        <v>73</v>
      </c>
      <c r="E36" s="22" t="s">
        <v>74</v>
      </c>
      <c r="F36" s="20" t="s">
        <v>155</v>
      </c>
      <c r="G36" s="19" t="s">
        <v>77</v>
      </c>
      <c r="H36" s="20" t="s">
        <v>74</v>
      </c>
    </row>
    <row r="37" spans="1:8">
      <c r="A37" s="15" t="s">
        <v>147</v>
      </c>
      <c r="B37" s="16" t="s">
        <v>49</v>
      </c>
      <c r="C37" s="17" t="s">
        <v>149</v>
      </c>
      <c r="D37" s="18" t="s">
        <v>50</v>
      </c>
      <c r="E37" s="22" t="s">
        <v>83</v>
      </c>
      <c r="F37" s="20" t="s">
        <v>162</v>
      </c>
      <c r="G37" s="19" t="s">
        <v>84</v>
      </c>
      <c r="H37" s="20" t="s">
        <v>83</v>
      </c>
    </row>
    <row r="38" spans="1:8">
      <c r="A38" s="15" t="s">
        <v>147</v>
      </c>
      <c r="B38" s="16" t="s">
        <v>49</v>
      </c>
      <c r="C38" s="17" t="s">
        <v>148</v>
      </c>
      <c r="D38" s="18" t="s">
        <v>73</v>
      </c>
      <c r="E38" s="22" t="s">
        <v>74</v>
      </c>
      <c r="F38" s="20" t="s">
        <v>158</v>
      </c>
      <c r="G38" s="19" t="s">
        <v>78</v>
      </c>
      <c r="H38" s="20" t="s">
        <v>74</v>
      </c>
    </row>
    <row r="39" spans="1:8">
      <c r="A39" s="15" t="s">
        <v>147</v>
      </c>
      <c r="B39" s="16" t="s">
        <v>49</v>
      </c>
      <c r="C39" s="21" t="s">
        <v>190</v>
      </c>
      <c r="D39" s="18" t="s">
        <v>29</v>
      </c>
      <c r="E39" s="22" t="s">
        <v>53</v>
      </c>
      <c r="F39" s="20" t="s">
        <v>185</v>
      </c>
      <c r="G39" s="19" t="s">
        <v>1078</v>
      </c>
      <c r="H39" s="20" t="s">
        <v>53</v>
      </c>
    </row>
    <row r="40" spans="1:8">
      <c r="A40" s="15" t="s">
        <v>147</v>
      </c>
      <c r="B40" s="16" t="s">
        <v>49</v>
      </c>
      <c r="C40" s="17" t="s">
        <v>151</v>
      </c>
      <c r="D40" s="18" t="s">
        <v>63</v>
      </c>
      <c r="E40" s="18" t="s">
        <v>64</v>
      </c>
      <c r="F40" s="19" t="s">
        <v>172</v>
      </c>
      <c r="G40" s="19" t="s">
        <v>196</v>
      </c>
      <c r="H40" s="20" t="s">
        <v>79</v>
      </c>
    </row>
    <row r="41" spans="1:8">
      <c r="A41" s="15" t="s">
        <v>147</v>
      </c>
      <c r="B41" s="16" t="s">
        <v>49</v>
      </c>
      <c r="C41" s="17" t="s">
        <v>152</v>
      </c>
      <c r="D41" s="18" t="s">
        <v>66</v>
      </c>
      <c r="E41" s="18" t="s">
        <v>67</v>
      </c>
      <c r="F41" s="19" t="s">
        <v>177</v>
      </c>
      <c r="G41" s="19" t="s">
        <v>197</v>
      </c>
      <c r="H41" s="20" t="s">
        <v>68</v>
      </c>
    </row>
    <row r="42" spans="1:8">
      <c r="A42" s="15" t="s">
        <v>147</v>
      </c>
      <c r="B42" s="16" t="s">
        <v>49</v>
      </c>
      <c r="C42" s="17" t="s">
        <v>153</v>
      </c>
      <c r="D42" s="18" t="s">
        <v>88</v>
      </c>
      <c r="E42" s="18" t="s">
        <v>89</v>
      </c>
      <c r="F42" s="19" t="s">
        <v>181</v>
      </c>
      <c r="G42" s="19" t="s">
        <v>1402</v>
      </c>
      <c r="H42" s="20" t="s">
        <v>90</v>
      </c>
    </row>
    <row r="43" spans="1:8">
      <c r="A43" s="15" t="s">
        <v>147</v>
      </c>
      <c r="B43" s="16" t="s">
        <v>49</v>
      </c>
      <c r="C43" s="17" t="s">
        <v>152</v>
      </c>
      <c r="D43" s="18" t="s">
        <v>66</v>
      </c>
      <c r="E43" s="18" t="s">
        <v>67</v>
      </c>
      <c r="F43" s="19" t="s">
        <v>178</v>
      </c>
      <c r="G43" s="19" t="s">
        <v>194</v>
      </c>
      <c r="H43" s="20" t="s">
        <v>68</v>
      </c>
    </row>
    <row r="44" spans="1:8">
      <c r="A44" s="15" t="s">
        <v>147</v>
      </c>
      <c r="B44" s="16" t="s">
        <v>49</v>
      </c>
      <c r="C44" s="17" t="s">
        <v>153</v>
      </c>
      <c r="D44" s="18" t="s">
        <v>88</v>
      </c>
      <c r="E44" s="18" t="s">
        <v>89</v>
      </c>
      <c r="F44" s="19" t="s">
        <v>182</v>
      </c>
      <c r="G44" s="19" t="s">
        <v>92</v>
      </c>
      <c r="H44" s="20" t="s">
        <v>89</v>
      </c>
    </row>
    <row r="45" spans="1:8">
      <c r="A45" s="29" t="s">
        <v>102</v>
      </c>
      <c r="B45" s="3" t="s">
        <v>5</v>
      </c>
      <c r="C45" s="8" t="s">
        <v>103</v>
      </c>
      <c r="D45" s="5" t="s">
        <v>13</v>
      </c>
      <c r="E45" s="5" t="s">
        <v>14</v>
      </c>
      <c r="F45" s="6" t="s">
        <v>104</v>
      </c>
      <c r="G45" s="6" t="s">
        <v>107</v>
      </c>
      <c r="H45" s="7" t="s">
        <v>27</v>
      </c>
    </row>
    <row r="46" spans="1:8">
      <c r="A46" s="29" t="s">
        <v>102</v>
      </c>
      <c r="B46" s="3" t="s">
        <v>5</v>
      </c>
      <c r="C46" s="8" t="s">
        <v>103</v>
      </c>
      <c r="D46" s="5" t="s">
        <v>13</v>
      </c>
      <c r="E46" s="5" t="s">
        <v>14</v>
      </c>
      <c r="F46" s="6" t="s">
        <v>105</v>
      </c>
      <c r="G46" s="6" t="s">
        <v>108</v>
      </c>
      <c r="H46" s="7" t="s">
        <v>15</v>
      </c>
    </row>
    <row r="47" spans="1:8">
      <c r="A47" s="29" t="s">
        <v>102</v>
      </c>
      <c r="B47" s="3" t="s">
        <v>5</v>
      </c>
      <c r="C47" s="8" t="s">
        <v>103</v>
      </c>
      <c r="D47" s="5" t="s">
        <v>13</v>
      </c>
      <c r="E47" s="5" t="s">
        <v>14</v>
      </c>
      <c r="F47" s="6" t="s">
        <v>109</v>
      </c>
      <c r="G47" s="6" t="s">
        <v>106</v>
      </c>
      <c r="H47" s="7" t="s">
        <v>14</v>
      </c>
    </row>
    <row r="48" spans="1:8">
      <c r="A48" s="29" t="s">
        <v>102</v>
      </c>
      <c r="B48" s="3" t="s">
        <v>5</v>
      </c>
      <c r="C48" s="4" t="s">
        <v>110</v>
      </c>
      <c r="D48" s="5" t="s">
        <v>9</v>
      </c>
      <c r="E48" s="5" t="s">
        <v>10</v>
      </c>
      <c r="F48" s="6" t="s">
        <v>117</v>
      </c>
      <c r="G48" s="6" t="s">
        <v>124</v>
      </c>
      <c r="H48" s="7" t="s">
        <v>10</v>
      </c>
    </row>
    <row r="49" spans="1:8">
      <c r="A49" s="29" t="s">
        <v>102</v>
      </c>
      <c r="B49" s="3" t="s">
        <v>5</v>
      </c>
      <c r="C49" s="4" t="s">
        <v>110</v>
      </c>
      <c r="D49" s="5" t="s">
        <v>9</v>
      </c>
      <c r="E49" s="5" t="s">
        <v>10</v>
      </c>
      <c r="F49" s="6" t="s">
        <v>126</v>
      </c>
      <c r="G49" s="6" t="s">
        <v>23</v>
      </c>
      <c r="H49" s="7" t="s">
        <v>10</v>
      </c>
    </row>
    <row r="50" spans="1:8">
      <c r="A50" s="29" t="s">
        <v>102</v>
      </c>
      <c r="B50" s="3" t="s">
        <v>5</v>
      </c>
      <c r="C50" s="4" t="s">
        <v>110</v>
      </c>
      <c r="D50" s="5" t="s">
        <v>9</v>
      </c>
      <c r="E50" s="5" t="s">
        <v>10</v>
      </c>
      <c r="F50" s="6" t="s">
        <v>127</v>
      </c>
      <c r="G50" s="6" t="s">
        <v>24</v>
      </c>
      <c r="H50" s="7" t="s">
        <v>10</v>
      </c>
    </row>
    <row r="51" spans="1:8">
      <c r="A51" s="29" t="s">
        <v>102</v>
      </c>
      <c r="B51" s="3" t="s">
        <v>5</v>
      </c>
      <c r="C51" s="4" t="s">
        <v>110</v>
      </c>
      <c r="D51" s="5" t="s">
        <v>9</v>
      </c>
      <c r="E51" s="5" t="s">
        <v>10</v>
      </c>
      <c r="F51" s="6" t="s">
        <v>121</v>
      </c>
      <c r="G51" s="6" t="s">
        <v>125</v>
      </c>
      <c r="H51" s="7" t="s">
        <v>10</v>
      </c>
    </row>
    <row r="52" spans="1:8">
      <c r="A52" s="29" t="s">
        <v>102</v>
      </c>
      <c r="B52" s="3" t="s">
        <v>5</v>
      </c>
      <c r="C52" s="4" t="s">
        <v>110</v>
      </c>
      <c r="D52" s="5" t="s">
        <v>9</v>
      </c>
      <c r="E52" s="5" t="s">
        <v>10</v>
      </c>
      <c r="F52" s="6" t="s">
        <v>122</v>
      </c>
      <c r="G52" s="6" t="s">
        <v>11</v>
      </c>
      <c r="H52" s="7" t="s">
        <v>12</v>
      </c>
    </row>
    <row r="53" spans="1:8">
      <c r="A53" s="29" t="s">
        <v>102</v>
      </c>
      <c r="B53" s="3" t="s">
        <v>5</v>
      </c>
      <c r="C53" s="4" t="s">
        <v>111</v>
      </c>
      <c r="D53" s="5" t="s">
        <v>32</v>
      </c>
      <c r="E53" s="5" t="s">
        <v>33</v>
      </c>
      <c r="F53" s="6" t="s">
        <v>111</v>
      </c>
      <c r="G53" s="6" t="s">
        <v>970</v>
      </c>
      <c r="H53" s="7" t="s">
        <v>33</v>
      </c>
    </row>
    <row r="54" spans="1:8">
      <c r="A54" s="29" t="s">
        <v>102</v>
      </c>
      <c r="B54" s="3" t="s">
        <v>5</v>
      </c>
      <c r="C54" s="8" t="s">
        <v>112</v>
      </c>
      <c r="D54" s="5" t="s">
        <v>17</v>
      </c>
      <c r="E54" s="5" t="s">
        <v>18</v>
      </c>
      <c r="F54" s="6" t="s">
        <v>118</v>
      </c>
      <c r="G54" s="6" t="s">
        <v>128</v>
      </c>
      <c r="H54" s="7" t="s">
        <v>18</v>
      </c>
    </row>
    <row r="55" spans="1:8">
      <c r="A55" s="29" t="s">
        <v>102</v>
      </c>
      <c r="B55" s="3" t="s">
        <v>5</v>
      </c>
      <c r="C55" s="8" t="s">
        <v>112</v>
      </c>
      <c r="D55" s="5" t="s">
        <v>17</v>
      </c>
      <c r="E55" s="5" t="s">
        <v>18</v>
      </c>
      <c r="F55" s="6" t="s">
        <v>130</v>
      </c>
      <c r="G55" s="6" t="s">
        <v>129</v>
      </c>
      <c r="H55" s="7" t="s">
        <v>28</v>
      </c>
    </row>
    <row r="56" spans="1:8">
      <c r="A56" s="29" t="s">
        <v>102</v>
      </c>
      <c r="B56" s="3" t="s">
        <v>5</v>
      </c>
      <c r="C56" s="8" t="s">
        <v>112</v>
      </c>
      <c r="D56" s="5" t="s">
        <v>17</v>
      </c>
      <c r="E56" s="5" t="s">
        <v>18</v>
      </c>
      <c r="F56" s="6" t="s">
        <v>132</v>
      </c>
      <c r="G56" s="6" t="s">
        <v>19</v>
      </c>
      <c r="H56" s="7" t="s">
        <v>20</v>
      </c>
    </row>
    <row r="57" spans="1:8">
      <c r="A57" s="29" t="s">
        <v>102</v>
      </c>
      <c r="B57" s="3" t="s">
        <v>5</v>
      </c>
      <c r="C57" s="8" t="s">
        <v>112</v>
      </c>
      <c r="D57" s="5" t="s">
        <v>17</v>
      </c>
      <c r="E57" s="5" t="s">
        <v>18</v>
      </c>
      <c r="F57" s="6" t="s">
        <v>123</v>
      </c>
      <c r="G57" s="6" t="s">
        <v>34</v>
      </c>
      <c r="H57" s="7" t="s">
        <v>35</v>
      </c>
    </row>
    <row r="58" spans="1:8">
      <c r="A58" s="29" t="s">
        <v>102</v>
      </c>
      <c r="B58" s="3" t="s">
        <v>5</v>
      </c>
      <c r="C58" s="8" t="s">
        <v>113</v>
      </c>
      <c r="D58" s="5" t="s">
        <v>6</v>
      </c>
      <c r="E58" s="5" t="s">
        <v>7</v>
      </c>
      <c r="F58" s="6" t="s">
        <v>119</v>
      </c>
      <c r="G58" s="6" t="s">
        <v>8</v>
      </c>
      <c r="H58" s="7" t="s">
        <v>7</v>
      </c>
    </row>
    <row r="59" spans="1:8">
      <c r="A59" s="29" t="s">
        <v>102</v>
      </c>
      <c r="B59" s="3" t="s">
        <v>5</v>
      </c>
      <c r="C59" s="8" t="s">
        <v>113</v>
      </c>
      <c r="D59" s="5" t="s">
        <v>6</v>
      </c>
      <c r="E59" s="31" t="s">
        <v>7</v>
      </c>
      <c r="F59" s="7" t="s">
        <v>131</v>
      </c>
      <c r="G59" s="6" t="s">
        <v>134</v>
      </c>
      <c r="H59" s="7" t="s">
        <v>16</v>
      </c>
    </row>
    <row r="60" spans="1:8">
      <c r="A60" s="29" t="s">
        <v>102</v>
      </c>
      <c r="B60" s="3" t="s">
        <v>5</v>
      </c>
      <c r="C60" s="8" t="s">
        <v>113</v>
      </c>
      <c r="D60" s="5" t="s">
        <v>6</v>
      </c>
      <c r="E60" s="31" t="s">
        <v>7</v>
      </c>
      <c r="F60" s="7" t="s">
        <v>133</v>
      </c>
      <c r="G60" s="6" t="s">
        <v>135</v>
      </c>
      <c r="H60" s="7" t="s">
        <v>7</v>
      </c>
    </row>
    <row r="61" spans="1:8">
      <c r="A61" s="29" t="s">
        <v>102</v>
      </c>
      <c r="B61" s="3" t="s">
        <v>5</v>
      </c>
      <c r="C61" s="8" t="s">
        <v>114</v>
      </c>
      <c r="D61" s="5" t="s">
        <v>25</v>
      </c>
      <c r="E61" s="31" t="s">
        <v>26</v>
      </c>
      <c r="F61" s="7" t="s">
        <v>120</v>
      </c>
      <c r="G61" s="6" t="s">
        <v>136</v>
      </c>
      <c r="H61" s="7" t="s">
        <v>26</v>
      </c>
    </row>
    <row r="62" spans="1:8">
      <c r="A62" s="29" t="s">
        <v>102</v>
      </c>
      <c r="B62" s="3" t="s">
        <v>5</v>
      </c>
      <c r="C62" s="8" t="s">
        <v>116</v>
      </c>
      <c r="D62" s="5" t="s">
        <v>5</v>
      </c>
      <c r="E62" s="31" t="s">
        <v>21</v>
      </c>
      <c r="F62" s="7" t="s">
        <v>116</v>
      </c>
      <c r="G62" s="6" t="s">
        <v>22</v>
      </c>
      <c r="H62" s="7" t="s">
        <v>21</v>
      </c>
    </row>
    <row r="63" spans="1:8">
      <c r="A63" s="29" t="s">
        <v>102</v>
      </c>
      <c r="B63" s="3" t="s">
        <v>5</v>
      </c>
      <c r="C63" s="9" t="s">
        <v>189</v>
      </c>
      <c r="D63" s="5" t="s">
        <v>29</v>
      </c>
      <c r="E63" s="5" t="s">
        <v>14</v>
      </c>
      <c r="F63" s="7" t="s">
        <v>115</v>
      </c>
      <c r="G63" s="6" t="s">
        <v>31</v>
      </c>
      <c r="H63" s="7" t="s">
        <v>14</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CDFC-D166-470A-9BA3-18AB8672B2D0}">
  <dimension ref="A1:K647"/>
  <sheetViews>
    <sheetView workbookViewId="0">
      <selection activeCell="K2" sqref="K2"/>
    </sheetView>
  </sheetViews>
  <sheetFormatPr defaultRowHeight="15"/>
  <cols>
    <col min="1" max="1" width="45.7109375" style="1" customWidth="1"/>
    <col min="2" max="2" width="38.42578125" style="1" customWidth="1"/>
    <col min="3" max="4" width="25.28515625" style="1" customWidth="1"/>
    <col min="5" max="5" width="33.28515625" style="1" customWidth="1"/>
    <col min="6" max="8" width="16" style="1" customWidth="1"/>
    <col min="9" max="9" width="19.140625" style="1" customWidth="1"/>
    <col min="10" max="10" width="13.85546875" style="1" customWidth="1"/>
    <col min="11" max="11" width="14.42578125" style="1" bestFit="1" customWidth="1"/>
    <col min="12" max="16384" width="9.140625" style="1"/>
  </cols>
  <sheetData>
    <row r="1" spans="1:11">
      <c r="A1" s="48" t="s">
        <v>208</v>
      </c>
      <c r="B1" s="49" t="s">
        <v>209</v>
      </c>
      <c r="C1" s="49" t="s">
        <v>9345</v>
      </c>
      <c r="D1" s="50" t="s">
        <v>191</v>
      </c>
      <c r="E1" s="49" t="s">
        <v>210</v>
      </c>
      <c r="F1" s="50" t="s">
        <v>211</v>
      </c>
      <c r="G1" s="50" t="s">
        <v>212</v>
      </c>
      <c r="H1" s="50" t="s">
        <v>213</v>
      </c>
      <c r="I1" s="48" t="s">
        <v>214</v>
      </c>
      <c r="J1" s="49" t="s">
        <v>215</v>
      </c>
      <c r="K1" s="51" t="s">
        <v>198</v>
      </c>
    </row>
    <row r="2" spans="1:11" ht="51">
      <c r="A2" s="52" t="s">
        <v>910</v>
      </c>
      <c r="B2" s="53" t="s">
        <v>911</v>
      </c>
      <c r="C2" s="53" t="s">
        <v>309</v>
      </c>
      <c r="D2" s="54" t="str">
        <f>_xlfn.XLOOKUP(E2,Organograma!H:H,Organograma!G:G,"")</f>
        <v>GRSS - Gerenciamento de Resíduos de Serviço de Saúde</v>
      </c>
      <c r="E2" s="54" t="s">
        <v>912</v>
      </c>
      <c r="F2" s="55">
        <v>46025</v>
      </c>
      <c r="G2" s="55">
        <v>46331</v>
      </c>
      <c r="H2" s="55">
        <v>46173</v>
      </c>
      <c r="I2" s="56" t="s">
        <v>192</v>
      </c>
      <c r="J2" s="57">
        <v>0.5</v>
      </c>
      <c r="K2" s="58" t="s">
        <v>936</v>
      </c>
    </row>
    <row r="3" spans="1:11" ht="51">
      <c r="A3" s="52" t="s">
        <v>913</v>
      </c>
      <c r="B3" s="53" t="s">
        <v>911</v>
      </c>
      <c r="C3" s="53" t="s">
        <v>309</v>
      </c>
      <c r="D3" s="54" t="str">
        <f>_xlfn.XLOOKUP(E3,Organograma!H:H,Organograma!G:G,"")</f>
        <v>GRSS - Gerenciamento de Resíduos de Serviço de Saúde</v>
      </c>
      <c r="E3" s="54" t="s">
        <v>912</v>
      </c>
      <c r="F3" s="55">
        <v>46025</v>
      </c>
      <c r="G3" s="55">
        <v>46331</v>
      </c>
      <c r="H3" s="55">
        <v>46173</v>
      </c>
      <c r="I3" s="56" t="s">
        <v>192</v>
      </c>
      <c r="J3" s="57">
        <v>0.5</v>
      </c>
      <c r="K3" s="58" t="s">
        <v>936</v>
      </c>
    </row>
    <row r="4" spans="1:11" ht="51">
      <c r="A4" s="52" t="s">
        <v>914</v>
      </c>
      <c r="B4" s="53" t="s">
        <v>911</v>
      </c>
      <c r="C4" s="53" t="s">
        <v>309</v>
      </c>
      <c r="D4" s="54" t="str">
        <f>_xlfn.XLOOKUP(E4,Organograma!H:H,Organograma!G:G,"")</f>
        <v>GRSS - Gerenciamento de Resíduos de Serviço de Saúde</v>
      </c>
      <c r="E4" s="54" t="s">
        <v>912</v>
      </c>
      <c r="F4" s="55">
        <v>46025</v>
      </c>
      <c r="G4" s="59" t="s">
        <v>192</v>
      </c>
      <c r="H4" s="55">
        <v>46173</v>
      </c>
      <c r="I4" s="56" t="s">
        <v>192</v>
      </c>
      <c r="J4" s="57">
        <v>0</v>
      </c>
      <c r="K4" s="58" t="s">
        <v>937</v>
      </c>
    </row>
    <row r="5" spans="1:11" ht="51">
      <c r="A5" s="52" t="s">
        <v>915</v>
      </c>
      <c r="B5" s="53" t="s">
        <v>911</v>
      </c>
      <c r="C5" s="53" t="s">
        <v>309</v>
      </c>
      <c r="D5" s="54" t="str">
        <f>_xlfn.XLOOKUP(E5,Organograma!H:H,Organograma!G:G,"")</f>
        <v>GRSS - Gerenciamento de Resíduos de Serviço de Saúde</v>
      </c>
      <c r="E5" s="54" t="s">
        <v>912</v>
      </c>
      <c r="F5" s="55">
        <v>46025</v>
      </c>
      <c r="G5" s="59" t="s">
        <v>192</v>
      </c>
      <c r="H5" s="55">
        <v>46173</v>
      </c>
      <c r="I5" s="56" t="s">
        <v>192</v>
      </c>
      <c r="J5" s="57">
        <v>0</v>
      </c>
      <c r="K5" s="58" t="s">
        <v>937</v>
      </c>
    </row>
    <row r="6" spans="1:11" ht="51">
      <c r="A6" s="52" t="s">
        <v>916</v>
      </c>
      <c r="B6" s="53" t="s">
        <v>911</v>
      </c>
      <c r="C6" s="53" t="s">
        <v>309</v>
      </c>
      <c r="D6" s="54" t="str">
        <f>_xlfn.XLOOKUP(E6,Organograma!H:H,Organograma!G:G,"")</f>
        <v>GRSS - Gerenciamento de Resíduos de Serviço de Saúde</v>
      </c>
      <c r="E6" s="54" t="s">
        <v>912</v>
      </c>
      <c r="F6" s="55">
        <v>46025</v>
      </c>
      <c r="G6" s="59" t="s">
        <v>192</v>
      </c>
      <c r="H6" s="55">
        <v>46173</v>
      </c>
      <c r="I6" s="56" t="s">
        <v>192</v>
      </c>
      <c r="J6" s="57">
        <v>0</v>
      </c>
      <c r="K6" s="58" t="s">
        <v>937</v>
      </c>
    </row>
    <row r="7" spans="1:11" ht="51">
      <c r="A7" s="52" t="s">
        <v>917</v>
      </c>
      <c r="B7" s="53" t="s">
        <v>911</v>
      </c>
      <c r="C7" s="53" t="s">
        <v>309</v>
      </c>
      <c r="D7" s="54" t="str">
        <f>_xlfn.XLOOKUP(E7,Organograma!H:H,Organograma!G:G,"")</f>
        <v>GRSS - Gerenciamento de Resíduos de Serviço de Saúde</v>
      </c>
      <c r="E7" s="54" t="s">
        <v>912</v>
      </c>
      <c r="F7" s="55">
        <v>46025</v>
      </c>
      <c r="G7" s="59" t="s">
        <v>192</v>
      </c>
      <c r="H7" s="55">
        <v>46173</v>
      </c>
      <c r="I7" s="56" t="s">
        <v>192</v>
      </c>
      <c r="J7" s="57">
        <v>0</v>
      </c>
      <c r="K7" s="58" t="s">
        <v>937</v>
      </c>
    </row>
    <row r="8" spans="1:11" ht="51">
      <c r="A8" s="52" t="s">
        <v>918</v>
      </c>
      <c r="B8" s="53" t="s">
        <v>911</v>
      </c>
      <c r="C8" s="53" t="s">
        <v>309</v>
      </c>
      <c r="D8" s="54" t="str">
        <f>_xlfn.XLOOKUP(E8,Organograma!H:H,Organograma!G:G,"")</f>
        <v>GRSS - Gerenciamento de Resíduos de Serviço de Saúde</v>
      </c>
      <c r="E8" s="54" t="s">
        <v>912</v>
      </c>
      <c r="F8" s="55">
        <v>46025</v>
      </c>
      <c r="G8" s="59" t="s">
        <v>192</v>
      </c>
      <c r="H8" s="55">
        <v>46173</v>
      </c>
      <c r="I8" s="56" t="s">
        <v>192</v>
      </c>
      <c r="J8" s="57">
        <v>0</v>
      </c>
      <c r="K8" s="58" t="s">
        <v>937</v>
      </c>
    </row>
    <row r="9" spans="1:11" ht="51">
      <c r="A9" s="52" t="s">
        <v>919</v>
      </c>
      <c r="B9" s="53" t="s">
        <v>911</v>
      </c>
      <c r="C9" s="53" t="s">
        <v>309</v>
      </c>
      <c r="D9" s="54" t="str">
        <f>_xlfn.XLOOKUP(E9,Organograma!H:H,Organograma!G:G,"")</f>
        <v>GRSS - Gerenciamento de Resíduos de Serviço de Saúde</v>
      </c>
      <c r="E9" s="54" t="s">
        <v>912</v>
      </c>
      <c r="F9" s="55">
        <v>46025</v>
      </c>
      <c r="G9" s="59" t="s">
        <v>192</v>
      </c>
      <c r="H9" s="55">
        <v>46173</v>
      </c>
      <c r="I9" s="56" t="s">
        <v>192</v>
      </c>
      <c r="J9" s="57">
        <v>0</v>
      </c>
      <c r="K9" s="58" t="s">
        <v>937</v>
      </c>
    </row>
    <row r="10" spans="1:11" ht="38.25">
      <c r="A10" s="52" t="s">
        <v>920</v>
      </c>
      <c r="B10" s="53" t="s">
        <v>911</v>
      </c>
      <c r="C10" s="53" t="s">
        <v>309</v>
      </c>
      <c r="D10" s="54" t="str">
        <f>_xlfn.XLOOKUP(E10,Organograma!H:H,Organograma!G:G,"")</f>
        <v>GRSS - Gerenciamento de Resíduos de Serviço de Saúde</v>
      </c>
      <c r="E10" s="54" t="s">
        <v>912</v>
      </c>
      <c r="F10" s="55">
        <v>46025</v>
      </c>
      <c r="G10" s="59" t="s">
        <v>192</v>
      </c>
      <c r="H10" s="55">
        <v>46173</v>
      </c>
      <c r="I10" s="56" t="s">
        <v>192</v>
      </c>
      <c r="J10" s="57">
        <v>0</v>
      </c>
      <c r="K10" s="58" t="s">
        <v>937</v>
      </c>
    </row>
    <row r="11" spans="1:11" ht="38.25">
      <c r="A11" s="52" t="s">
        <v>921</v>
      </c>
      <c r="B11" s="53" t="s">
        <v>911</v>
      </c>
      <c r="C11" s="53" t="s">
        <v>309</v>
      </c>
      <c r="D11" s="54" t="str">
        <f>_xlfn.XLOOKUP(E11,Organograma!H:H,Organograma!G:G,"")</f>
        <v>GRSS - Gerenciamento de Resíduos de Serviço de Saúde</v>
      </c>
      <c r="E11" s="54" t="s">
        <v>912</v>
      </c>
      <c r="F11" s="55">
        <v>46025</v>
      </c>
      <c r="G11" s="59" t="s">
        <v>192</v>
      </c>
      <c r="H11" s="55">
        <v>46173</v>
      </c>
      <c r="I11" s="56" t="s">
        <v>192</v>
      </c>
      <c r="J11" s="57">
        <v>0</v>
      </c>
      <c r="K11" s="58" t="s">
        <v>937</v>
      </c>
    </row>
    <row r="12" spans="1:11" ht="38.25">
      <c r="A12" s="52" t="s">
        <v>922</v>
      </c>
      <c r="B12" s="53" t="s">
        <v>911</v>
      </c>
      <c r="C12" s="53" t="s">
        <v>309</v>
      </c>
      <c r="D12" s="54" t="str">
        <f>_xlfn.XLOOKUP(E12,Organograma!H:H,Organograma!G:G,"")</f>
        <v>GRSS - Gerenciamento de Resíduos de Serviço de Saúde</v>
      </c>
      <c r="E12" s="54" t="s">
        <v>912</v>
      </c>
      <c r="F12" s="55">
        <v>46025</v>
      </c>
      <c r="G12" s="59" t="s">
        <v>192</v>
      </c>
      <c r="H12" s="55">
        <v>46173</v>
      </c>
      <c r="I12" s="56" t="s">
        <v>192</v>
      </c>
      <c r="J12" s="57">
        <v>0</v>
      </c>
      <c r="K12" s="58" t="s">
        <v>937</v>
      </c>
    </row>
    <row r="13" spans="1:11" ht="51">
      <c r="A13" s="52" t="s">
        <v>923</v>
      </c>
      <c r="B13" s="53" t="s">
        <v>911</v>
      </c>
      <c r="C13" s="53" t="s">
        <v>309</v>
      </c>
      <c r="D13" s="54" t="str">
        <f>_xlfn.XLOOKUP(E13,Organograma!H:H,Organograma!G:G,"")</f>
        <v>GRSS - Gerenciamento de Resíduos de Serviço de Saúde</v>
      </c>
      <c r="E13" s="54" t="s">
        <v>912</v>
      </c>
      <c r="F13" s="55">
        <v>46025</v>
      </c>
      <c r="G13" s="59" t="s">
        <v>192</v>
      </c>
      <c r="H13" s="55">
        <v>46173</v>
      </c>
      <c r="I13" s="56" t="s">
        <v>192</v>
      </c>
      <c r="J13" s="57">
        <v>0</v>
      </c>
      <c r="K13" s="58" t="s">
        <v>937</v>
      </c>
    </row>
    <row r="14" spans="1:11" ht="51">
      <c r="A14" s="52" t="s">
        <v>924</v>
      </c>
      <c r="B14" s="53" t="s">
        <v>911</v>
      </c>
      <c r="C14" s="53" t="s">
        <v>309</v>
      </c>
      <c r="D14" s="54" t="str">
        <f>_xlfn.XLOOKUP(E14,Organograma!H:H,Organograma!G:G,"")</f>
        <v>GRSS - Gerenciamento de Resíduos de Serviço de Saúde</v>
      </c>
      <c r="E14" s="54" t="s">
        <v>912</v>
      </c>
      <c r="F14" s="55">
        <v>46025</v>
      </c>
      <c r="G14" s="59" t="s">
        <v>192</v>
      </c>
      <c r="H14" s="55">
        <v>46173</v>
      </c>
      <c r="I14" s="56" t="s">
        <v>192</v>
      </c>
      <c r="J14" s="57">
        <v>0</v>
      </c>
      <c r="K14" s="58" t="s">
        <v>937</v>
      </c>
    </row>
    <row r="15" spans="1:11" ht="51">
      <c r="A15" s="52" t="s">
        <v>925</v>
      </c>
      <c r="B15" s="53" t="s">
        <v>911</v>
      </c>
      <c r="C15" s="53" t="s">
        <v>309</v>
      </c>
      <c r="D15" s="54" t="str">
        <f>_xlfn.XLOOKUP(E15,Organograma!H:H,Organograma!G:G,"")</f>
        <v>GRSS - Gerenciamento de Resíduos de Serviço de Saúde</v>
      </c>
      <c r="E15" s="54" t="s">
        <v>912</v>
      </c>
      <c r="F15" s="55">
        <v>46025</v>
      </c>
      <c r="G15" s="59" t="s">
        <v>192</v>
      </c>
      <c r="H15" s="55">
        <v>46173</v>
      </c>
      <c r="I15" s="56" t="s">
        <v>192</v>
      </c>
      <c r="J15" s="57">
        <v>0</v>
      </c>
      <c r="K15" s="58" t="s">
        <v>937</v>
      </c>
    </row>
    <row r="16" spans="1:11" ht="38.25">
      <c r="A16" s="52" t="s">
        <v>926</v>
      </c>
      <c r="B16" s="53" t="s">
        <v>911</v>
      </c>
      <c r="C16" s="53" t="s">
        <v>309</v>
      </c>
      <c r="D16" s="54" t="str">
        <f>_xlfn.XLOOKUP(E16,Organograma!H:H,Organograma!G:G,"")</f>
        <v>GRSS - Gerenciamento de Resíduos de Serviço de Saúde</v>
      </c>
      <c r="E16" s="54" t="s">
        <v>912</v>
      </c>
      <c r="F16" s="55">
        <v>46025</v>
      </c>
      <c r="G16" s="59" t="s">
        <v>192</v>
      </c>
      <c r="H16" s="55">
        <v>46173</v>
      </c>
      <c r="I16" s="56" t="s">
        <v>192</v>
      </c>
      <c r="J16" s="57">
        <v>0</v>
      </c>
      <c r="K16" s="58" t="s">
        <v>937</v>
      </c>
    </row>
    <row r="17" spans="1:11" ht="38.25">
      <c r="A17" s="52" t="s">
        <v>927</v>
      </c>
      <c r="B17" s="53" t="s">
        <v>911</v>
      </c>
      <c r="C17" s="53" t="s">
        <v>309</v>
      </c>
      <c r="D17" s="54" t="str">
        <f>_xlfn.XLOOKUP(E17,Organograma!H:H,Organograma!G:G,"")</f>
        <v>GRSS - Gerenciamento de Resíduos de Serviço de Saúde</v>
      </c>
      <c r="E17" s="54" t="s">
        <v>912</v>
      </c>
      <c r="F17" s="55">
        <v>46025</v>
      </c>
      <c r="G17" s="59" t="s">
        <v>192</v>
      </c>
      <c r="H17" s="55">
        <v>46173</v>
      </c>
      <c r="I17" s="56" t="s">
        <v>192</v>
      </c>
      <c r="J17" s="57">
        <v>0</v>
      </c>
      <c r="K17" s="58" t="s">
        <v>937</v>
      </c>
    </row>
    <row r="18" spans="1:11" ht="38.25">
      <c r="A18" s="52" t="s">
        <v>928</v>
      </c>
      <c r="B18" s="53" t="s">
        <v>911</v>
      </c>
      <c r="C18" s="53" t="s">
        <v>309</v>
      </c>
      <c r="D18" s="54" t="str">
        <f>_xlfn.XLOOKUP(E18,Organograma!H:H,Organograma!G:G,"")</f>
        <v>GRSS - Gerenciamento de Resíduos de Serviço de Saúde</v>
      </c>
      <c r="E18" s="54" t="s">
        <v>912</v>
      </c>
      <c r="F18" s="55">
        <v>46025</v>
      </c>
      <c r="G18" s="59" t="s">
        <v>192</v>
      </c>
      <c r="H18" s="55">
        <v>46173</v>
      </c>
      <c r="I18" s="56" t="s">
        <v>192</v>
      </c>
      <c r="J18" s="57">
        <v>0</v>
      </c>
      <c r="K18" s="58" t="s">
        <v>937</v>
      </c>
    </row>
    <row r="19" spans="1:11" ht="51">
      <c r="A19" s="52" t="s">
        <v>929</v>
      </c>
      <c r="B19" s="53" t="s">
        <v>911</v>
      </c>
      <c r="C19" s="53" t="s">
        <v>309</v>
      </c>
      <c r="D19" s="54" t="str">
        <f>_xlfn.XLOOKUP(E19,Organograma!H:H,Organograma!G:G,"")</f>
        <v>GRSS - Gerenciamento de Resíduos de Serviço de Saúde</v>
      </c>
      <c r="E19" s="54" t="s">
        <v>912</v>
      </c>
      <c r="F19" s="55">
        <v>46025</v>
      </c>
      <c r="G19" s="59" t="s">
        <v>192</v>
      </c>
      <c r="H19" s="55">
        <v>46173</v>
      </c>
      <c r="I19" s="56" t="s">
        <v>192</v>
      </c>
      <c r="J19" s="57">
        <v>0</v>
      </c>
      <c r="K19" s="58" t="s">
        <v>937</v>
      </c>
    </row>
    <row r="20" spans="1:11" ht="51">
      <c r="A20" s="52" t="s">
        <v>930</v>
      </c>
      <c r="B20" s="53" t="s">
        <v>911</v>
      </c>
      <c r="C20" s="53" t="s">
        <v>309</v>
      </c>
      <c r="D20" s="54" t="str">
        <f>_xlfn.XLOOKUP(E20,Organograma!H:H,Organograma!G:G,"")</f>
        <v>GRSS - Gerenciamento de Resíduos de Serviço de Saúde</v>
      </c>
      <c r="E20" s="54" t="s">
        <v>912</v>
      </c>
      <c r="F20" s="55">
        <v>46025</v>
      </c>
      <c r="G20" s="59" t="s">
        <v>192</v>
      </c>
      <c r="H20" s="55">
        <v>46173</v>
      </c>
      <c r="I20" s="56" t="s">
        <v>192</v>
      </c>
      <c r="J20" s="57">
        <v>0</v>
      </c>
      <c r="K20" s="58" t="s">
        <v>937</v>
      </c>
    </row>
    <row r="21" spans="1:11" ht="38.25">
      <c r="A21" s="52" t="s">
        <v>931</v>
      </c>
      <c r="B21" s="53" t="s">
        <v>911</v>
      </c>
      <c r="C21" s="53" t="s">
        <v>309</v>
      </c>
      <c r="D21" s="54" t="str">
        <f>_xlfn.XLOOKUP(E21,Organograma!H:H,Organograma!G:G,"")</f>
        <v>GRSS - Gerenciamento de Resíduos de Serviço de Saúde</v>
      </c>
      <c r="E21" s="54" t="s">
        <v>912</v>
      </c>
      <c r="F21" s="55">
        <v>46025</v>
      </c>
      <c r="G21" s="59" t="s">
        <v>192</v>
      </c>
      <c r="H21" s="55">
        <v>46173</v>
      </c>
      <c r="I21" s="56" t="s">
        <v>192</v>
      </c>
      <c r="J21" s="57">
        <v>0</v>
      </c>
      <c r="K21" s="58" t="s">
        <v>937</v>
      </c>
    </row>
    <row r="22" spans="1:11" ht="51">
      <c r="A22" s="52" t="s">
        <v>932</v>
      </c>
      <c r="B22" s="53" t="s">
        <v>911</v>
      </c>
      <c r="C22" s="53" t="s">
        <v>309</v>
      </c>
      <c r="D22" s="54" t="str">
        <f>_xlfn.XLOOKUP(E22,Organograma!H:H,Organograma!G:G,"")</f>
        <v>GRSS - Gerenciamento de Resíduos de Serviço de Saúde</v>
      </c>
      <c r="E22" s="54" t="s">
        <v>912</v>
      </c>
      <c r="F22" s="55">
        <v>46025</v>
      </c>
      <c r="G22" s="59" t="s">
        <v>192</v>
      </c>
      <c r="H22" s="55">
        <v>46173</v>
      </c>
      <c r="I22" s="56" t="s">
        <v>192</v>
      </c>
      <c r="J22" s="57">
        <v>0</v>
      </c>
      <c r="K22" s="58" t="s">
        <v>937</v>
      </c>
    </row>
    <row r="23" spans="1:11" ht="38.25">
      <c r="A23" s="52" t="s">
        <v>823</v>
      </c>
      <c r="B23" s="53" t="s">
        <v>824</v>
      </c>
      <c r="C23" s="53" t="s">
        <v>309</v>
      </c>
      <c r="D23" s="54" t="str">
        <f>_xlfn.XLOOKUP(E23,Organograma!H:H,Organograma!G:G,"")</f>
        <v>SND - Serviço de Nutrição e Dietética</v>
      </c>
      <c r="E23" s="54" t="s">
        <v>825</v>
      </c>
      <c r="F23" s="55">
        <v>46025</v>
      </c>
      <c r="G23" s="55">
        <v>46147</v>
      </c>
      <c r="H23" s="55">
        <v>46173</v>
      </c>
      <c r="I23" s="56" t="s">
        <v>192</v>
      </c>
      <c r="J23" s="57">
        <v>0.5</v>
      </c>
      <c r="K23" s="58" t="s">
        <v>936</v>
      </c>
    </row>
    <row r="24" spans="1:11" ht="25.5">
      <c r="A24" s="52" t="s">
        <v>826</v>
      </c>
      <c r="B24" s="53" t="s">
        <v>824</v>
      </c>
      <c r="C24" s="53" t="s">
        <v>309</v>
      </c>
      <c r="D24" s="54" t="str">
        <f>_xlfn.XLOOKUP(E24,Organograma!H:H,Organograma!G:G,"")</f>
        <v>SND - Serviço de Nutrição e Dietética</v>
      </c>
      <c r="E24" s="54" t="s">
        <v>825</v>
      </c>
      <c r="F24" s="55">
        <v>46025</v>
      </c>
      <c r="G24" s="55">
        <v>46105</v>
      </c>
      <c r="H24" s="55">
        <v>46173</v>
      </c>
      <c r="I24" s="56" t="s">
        <v>192</v>
      </c>
      <c r="J24" s="57">
        <v>0.5</v>
      </c>
      <c r="K24" s="58" t="s">
        <v>936</v>
      </c>
    </row>
    <row r="25" spans="1:11" ht="38.25">
      <c r="A25" s="52" t="s">
        <v>827</v>
      </c>
      <c r="B25" s="53" t="s">
        <v>824</v>
      </c>
      <c r="C25" s="53" t="s">
        <v>309</v>
      </c>
      <c r="D25" s="54" t="str">
        <f>_xlfn.XLOOKUP(E25,Organograma!H:H,Organograma!G:G,"")</f>
        <v>SND - Serviço de Nutrição e Dietética</v>
      </c>
      <c r="E25" s="54" t="s">
        <v>825</v>
      </c>
      <c r="F25" s="55">
        <v>46025</v>
      </c>
      <c r="G25" s="55">
        <v>46104</v>
      </c>
      <c r="H25" s="55">
        <v>46173</v>
      </c>
      <c r="I25" s="56" t="s">
        <v>192</v>
      </c>
      <c r="J25" s="57">
        <v>0.75</v>
      </c>
      <c r="K25" s="58" t="s">
        <v>936</v>
      </c>
    </row>
    <row r="26" spans="1:11" ht="38.25">
      <c r="A26" s="52" t="s">
        <v>828</v>
      </c>
      <c r="B26" s="53" t="s">
        <v>824</v>
      </c>
      <c r="C26" s="53" t="s">
        <v>309</v>
      </c>
      <c r="D26" s="54" t="str">
        <f>_xlfn.XLOOKUP(E26,Organograma!H:H,Organograma!G:G,"")</f>
        <v>SND - Serviço de Nutrição e Dietética</v>
      </c>
      <c r="E26" s="54" t="s">
        <v>825</v>
      </c>
      <c r="F26" s="55">
        <v>46025</v>
      </c>
      <c r="G26" s="55">
        <v>46104</v>
      </c>
      <c r="H26" s="55">
        <v>46173</v>
      </c>
      <c r="I26" s="56" t="s">
        <v>192</v>
      </c>
      <c r="J26" s="57">
        <v>0.75</v>
      </c>
      <c r="K26" s="58" t="s">
        <v>936</v>
      </c>
    </row>
    <row r="27" spans="1:11" ht="51">
      <c r="A27" s="52" t="s">
        <v>829</v>
      </c>
      <c r="B27" s="53" t="s">
        <v>824</v>
      </c>
      <c r="C27" s="53" t="s">
        <v>309</v>
      </c>
      <c r="D27" s="54" t="str">
        <f>_xlfn.XLOOKUP(E27,Organograma!H:H,Organograma!G:G,"")</f>
        <v>SND - Serviço de Nutrição e Dietética</v>
      </c>
      <c r="E27" s="54" t="s">
        <v>825</v>
      </c>
      <c r="F27" s="55">
        <v>46025</v>
      </c>
      <c r="G27" s="55">
        <v>46145</v>
      </c>
      <c r="H27" s="55">
        <v>46173</v>
      </c>
      <c r="I27" s="56" t="s">
        <v>192</v>
      </c>
      <c r="J27" s="57">
        <v>0.5</v>
      </c>
      <c r="K27" s="58" t="s">
        <v>936</v>
      </c>
    </row>
    <row r="28" spans="1:11" ht="25.5">
      <c r="A28" s="52" t="s">
        <v>832</v>
      </c>
      <c r="B28" s="53" t="s">
        <v>824</v>
      </c>
      <c r="C28" s="53" t="s">
        <v>309</v>
      </c>
      <c r="D28" s="54" t="str">
        <f>_xlfn.XLOOKUP(E28,Organograma!H:H,Organograma!G:G,"")</f>
        <v>SND - Serviço de Nutrição e Dietética</v>
      </c>
      <c r="E28" s="54" t="s">
        <v>825</v>
      </c>
      <c r="F28" s="55">
        <v>46025</v>
      </c>
      <c r="G28" s="55">
        <v>46106</v>
      </c>
      <c r="H28" s="55">
        <v>46173</v>
      </c>
      <c r="I28" s="56" t="s">
        <v>192</v>
      </c>
      <c r="J28" s="57">
        <v>0.75</v>
      </c>
      <c r="K28" s="58" t="s">
        <v>936</v>
      </c>
    </row>
    <row r="29" spans="1:11" ht="51">
      <c r="A29" s="52" t="s">
        <v>833</v>
      </c>
      <c r="B29" s="53" t="s">
        <v>824</v>
      </c>
      <c r="C29" s="53" t="s">
        <v>309</v>
      </c>
      <c r="D29" s="54" t="str">
        <f>_xlfn.XLOOKUP(E29,Organograma!H:H,Organograma!G:G,"")</f>
        <v>SND - Serviço de Nutrição e Dietética</v>
      </c>
      <c r="E29" s="54" t="s">
        <v>825</v>
      </c>
      <c r="F29" s="55">
        <v>46025</v>
      </c>
      <c r="G29" s="55">
        <v>46267</v>
      </c>
      <c r="H29" s="55">
        <v>46173</v>
      </c>
      <c r="I29" s="56" t="s">
        <v>192</v>
      </c>
      <c r="J29" s="57">
        <v>0.5</v>
      </c>
      <c r="K29" s="58" t="s">
        <v>936</v>
      </c>
    </row>
    <row r="30" spans="1:11" ht="51">
      <c r="A30" s="52" t="s">
        <v>834</v>
      </c>
      <c r="B30" s="53" t="s">
        <v>824</v>
      </c>
      <c r="C30" s="53" t="s">
        <v>309</v>
      </c>
      <c r="D30" s="54" t="str">
        <f>_xlfn.XLOOKUP(E30,Organograma!H:H,Organograma!G:G,"")</f>
        <v>SND - Serviço de Nutrição e Dietética</v>
      </c>
      <c r="E30" s="54" t="s">
        <v>825</v>
      </c>
      <c r="F30" s="55">
        <v>46025</v>
      </c>
      <c r="G30" s="55">
        <v>46108</v>
      </c>
      <c r="H30" s="55">
        <v>46173</v>
      </c>
      <c r="I30" s="56" t="s">
        <v>192</v>
      </c>
      <c r="J30" s="57">
        <v>0.75</v>
      </c>
      <c r="K30" s="58" t="s">
        <v>936</v>
      </c>
    </row>
    <row r="31" spans="1:11" ht="51">
      <c r="A31" s="52" t="s">
        <v>835</v>
      </c>
      <c r="B31" s="53" t="s">
        <v>824</v>
      </c>
      <c r="C31" s="53" t="s">
        <v>309</v>
      </c>
      <c r="D31" s="54" t="str">
        <f>_xlfn.XLOOKUP(E31,Organograma!H:H,Organograma!G:G,"")</f>
        <v>SND - Serviço de Nutrição e Dietética</v>
      </c>
      <c r="E31" s="54" t="s">
        <v>825</v>
      </c>
      <c r="F31" s="55">
        <v>46025</v>
      </c>
      <c r="G31" s="55">
        <v>46099</v>
      </c>
      <c r="H31" s="55">
        <v>46173</v>
      </c>
      <c r="I31" s="56" t="s">
        <v>192</v>
      </c>
      <c r="J31" s="57">
        <v>0.75</v>
      </c>
      <c r="K31" s="58" t="s">
        <v>936</v>
      </c>
    </row>
    <row r="32" spans="1:11" ht="51">
      <c r="A32" s="52" t="s">
        <v>836</v>
      </c>
      <c r="B32" s="53" t="s">
        <v>824</v>
      </c>
      <c r="C32" s="53" t="s">
        <v>309</v>
      </c>
      <c r="D32" s="54" t="str">
        <f>_xlfn.XLOOKUP(E32,Organograma!H:H,Organograma!G:G,"")</f>
        <v>SND - Serviço de Nutrição e Dietética</v>
      </c>
      <c r="E32" s="54" t="s">
        <v>825</v>
      </c>
      <c r="F32" s="55">
        <v>46025</v>
      </c>
      <c r="G32" s="55">
        <v>46097</v>
      </c>
      <c r="H32" s="55">
        <v>46173</v>
      </c>
      <c r="I32" s="56" t="s">
        <v>192</v>
      </c>
      <c r="J32" s="57">
        <v>0.75</v>
      </c>
      <c r="K32" s="58" t="s">
        <v>936</v>
      </c>
    </row>
    <row r="33" spans="1:11" ht="38.25">
      <c r="A33" s="52" t="s">
        <v>837</v>
      </c>
      <c r="B33" s="53" t="s">
        <v>824</v>
      </c>
      <c r="C33" s="53" t="s">
        <v>309</v>
      </c>
      <c r="D33" s="54" t="str">
        <f>_xlfn.XLOOKUP(E33,Organograma!H:H,Organograma!G:G,"")</f>
        <v>SND - Serviço de Nutrição e Dietética</v>
      </c>
      <c r="E33" s="54" t="s">
        <v>825</v>
      </c>
      <c r="F33" s="55">
        <v>46142</v>
      </c>
      <c r="G33" s="55">
        <v>46105</v>
      </c>
      <c r="H33" s="55">
        <v>46173</v>
      </c>
      <c r="I33" s="56" t="s">
        <v>192</v>
      </c>
      <c r="J33" s="57">
        <v>0.5</v>
      </c>
      <c r="K33" s="58" t="s">
        <v>936</v>
      </c>
    </row>
    <row r="34" spans="1:11" ht="25.5">
      <c r="A34" s="52" t="s">
        <v>838</v>
      </c>
      <c r="B34" s="53" t="s">
        <v>824</v>
      </c>
      <c r="C34" s="53" t="s">
        <v>309</v>
      </c>
      <c r="D34" s="54" t="str">
        <f>_xlfn.XLOOKUP(E34,Organograma!H:H,Organograma!G:G,"")</f>
        <v>SND - Serviço de Nutrição e Dietética</v>
      </c>
      <c r="E34" s="54" t="s">
        <v>825</v>
      </c>
      <c r="F34" s="55">
        <v>46025</v>
      </c>
      <c r="G34" s="55">
        <v>46106</v>
      </c>
      <c r="H34" s="55">
        <v>46173</v>
      </c>
      <c r="I34" s="56" t="s">
        <v>192</v>
      </c>
      <c r="J34" s="57">
        <v>0.5</v>
      </c>
      <c r="K34" s="58" t="s">
        <v>936</v>
      </c>
    </row>
    <row r="35" spans="1:11" ht="38.25">
      <c r="A35" s="52" t="s">
        <v>839</v>
      </c>
      <c r="B35" s="53" t="s">
        <v>824</v>
      </c>
      <c r="C35" s="53" t="s">
        <v>309</v>
      </c>
      <c r="D35" s="54" t="str">
        <f>_xlfn.XLOOKUP(E35,Organograma!H:H,Organograma!G:G,"")</f>
        <v>SND - Serviço de Nutrição e Dietética</v>
      </c>
      <c r="E35" s="54" t="s">
        <v>825</v>
      </c>
      <c r="F35" s="55">
        <v>46025</v>
      </c>
      <c r="G35" s="55">
        <v>46107</v>
      </c>
      <c r="H35" s="55">
        <v>46173</v>
      </c>
      <c r="I35" s="56" t="s">
        <v>192</v>
      </c>
      <c r="J35" s="57">
        <v>0.5</v>
      </c>
      <c r="K35" s="58" t="s">
        <v>936</v>
      </c>
    </row>
    <row r="36" spans="1:11" ht="51">
      <c r="A36" s="52" t="s">
        <v>840</v>
      </c>
      <c r="B36" s="53" t="s">
        <v>824</v>
      </c>
      <c r="C36" s="53" t="s">
        <v>309</v>
      </c>
      <c r="D36" s="54" t="str">
        <f>_xlfn.XLOOKUP(E36,Organograma!H:H,Organograma!G:G,"")</f>
        <v>SND - Serviço de Nutrição e Dietética</v>
      </c>
      <c r="E36" s="54" t="s">
        <v>825</v>
      </c>
      <c r="F36" s="55">
        <v>46025</v>
      </c>
      <c r="G36" s="55">
        <v>46111</v>
      </c>
      <c r="H36" s="55">
        <v>46173</v>
      </c>
      <c r="I36" s="56" t="s">
        <v>192</v>
      </c>
      <c r="J36" s="57">
        <v>0.5</v>
      </c>
      <c r="K36" s="58" t="s">
        <v>936</v>
      </c>
    </row>
    <row r="37" spans="1:11" ht="38.25">
      <c r="A37" s="52" t="s">
        <v>841</v>
      </c>
      <c r="B37" s="53" t="s">
        <v>824</v>
      </c>
      <c r="C37" s="53" t="s">
        <v>309</v>
      </c>
      <c r="D37" s="54" t="str">
        <f>_xlfn.XLOOKUP(E37,Organograma!H:H,Organograma!G:G,"")</f>
        <v>SND - Serviço de Nutrição e Dietética</v>
      </c>
      <c r="E37" s="54" t="s">
        <v>825</v>
      </c>
      <c r="F37" s="55">
        <v>46025</v>
      </c>
      <c r="G37" s="55">
        <v>46111</v>
      </c>
      <c r="H37" s="55">
        <v>46173</v>
      </c>
      <c r="I37" s="56" t="s">
        <v>192</v>
      </c>
      <c r="J37" s="57">
        <v>0.75</v>
      </c>
      <c r="K37" s="58" t="s">
        <v>936</v>
      </c>
    </row>
    <row r="38" spans="1:11" ht="25.5">
      <c r="A38" s="52" t="s">
        <v>842</v>
      </c>
      <c r="B38" s="53" t="s">
        <v>824</v>
      </c>
      <c r="C38" s="53" t="s">
        <v>309</v>
      </c>
      <c r="D38" s="54" t="str">
        <f>_xlfn.XLOOKUP(E38,Organograma!H:H,Organograma!G:G,"")</f>
        <v>SND - Serviço de Nutrição e Dietética</v>
      </c>
      <c r="E38" s="54" t="s">
        <v>825</v>
      </c>
      <c r="F38" s="55">
        <v>46025</v>
      </c>
      <c r="G38" s="55">
        <v>46111</v>
      </c>
      <c r="H38" s="55">
        <v>46173</v>
      </c>
      <c r="I38" s="56" t="s">
        <v>192</v>
      </c>
      <c r="J38" s="57">
        <v>0.5</v>
      </c>
      <c r="K38" s="58" t="s">
        <v>936</v>
      </c>
    </row>
    <row r="39" spans="1:11" ht="38.25">
      <c r="A39" s="52" t="s">
        <v>843</v>
      </c>
      <c r="B39" s="53" t="s">
        <v>824</v>
      </c>
      <c r="C39" s="53" t="s">
        <v>309</v>
      </c>
      <c r="D39" s="54" t="str">
        <f>_xlfn.XLOOKUP(E39,Organograma!H:H,Organograma!G:G,"")</f>
        <v>SND - Serviço de Nutrição e Dietética</v>
      </c>
      <c r="E39" s="54" t="s">
        <v>825</v>
      </c>
      <c r="F39" s="55">
        <v>46025</v>
      </c>
      <c r="G39" s="55">
        <v>46110</v>
      </c>
      <c r="H39" s="55">
        <v>46173</v>
      </c>
      <c r="I39" s="56" t="s">
        <v>192</v>
      </c>
      <c r="J39" s="57">
        <v>0.75</v>
      </c>
      <c r="K39" s="58" t="s">
        <v>936</v>
      </c>
    </row>
    <row r="40" spans="1:11" ht="38.25">
      <c r="A40" s="52" t="s">
        <v>844</v>
      </c>
      <c r="B40" s="53" t="s">
        <v>824</v>
      </c>
      <c r="C40" s="53" t="s">
        <v>309</v>
      </c>
      <c r="D40" s="54" t="str">
        <f>_xlfn.XLOOKUP(E40,Organograma!H:H,Organograma!G:G,"")</f>
        <v>SND - Serviço de Nutrição e Dietética</v>
      </c>
      <c r="E40" s="54" t="s">
        <v>825</v>
      </c>
      <c r="F40" s="55">
        <v>46025</v>
      </c>
      <c r="G40" s="55">
        <v>46107</v>
      </c>
      <c r="H40" s="55">
        <v>46173</v>
      </c>
      <c r="I40" s="56" t="s">
        <v>192</v>
      </c>
      <c r="J40" s="57">
        <v>0.5</v>
      </c>
      <c r="K40" s="58" t="s">
        <v>936</v>
      </c>
    </row>
    <row r="41" spans="1:11" ht="38.25">
      <c r="A41" s="52" t="s">
        <v>845</v>
      </c>
      <c r="B41" s="53" t="s">
        <v>824</v>
      </c>
      <c r="C41" s="53" t="s">
        <v>309</v>
      </c>
      <c r="D41" s="54" t="str">
        <f>_xlfn.XLOOKUP(E41,Organograma!H:H,Organograma!G:G,"")</f>
        <v>SND - Serviço de Nutrição e Dietética</v>
      </c>
      <c r="E41" s="54" t="s">
        <v>825</v>
      </c>
      <c r="F41" s="55">
        <v>46025</v>
      </c>
      <c r="G41" s="55">
        <v>46111</v>
      </c>
      <c r="H41" s="55">
        <v>46173</v>
      </c>
      <c r="I41" s="56" t="s">
        <v>192</v>
      </c>
      <c r="J41" s="57">
        <v>0.5</v>
      </c>
      <c r="K41" s="58" t="s">
        <v>936</v>
      </c>
    </row>
    <row r="42" spans="1:11" ht="51">
      <c r="A42" s="52" t="s">
        <v>853</v>
      </c>
      <c r="B42" s="53" t="s">
        <v>854</v>
      </c>
      <c r="C42" s="53" t="s">
        <v>309</v>
      </c>
      <c r="D42" s="54" t="str">
        <f>_xlfn.XLOOKUP(E42,Organograma!H:H,Organograma!G:G,"")</f>
        <v>TI - Serviço de Tecnologia de Informação</v>
      </c>
      <c r="E42" s="54" t="s">
        <v>855</v>
      </c>
      <c r="F42" s="55">
        <v>46025</v>
      </c>
      <c r="G42" s="59" t="s">
        <v>192</v>
      </c>
      <c r="H42" s="55">
        <v>46173</v>
      </c>
      <c r="I42" s="56" t="s">
        <v>192</v>
      </c>
      <c r="J42" s="57">
        <v>0</v>
      </c>
      <c r="K42" s="58" t="s">
        <v>937</v>
      </c>
    </row>
    <row r="43" spans="1:11" ht="51">
      <c r="A43" s="52" t="s">
        <v>856</v>
      </c>
      <c r="B43" s="53" t="s">
        <v>854</v>
      </c>
      <c r="C43" s="53" t="s">
        <v>309</v>
      </c>
      <c r="D43" s="54" t="str">
        <f>_xlfn.XLOOKUP(E43,Organograma!H:H,Organograma!G:G,"")</f>
        <v>TI - Serviço de Tecnologia de Informação</v>
      </c>
      <c r="E43" s="54" t="s">
        <v>855</v>
      </c>
      <c r="F43" s="55">
        <v>46025</v>
      </c>
      <c r="G43" s="59" t="s">
        <v>192</v>
      </c>
      <c r="H43" s="55">
        <v>46173</v>
      </c>
      <c r="I43" s="56" t="s">
        <v>192</v>
      </c>
      <c r="J43" s="57">
        <v>0</v>
      </c>
      <c r="K43" s="58" t="s">
        <v>937</v>
      </c>
    </row>
    <row r="44" spans="1:11" ht="51">
      <c r="A44" s="52" t="s">
        <v>857</v>
      </c>
      <c r="B44" s="53" t="s">
        <v>854</v>
      </c>
      <c r="C44" s="53" t="s">
        <v>309</v>
      </c>
      <c r="D44" s="54" t="str">
        <f>_xlfn.XLOOKUP(E44,Organograma!H:H,Organograma!G:G,"")</f>
        <v>TI - Serviço de Tecnologia de Informação</v>
      </c>
      <c r="E44" s="54" t="s">
        <v>855</v>
      </c>
      <c r="F44" s="55">
        <v>46025</v>
      </c>
      <c r="G44" s="59" t="s">
        <v>192</v>
      </c>
      <c r="H44" s="55">
        <v>46173</v>
      </c>
      <c r="I44" s="56" t="s">
        <v>192</v>
      </c>
      <c r="J44" s="57">
        <v>0</v>
      </c>
      <c r="K44" s="58" t="s">
        <v>937</v>
      </c>
    </row>
    <row r="45" spans="1:11" ht="51">
      <c r="A45" s="52" t="s">
        <v>858</v>
      </c>
      <c r="B45" s="53" t="s">
        <v>854</v>
      </c>
      <c r="C45" s="53" t="s">
        <v>309</v>
      </c>
      <c r="D45" s="54" t="str">
        <f>_xlfn.XLOOKUP(E45,Organograma!H:H,Organograma!G:G,"")</f>
        <v>TI - Serviço de Tecnologia de Informação</v>
      </c>
      <c r="E45" s="54" t="s">
        <v>855</v>
      </c>
      <c r="F45" s="55">
        <v>46025</v>
      </c>
      <c r="G45" s="59" t="s">
        <v>192</v>
      </c>
      <c r="H45" s="55">
        <v>46173</v>
      </c>
      <c r="I45" s="56" t="s">
        <v>192</v>
      </c>
      <c r="J45" s="57">
        <v>0</v>
      </c>
      <c r="K45" s="58" t="s">
        <v>937</v>
      </c>
    </row>
    <row r="46" spans="1:11" ht="51">
      <c r="A46" s="52" t="s">
        <v>859</v>
      </c>
      <c r="B46" s="53" t="s">
        <v>854</v>
      </c>
      <c r="C46" s="53" t="s">
        <v>309</v>
      </c>
      <c r="D46" s="54" t="str">
        <f>_xlfn.XLOOKUP(E46,Organograma!H:H,Organograma!G:G,"")</f>
        <v>TI - Serviço de Tecnologia de Informação</v>
      </c>
      <c r="E46" s="54" t="s">
        <v>855</v>
      </c>
      <c r="F46" s="55">
        <v>46025</v>
      </c>
      <c r="G46" s="59" t="s">
        <v>192</v>
      </c>
      <c r="H46" s="55">
        <v>46173</v>
      </c>
      <c r="I46" s="56" t="s">
        <v>192</v>
      </c>
      <c r="J46" s="57">
        <v>0</v>
      </c>
      <c r="K46" s="58" t="s">
        <v>937</v>
      </c>
    </row>
    <row r="47" spans="1:11" ht="38.25">
      <c r="A47" s="52" t="s">
        <v>860</v>
      </c>
      <c r="B47" s="53" t="s">
        <v>854</v>
      </c>
      <c r="C47" s="53" t="s">
        <v>309</v>
      </c>
      <c r="D47" s="54" t="str">
        <f>_xlfn.XLOOKUP(E47,Organograma!H:H,Organograma!G:G,"")</f>
        <v>TI - Serviço de Tecnologia de Informação</v>
      </c>
      <c r="E47" s="54" t="s">
        <v>855</v>
      </c>
      <c r="F47" s="55">
        <v>46025</v>
      </c>
      <c r="G47" s="59" t="s">
        <v>192</v>
      </c>
      <c r="H47" s="55">
        <v>46173</v>
      </c>
      <c r="I47" s="56" t="s">
        <v>192</v>
      </c>
      <c r="J47" s="57">
        <v>0</v>
      </c>
      <c r="K47" s="58" t="s">
        <v>937</v>
      </c>
    </row>
    <row r="48" spans="1:11" ht="51">
      <c r="A48" s="52" t="s">
        <v>861</v>
      </c>
      <c r="B48" s="53" t="s">
        <v>854</v>
      </c>
      <c r="C48" s="53" t="s">
        <v>309</v>
      </c>
      <c r="D48" s="54" t="str">
        <f>_xlfn.XLOOKUP(E48,Organograma!H:H,Organograma!G:G,"")</f>
        <v>TI - Serviço de Tecnologia de Informação</v>
      </c>
      <c r="E48" s="54" t="s">
        <v>855</v>
      </c>
      <c r="F48" s="55">
        <v>46025</v>
      </c>
      <c r="G48" s="59" t="s">
        <v>192</v>
      </c>
      <c r="H48" s="55">
        <v>46173</v>
      </c>
      <c r="I48" s="56" t="s">
        <v>192</v>
      </c>
      <c r="J48" s="57">
        <v>0</v>
      </c>
      <c r="K48" s="58" t="s">
        <v>937</v>
      </c>
    </row>
    <row r="49" spans="1:11" ht="51">
      <c r="A49" s="52" t="s">
        <v>862</v>
      </c>
      <c r="B49" s="53" t="s">
        <v>854</v>
      </c>
      <c r="C49" s="53" t="s">
        <v>309</v>
      </c>
      <c r="D49" s="54" t="str">
        <f>_xlfn.XLOOKUP(E49,Organograma!H:H,Organograma!G:G,"")</f>
        <v>TI - Serviço de Tecnologia de Informação</v>
      </c>
      <c r="E49" s="54" t="s">
        <v>855</v>
      </c>
      <c r="F49" s="55">
        <v>46025</v>
      </c>
      <c r="G49" s="59" t="s">
        <v>192</v>
      </c>
      <c r="H49" s="55">
        <v>46173</v>
      </c>
      <c r="I49" s="56" t="s">
        <v>192</v>
      </c>
      <c r="J49" s="57">
        <v>0</v>
      </c>
      <c r="K49" s="58" t="s">
        <v>937</v>
      </c>
    </row>
    <row r="50" spans="1:11" ht="38.25">
      <c r="A50" s="52" t="s">
        <v>863</v>
      </c>
      <c r="B50" s="53" t="s">
        <v>854</v>
      </c>
      <c r="C50" s="53" t="s">
        <v>309</v>
      </c>
      <c r="D50" s="54" t="str">
        <f>_xlfn.XLOOKUP(E50,Organograma!H:H,Organograma!G:G,"")</f>
        <v>TI - Serviço de Tecnologia de Informação</v>
      </c>
      <c r="E50" s="54" t="s">
        <v>855</v>
      </c>
      <c r="F50" s="55">
        <v>46025</v>
      </c>
      <c r="G50" s="59" t="s">
        <v>192</v>
      </c>
      <c r="H50" s="55">
        <v>46173</v>
      </c>
      <c r="I50" s="56" t="s">
        <v>192</v>
      </c>
      <c r="J50" s="57">
        <v>0</v>
      </c>
      <c r="K50" s="58" t="s">
        <v>937</v>
      </c>
    </row>
    <row r="51" spans="1:11" ht="51">
      <c r="A51" s="52" t="s">
        <v>864</v>
      </c>
      <c r="B51" s="53" t="s">
        <v>854</v>
      </c>
      <c r="C51" s="53" t="s">
        <v>309</v>
      </c>
      <c r="D51" s="54" t="str">
        <f>_xlfn.XLOOKUP(E51,Organograma!H:H,Organograma!G:G,"")</f>
        <v>TI - Serviço de Tecnologia de Informação</v>
      </c>
      <c r="E51" s="54" t="s">
        <v>855</v>
      </c>
      <c r="F51" s="55">
        <v>46025</v>
      </c>
      <c r="G51" s="59" t="s">
        <v>192</v>
      </c>
      <c r="H51" s="55">
        <v>46173</v>
      </c>
      <c r="I51" s="56" t="s">
        <v>192</v>
      </c>
      <c r="J51" s="57">
        <v>0</v>
      </c>
      <c r="K51" s="58" t="s">
        <v>937</v>
      </c>
    </row>
    <row r="52" spans="1:11" ht="51">
      <c r="A52" s="52" t="s">
        <v>865</v>
      </c>
      <c r="B52" s="53" t="s">
        <v>854</v>
      </c>
      <c r="C52" s="53" t="s">
        <v>309</v>
      </c>
      <c r="D52" s="54" t="str">
        <f>_xlfn.XLOOKUP(E52,Organograma!H:H,Organograma!G:G,"")</f>
        <v>TI - Serviço de Tecnologia de Informação</v>
      </c>
      <c r="E52" s="54" t="s">
        <v>855</v>
      </c>
      <c r="F52" s="55">
        <v>46025</v>
      </c>
      <c r="G52" s="59" t="s">
        <v>192</v>
      </c>
      <c r="H52" s="55">
        <v>46173</v>
      </c>
      <c r="I52" s="56" t="s">
        <v>192</v>
      </c>
      <c r="J52" s="57">
        <v>0</v>
      </c>
      <c r="K52" s="58" t="s">
        <v>937</v>
      </c>
    </row>
    <row r="53" spans="1:11" ht="38.25">
      <c r="A53" s="52" t="s">
        <v>866</v>
      </c>
      <c r="B53" s="53" t="s">
        <v>854</v>
      </c>
      <c r="C53" s="53" t="s">
        <v>309</v>
      </c>
      <c r="D53" s="54" t="str">
        <f>_xlfn.XLOOKUP(E53,Organograma!H:H,Organograma!G:G,"")</f>
        <v>TI - Serviço de Tecnologia de Informação</v>
      </c>
      <c r="E53" s="54" t="s">
        <v>855</v>
      </c>
      <c r="F53" s="55">
        <v>46025</v>
      </c>
      <c r="G53" s="59" t="s">
        <v>192</v>
      </c>
      <c r="H53" s="55">
        <v>46173</v>
      </c>
      <c r="I53" s="56" t="s">
        <v>192</v>
      </c>
      <c r="J53" s="57">
        <v>0</v>
      </c>
      <c r="K53" s="58" t="s">
        <v>937</v>
      </c>
    </row>
    <row r="54" spans="1:11" ht="38.25">
      <c r="A54" s="52" t="s">
        <v>867</v>
      </c>
      <c r="B54" s="53" t="s">
        <v>854</v>
      </c>
      <c r="C54" s="53" t="s">
        <v>309</v>
      </c>
      <c r="D54" s="54" t="str">
        <f>_xlfn.XLOOKUP(E54,Organograma!H:H,Organograma!G:G,"")</f>
        <v>TI - Serviço de Tecnologia de Informação</v>
      </c>
      <c r="E54" s="54" t="s">
        <v>855</v>
      </c>
      <c r="F54" s="55">
        <v>46025</v>
      </c>
      <c r="G54" s="59" t="s">
        <v>192</v>
      </c>
      <c r="H54" s="55">
        <v>46173</v>
      </c>
      <c r="I54" s="56" t="s">
        <v>192</v>
      </c>
      <c r="J54" s="57">
        <v>0</v>
      </c>
      <c r="K54" s="58" t="s">
        <v>937</v>
      </c>
    </row>
    <row r="55" spans="1:11" ht="51">
      <c r="A55" s="52" t="s">
        <v>868</v>
      </c>
      <c r="B55" s="53" t="s">
        <v>854</v>
      </c>
      <c r="C55" s="53" t="s">
        <v>309</v>
      </c>
      <c r="D55" s="54" t="str">
        <f>_xlfn.XLOOKUP(E55,Organograma!H:H,Organograma!G:G,"")</f>
        <v>TI - Serviço de Tecnologia de Informação</v>
      </c>
      <c r="E55" s="54" t="s">
        <v>855</v>
      </c>
      <c r="F55" s="55">
        <v>46025</v>
      </c>
      <c r="G55" s="59" t="s">
        <v>192</v>
      </c>
      <c r="H55" s="55">
        <v>46173</v>
      </c>
      <c r="I55" s="56" t="s">
        <v>192</v>
      </c>
      <c r="J55" s="57">
        <v>0</v>
      </c>
      <c r="K55" s="58" t="s">
        <v>937</v>
      </c>
    </row>
    <row r="56" spans="1:11" ht="38.25">
      <c r="A56" s="52" t="s">
        <v>869</v>
      </c>
      <c r="B56" s="53" t="s">
        <v>854</v>
      </c>
      <c r="C56" s="53" t="s">
        <v>309</v>
      </c>
      <c r="D56" s="54" t="str">
        <f>_xlfn.XLOOKUP(E56,Organograma!H:H,Organograma!G:G,"")</f>
        <v>TI - Serviço de Tecnologia de Informação</v>
      </c>
      <c r="E56" s="54" t="s">
        <v>855</v>
      </c>
      <c r="F56" s="55">
        <v>46025</v>
      </c>
      <c r="G56" s="59" t="s">
        <v>192</v>
      </c>
      <c r="H56" s="55">
        <v>46173</v>
      </c>
      <c r="I56" s="56" t="s">
        <v>192</v>
      </c>
      <c r="J56" s="57">
        <v>0</v>
      </c>
      <c r="K56" s="58" t="s">
        <v>937</v>
      </c>
    </row>
    <row r="57" spans="1:11" ht="38.25">
      <c r="A57" s="52" t="s">
        <v>870</v>
      </c>
      <c r="B57" s="53" t="s">
        <v>854</v>
      </c>
      <c r="C57" s="53" t="s">
        <v>309</v>
      </c>
      <c r="D57" s="54" t="str">
        <f>_xlfn.XLOOKUP(E57,Organograma!H:H,Organograma!G:G,"")</f>
        <v>TI - Serviço de Tecnologia de Informação</v>
      </c>
      <c r="E57" s="54" t="s">
        <v>855</v>
      </c>
      <c r="F57" s="55">
        <v>46025</v>
      </c>
      <c r="G57" s="59" t="s">
        <v>192</v>
      </c>
      <c r="H57" s="55">
        <v>46173</v>
      </c>
      <c r="I57" s="56" t="s">
        <v>192</v>
      </c>
      <c r="J57" s="57">
        <v>0</v>
      </c>
      <c r="K57" s="58" t="s">
        <v>937</v>
      </c>
    </row>
    <row r="58" spans="1:11" ht="38.25">
      <c r="A58" s="52" t="s">
        <v>871</v>
      </c>
      <c r="B58" s="53" t="s">
        <v>854</v>
      </c>
      <c r="C58" s="53" t="s">
        <v>309</v>
      </c>
      <c r="D58" s="54" t="str">
        <f>_xlfn.XLOOKUP(E58,Organograma!H:H,Organograma!G:G,"")</f>
        <v>TI - Serviço de Tecnologia de Informação</v>
      </c>
      <c r="E58" s="54" t="s">
        <v>855</v>
      </c>
      <c r="F58" s="55">
        <v>46025</v>
      </c>
      <c r="G58" s="59" t="s">
        <v>192</v>
      </c>
      <c r="H58" s="55">
        <v>46173</v>
      </c>
      <c r="I58" s="56" t="s">
        <v>192</v>
      </c>
      <c r="J58" s="57">
        <v>0</v>
      </c>
      <c r="K58" s="58" t="s">
        <v>937</v>
      </c>
    </row>
    <row r="59" spans="1:11" ht="38.25">
      <c r="A59" s="52" t="s">
        <v>872</v>
      </c>
      <c r="B59" s="53" t="s">
        <v>854</v>
      </c>
      <c r="C59" s="53" t="s">
        <v>309</v>
      </c>
      <c r="D59" s="54" t="str">
        <f>_xlfn.XLOOKUP(E59,Organograma!H:H,Organograma!G:G,"")</f>
        <v>TI - Serviço de Tecnologia de Informação</v>
      </c>
      <c r="E59" s="54" t="s">
        <v>855</v>
      </c>
      <c r="F59" s="55">
        <v>46025</v>
      </c>
      <c r="G59" s="59" t="s">
        <v>192</v>
      </c>
      <c r="H59" s="55">
        <v>46173</v>
      </c>
      <c r="I59" s="56" t="s">
        <v>192</v>
      </c>
      <c r="J59" s="57">
        <v>0</v>
      </c>
      <c r="K59" s="58" t="s">
        <v>937</v>
      </c>
    </row>
    <row r="60" spans="1:11" ht="51">
      <c r="A60" s="52" t="s">
        <v>873</v>
      </c>
      <c r="B60" s="53" t="s">
        <v>854</v>
      </c>
      <c r="C60" s="53" t="s">
        <v>309</v>
      </c>
      <c r="D60" s="54" t="str">
        <f>_xlfn.XLOOKUP(E60,Organograma!H:H,Organograma!G:G,"")</f>
        <v>TI - Serviço de Tecnologia de Informação</v>
      </c>
      <c r="E60" s="54" t="s">
        <v>855</v>
      </c>
      <c r="F60" s="55">
        <v>46025</v>
      </c>
      <c r="G60" s="59" t="s">
        <v>192</v>
      </c>
      <c r="H60" s="55">
        <v>46173</v>
      </c>
      <c r="I60" s="56" t="s">
        <v>192</v>
      </c>
      <c r="J60" s="57">
        <v>0</v>
      </c>
      <c r="K60" s="58" t="s">
        <v>937</v>
      </c>
    </row>
    <row r="61" spans="1:11" ht="51">
      <c r="A61" s="52" t="s">
        <v>874</v>
      </c>
      <c r="B61" s="53" t="s">
        <v>854</v>
      </c>
      <c r="C61" s="53" t="s">
        <v>309</v>
      </c>
      <c r="D61" s="54" t="str">
        <f>_xlfn.XLOOKUP(E61,Organograma!H:H,Organograma!G:G,"")</f>
        <v>TI - Serviço de Tecnologia de Informação</v>
      </c>
      <c r="E61" s="54" t="s">
        <v>855</v>
      </c>
      <c r="F61" s="55">
        <v>46025</v>
      </c>
      <c r="G61" s="59" t="s">
        <v>192</v>
      </c>
      <c r="H61" s="55">
        <v>46173</v>
      </c>
      <c r="I61" s="56" t="s">
        <v>192</v>
      </c>
      <c r="J61" s="57">
        <v>0</v>
      </c>
      <c r="K61" s="58" t="s">
        <v>937</v>
      </c>
    </row>
    <row r="62" spans="1:11" ht="51">
      <c r="A62" s="52" t="s">
        <v>875</v>
      </c>
      <c r="B62" s="53" t="s">
        <v>854</v>
      </c>
      <c r="C62" s="53" t="s">
        <v>309</v>
      </c>
      <c r="D62" s="54" t="str">
        <f>_xlfn.XLOOKUP(E62,Organograma!H:H,Organograma!G:G,"")</f>
        <v>TI - Serviço de Tecnologia de Informação</v>
      </c>
      <c r="E62" s="54" t="s">
        <v>855</v>
      </c>
      <c r="F62" s="55">
        <v>46025</v>
      </c>
      <c r="G62" s="59" t="s">
        <v>192</v>
      </c>
      <c r="H62" s="55">
        <v>46173</v>
      </c>
      <c r="I62" s="56" t="s">
        <v>192</v>
      </c>
      <c r="J62" s="57">
        <v>0</v>
      </c>
      <c r="K62" s="58" t="s">
        <v>937</v>
      </c>
    </row>
    <row r="63" spans="1:11" ht="51">
      <c r="A63" s="52" t="s">
        <v>876</v>
      </c>
      <c r="B63" s="53" t="s">
        <v>854</v>
      </c>
      <c r="C63" s="53" t="s">
        <v>309</v>
      </c>
      <c r="D63" s="54" t="str">
        <f>_xlfn.XLOOKUP(E63,Organograma!H:H,Organograma!G:G,"")</f>
        <v>TI - Serviço de Tecnologia de Informação</v>
      </c>
      <c r="E63" s="54" t="s">
        <v>855</v>
      </c>
      <c r="F63" s="55">
        <v>46025</v>
      </c>
      <c r="G63" s="59" t="s">
        <v>192</v>
      </c>
      <c r="H63" s="55">
        <v>46173</v>
      </c>
      <c r="I63" s="56" t="s">
        <v>192</v>
      </c>
      <c r="J63" s="57">
        <v>0</v>
      </c>
      <c r="K63" s="58" t="s">
        <v>937</v>
      </c>
    </row>
    <row r="64" spans="1:11" ht="51">
      <c r="A64" s="52" t="s">
        <v>877</v>
      </c>
      <c r="B64" s="53" t="s">
        <v>854</v>
      </c>
      <c r="C64" s="53" t="s">
        <v>309</v>
      </c>
      <c r="D64" s="54" t="str">
        <f>_xlfn.XLOOKUP(E64,Organograma!H:H,Organograma!G:G,"")</f>
        <v>TI - Serviço de Tecnologia de Informação</v>
      </c>
      <c r="E64" s="54" t="s">
        <v>855</v>
      </c>
      <c r="F64" s="55">
        <v>46025</v>
      </c>
      <c r="G64" s="59" t="s">
        <v>192</v>
      </c>
      <c r="H64" s="55">
        <v>46173</v>
      </c>
      <c r="I64" s="56" t="s">
        <v>192</v>
      </c>
      <c r="J64" s="57">
        <v>0</v>
      </c>
      <c r="K64" s="58" t="s">
        <v>937</v>
      </c>
    </row>
    <row r="65" spans="1:11" ht="51">
      <c r="A65" s="52" t="s">
        <v>878</v>
      </c>
      <c r="B65" s="53" t="s">
        <v>854</v>
      </c>
      <c r="C65" s="53" t="s">
        <v>309</v>
      </c>
      <c r="D65" s="54" t="str">
        <f>_xlfn.XLOOKUP(E65,Organograma!H:H,Organograma!G:G,"")</f>
        <v>TI - Serviço de Tecnologia de Informação</v>
      </c>
      <c r="E65" s="54" t="s">
        <v>855</v>
      </c>
      <c r="F65" s="55">
        <v>46025</v>
      </c>
      <c r="G65" s="59" t="s">
        <v>192</v>
      </c>
      <c r="H65" s="55">
        <v>46173</v>
      </c>
      <c r="I65" s="56" t="s">
        <v>192</v>
      </c>
      <c r="J65" s="57">
        <v>0</v>
      </c>
      <c r="K65" s="58" t="s">
        <v>937</v>
      </c>
    </row>
    <row r="66" spans="1:11" ht="51">
      <c r="A66" s="52" t="s">
        <v>879</v>
      </c>
      <c r="B66" s="53" t="s">
        <v>854</v>
      </c>
      <c r="C66" s="53" t="s">
        <v>309</v>
      </c>
      <c r="D66" s="54" t="str">
        <f>_xlfn.XLOOKUP(E66,Organograma!H:H,Organograma!G:G,"")</f>
        <v>TI - Serviço de Tecnologia de Informação</v>
      </c>
      <c r="E66" s="54" t="s">
        <v>855</v>
      </c>
      <c r="F66" s="55">
        <v>46025</v>
      </c>
      <c r="G66" s="59" t="s">
        <v>192</v>
      </c>
      <c r="H66" s="55">
        <v>46173</v>
      </c>
      <c r="I66" s="56" t="s">
        <v>192</v>
      </c>
      <c r="J66" s="57">
        <v>0</v>
      </c>
      <c r="K66" s="58" t="s">
        <v>937</v>
      </c>
    </row>
    <row r="67" spans="1:11" ht="51">
      <c r="A67" s="52" t="s">
        <v>880</v>
      </c>
      <c r="B67" s="53" t="s">
        <v>854</v>
      </c>
      <c r="C67" s="53" t="s">
        <v>309</v>
      </c>
      <c r="D67" s="54" t="str">
        <f>_xlfn.XLOOKUP(E67,Organograma!H:H,Organograma!G:G,"")</f>
        <v>TI - Serviço de Tecnologia de Informação</v>
      </c>
      <c r="E67" s="54" t="s">
        <v>855</v>
      </c>
      <c r="F67" s="55">
        <v>46025</v>
      </c>
      <c r="G67" s="59" t="s">
        <v>192</v>
      </c>
      <c r="H67" s="55">
        <v>46173</v>
      </c>
      <c r="I67" s="56" t="s">
        <v>192</v>
      </c>
      <c r="J67" s="57">
        <v>0</v>
      </c>
      <c r="K67" s="58" t="s">
        <v>937</v>
      </c>
    </row>
    <row r="68" spans="1:11" ht="38.25">
      <c r="A68" s="52" t="s">
        <v>881</v>
      </c>
      <c r="B68" s="53" t="s">
        <v>854</v>
      </c>
      <c r="C68" s="53" t="s">
        <v>309</v>
      </c>
      <c r="D68" s="54" t="str">
        <f>_xlfn.XLOOKUP(E68,Organograma!H:H,Organograma!G:G,"")</f>
        <v>TI - Serviço de Tecnologia de Informação</v>
      </c>
      <c r="E68" s="54" t="s">
        <v>855</v>
      </c>
      <c r="F68" s="55">
        <v>46025</v>
      </c>
      <c r="G68" s="59" t="s">
        <v>192</v>
      </c>
      <c r="H68" s="55">
        <v>46173</v>
      </c>
      <c r="I68" s="56" t="s">
        <v>192</v>
      </c>
      <c r="J68" s="57">
        <v>0</v>
      </c>
      <c r="K68" s="58" t="s">
        <v>937</v>
      </c>
    </row>
    <row r="69" spans="1:11" ht="38.25">
      <c r="A69" s="52" t="s">
        <v>475</v>
      </c>
      <c r="B69" s="53" t="s">
        <v>476</v>
      </c>
      <c r="C69" s="53" t="s">
        <v>309</v>
      </c>
      <c r="D69" s="54" t="str">
        <f>_xlfn.XLOOKUP(E69,Organograma!H:H,Organograma!G:G,"")</f>
        <v>AMB - Unidade Ambulatorial</v>
      </c>
      <c r="E69" s="54" t="s">
        <v>477</v>
      </c>
      <c r="F69" s="55">
        <v>46025</v>
      </c>
      <c r="G69" s="55">
        <v>46298</v>
      </c>
      <c r="H69" s="55">
        <v>46173</v>
      </c>
      <c r="I69" s="56" t="s">
        <v>192</v>
      </c>
      <c r="J69" s="57">
        <v>0.5</v>
      </c>
      <c r="K69" s="58" t="s">
        <v>936</v>
      </c>
    </row>
    <row r="70" spans="1:11" ht="51">
      <c r="A70" s="52" t="s">
        <v>478</v>
      </c>
      <c r="B70" s="53" t="s">
        <v>476</v>
      </c>
      <c r="C70" s="53" t="s">
        <v>309</v>
      </c>
      <c r="D70" s="54" t="str">
        <f>_xlfn.XLOOKUP(E70,Organograma!H:H,Organograma!G:G,"")</f>
        <v>AMB - Unidade Ambulatorial</v>
      </c>
      <c r="E70" s="54" t="s">
        <v>477</v>
      </c>
      <c r="F70" s="55">
        <v>46025</v>
      </c>
      <c r="G70" s="55">
        <v>46105</v>
      </c>
      <c r="H70" s="55">
        <v>46173</v>
      </c>
      <c r="I70" s="56" t="s">
        <v>192</v>
      </c>
      <c r="J70" s="57">
        <v>0.25</v>
      </c>
      <c r="K70" s="58" t="s">
        <v>936</v>
      </c>
    </row>
    <row r="71" spans="1:11" ht="51">
      <c r="A71" s="52" t="s">
        <v>479</v>
      </c>
      <c r="B71" s="53" t="s">
        <v>476</v>
      </c>
      <c r="C71" s="53" t="s">
        <v>309</v>
      </c>
      <c r="D71" s="54" t="str">
        <f>_xlfn.XLOOKUP(E71,Organograma!H:H,Organograma!G:G,"")</f>
        <v>AMB - Unidade Ambulatorial</v>
      </c>
      <c r="E71" s="54" t="s">
        <v>477</v>
      </c>
      <c r="F71" s="55">
        <v>46025</v>
      </c>
      <c r="G71" s="55">
        <v>46105</v>
      </c>
      <c r="H71" s="55">
        <v>46173</v>
      </c>
      <c r="I71" s="56" t="s">
        <v>192</v>
      </c>
      <c r="J71" s="57">
        <v>0.25</v>
      </c>
      <c r="K71" s="58" t="s">
        <v>936</v>
      </c>
    </row>
    <row r="72" spans="1:11" ht="51">
      <c r="A72" s="52" t="s">
        <v>480</v>
      </c>
      <c r="B72" s="53" t="s">
        <v>476</v>
      </c>
      <c r="C72" s="53" t="s">
        <v>309</v>
      </c>
      <c r="D72" s="54" t="str">
        <f>_xlfn.XLOOKUP(E72,Organograma!H:H,Organograma!G:G,"")</f>
        <v>AMB - Unidade Ambulatorial</v>
      </c>
      <c r="E72" s="54" t="s">
        <v>477</v>
      </c>
      <c r="F72" s="55">
        <v>46025</v>
      </c>
      <c r="G72" s="55">
        <v>46105</v>
      </c>
      <c r="H72" s="55">
        <v>46173</v>
      </c>
      <c r="I72" s="56" t="s">
        <v>192</v>
      </c>
      <c r="J72" s="57">
        <v>0.25</v>
      </c>
      <c r="K72" s="58" t="s">
        <v>936</v>
      </c>
    </row>
    <row r="73" spans="1:11" ht="51">
      <c r="A73" s="52" t="s">
        <v>481</v>
      </c>
      <c r="B73" s="53" t="s">
        <v>476</v>
      </c>
      <c r="C73" s="53" t="s">
        <v>309</v>
      </c>
      <c r="D73" s="54" t="str">
        <f>_xlfn.XLOOKUP(E73,Organograma!H:H,Organograma!G:G,"")</f>
        <v>AMB - Unidade Ambulatorial</v>
      </c>
      <c r="E73" s="54" t="s">
        <v>477</v>
      </c>
      <c r="F73" s="55">
        <v>46025</v>
      </c>
      <c r="G73" s="55">
        <v>46105</v>
      </c>
      <c r="H73" s="55">
        <v>46173</v>
      </c>
      <c r="I73" s="56" t="s">
        <v>192</v>
      </c>
      <c r="J73" s="57">
        <v>0.25</v>
      </c>
      <c r="K73" s="58" t="s">
        <v>936</v>
      </c>
    </row>
    <row r="74" spans="1:11" ht="51">
      <c r="A74" s="52" t="s">
        <v>482</v>
      </c>
      <c r="B74" s="53" t="s">
        <v>476</v>
      </c>
      <c r="C74" s="53" t="s">
        <v>309</v>
      </c>
      <c r="D74" s="54" t="str">
        <f>_xlfn.XLOOKUP(E74,Organograma!H:H,Organograma!G:G,"")</f>
        <v>AMB - Unidade Ambulatorial</v>
      </c>
      <c r="E74" s="54" t="s">
        <v>477</v>
      </c>
      <c r="F74" s="55">
        <v>46025</v>
      </c>
      <c r="G74" s="55">
        <v>46105</v>
      </c>
      <c r="H74" s="55">
        <v>46173</v>
      </c>
      <c r="I74" s="56" t="s">
        <v>192</v>
      </c>
      <c r="J74" s="57">
        <v>0.25</v>
      </c>
      <c r="K74" s="58" t="s">
        <v>936</v>
      </c>
    </row>
    <row r="75" spans="1:11" ht="38.25">
      <c r="A75" s="52" t="s">
        <v>630</v>
      </c>
      <c r="B75" s="53" t="s">
        <v>631</v>
      </c>
      <c r="C75" s="53" t="s">
        <v>309</v>
      </c>
      <c r="D75" s="54" t="str">
        <f>_xlfn.XLOOKUP(E75,Organograma!H:H,Organograma!G:G,"")</f>
        <v>AMB - Unidade Ambulatorial</v>
      </c>
      <c r="E75" s="54" t="s">
        <v>477</v>
      </c>
      <c r="F75" s="55">
        <v>46025</v>
      </c>
      <c r="G75" s="59" t="s">
        <v>192</v>
      </c>
      <c r="H75" s="55">
        <v>46173</v>
      </c>
      <c r="I75" s="56" t="s">
        <v>192</v>
      </c>
      <c r="J75" s="57">
        <v>0</v>
      </c>
      <c r="K75" s="58" t="s">
        <v>937</v>
      </c>
    </row>
    <row r="76" spans="1:11" ht="51">
      <c r="A76" s="52" t="s">
        <v>632</v>
      </c>
      <c r="B76" s="53" t="s">
        <v>631</v>
      </c>
      <c r="C76" s="53" t="s">
        <v>309</v>
      </c>
      <c r="D76" s="54" t="str">
        <f>_xlfn.XLOOKUP(E76,Organograma!H:H,Organograma!G:G,"")</f>
        <v>AMB - Unidade Ambulatorial</v>
      </c>
      <c r="E76" s="54" t="s">
        <v>477</v>
      </c>
      <c r="F76" s="55">
        <v>46025</v>
      </c>
      <c r="G76" s="59" t="s">
        <v>192</v>
      </c>
      <c r="H76" s="55">
        <v>46173</v>
      </c>
      <c r="I76" s="56" t="s">
        <v>192</v>
      </c>
      <c r="J76" s="57">
        <v>0</v>
      </c>
      <c r="K76" s="58" t="s">
        <v>937</v>
      </c>
    </row>
    <row r="77" spans="1:11" ht="38.25">
      <c r="A77" s="52" t="s">
        <v>633</v>
      </c>
      <c r="B77" s="53" t="s">
        <v>631</v>
      </c>
      <c r="C77" s="53" t="s">
        <v>309</v>
      </c>
      <c r="D77" s="54" t="str">
        <f>_xlfn.XLOOKUP(E77,Organograma!H:H,Organograma!G:G,"")</f>
        <v>AMB - Unidade Ambulatorial</v>
      </c>
      <c r="E77" s="54" t="s">
        <v>477</v>
      </c>
      <c r="F77" s="55">
        <v>46025</v>
      </c>
      <c r="G77" s="59" t="s">
        <v>192</v>
      </c>
      <c r="H77" s="55">
        <v>46173</v>
      </c>
      <c r="I77" s="56" t="s">
        <v>192</v>
      </c>
      <c r="J77" s="57">
        <v>0</v>
      </c>
      <c r="K77" s="58" t="s">
        <v>937</v>
      </c>
    </row>
    <row r="78" spans="1:11" ht="51">
      <c r="A78" s="52" t="s">
        <v>634</v>
      </c>
      <c r="B78" s="53" t="s">
        <v>631</v>
      </c>
      <c r="C78" s="53" t="s">
        <v>309</v>
      </c>
      <c r="D78" s="54" t="str">
        <f>_xlfn.XLOOKUP(E78,Organograma!H:H,Organograma!G:G,"")</f>
        <v>AMB - Unidade Ambulatorial</v>
      </c>
      <c r="E78" s="54" t="s">
        <v>477</v>
      </c>
      <c r="F78" s="55">
        <v>46025</v>
      </c>
      <c r="G78" s="59" t="s">
        <v>192</v>
      </c>
      <c r="H78" s="55">
        <v>46173</v>
      </c>
      <c r="I78" s="56" t="s">
        <v>192</v>
      </c>
      <c r="J78" s="57">
        <v>0</v>
      </c>
      <c r="K78" s="58" t="s">
        <v>937</v>
      </c>
    </row>
    <row r="79" spans="1:11" ht="51">
      <c r="A79" s="52" t="s">
        <v>635</v>
      </c>
      <c r="B79" s="53" t="s">
        <v>631</v>
      </c>
      <c r="C79" s="53" t="s">
        <v>309</v>
      </c>
      <c r="D79" s="54" t="str">
        <f>_xlfn.XLOOKUP(E79,Organograma!H:H,Organograma!G:G,"")</f>
        <v>AMB - Unidade Ambulatorial</v>
      </c>
      <c r="E79" s="54" t="s">
        <v>477</v>
      </c>
      <c r="F79" s="55">
        <v>46025</v>
      </c>
      <c r="G79" s="59" t="s">
        <v>192</v>
      </c>
      <c r="H79" s="55">
        <v>46173</v>
      </c>
      <c r="I79" s="56" t="s">
        <v>192</v>
      </c>
      <c r="J79" s="57">
        <v>0</v>
      </c>
      <c r="K79" s="58" t="s">
        <v>937</v>
      </c>
    </row>
    <row r="80" spans="1:11" ht="51">
      <c r="A80" s="52" t="s">
        <v>636</v>
      </c>
      <c r="B80" s="53" t="s">
        <v>631</v>
      </c>
      <c r="C80" s="53" t="s">
        <v>309</v>
      </c>
      <c r="D80" s="54" t="str">
        <f>_xlfn.XLOOKUP(E80,Organograma!H:H,Organograma!G:G,"")</f>
        <v>AMB - Unidade Ambulatorial</v>
      </c>
      <c r="E80" s="54" t="s">
        <v>477</v>
      </c>
      <c r="F80" s="55">
        <v>46025</v>
      </c>
      <c r="G80" s="59" t="s">
        <v>192</v>
      </c>
      <c r="H80" s="55">
        <v>46173</v>
      </c>
      <c r="I80" s="56" t="s">
        <v>192</v>
      </c>
      <c r="J80" s="57">
        <v>0</v>
      </c>
      <c r="K80" s="58" t="s">
        <v>937</v>
      </c>
    </row>
    <row r="81" spans="1:11" ht="51">
      <c r="A81" s="52" t="s">
        <v>637</v>
      </c>
      <c r="B81" s="53" t="s">
        <v>631</v>
      </c>
      <c r="C81" s="53" t="s">
        <v>309</v>
      </c>
      <c r="D81" s="54" t="str">
        <f>_xlfn.XLOOKUP(E81,Organograma!H:H,Organograma!G:G,"")</f>
        <v>AMB - Unidade Ambulatorial</v>
      </c>
      <c r="E81" s="54" t="s">
        <v>477</v>
      </c>
      <c r="F81" s="55">
        <v>46025</v>
      </c>
      <c r="G81" s="59" t="s">
        <v>192</v>
      </c>
      <c r="H81" s="55">
        <v>46173</v>
      </c>
      <c r="I81" s="56" t="s">
        <v>192</v>
      </c>
      <c r="J81" s="57">
        <v>0</v>
      </c>
      <c r="K81" s="58" t="s">
        <v>937</v>
      </c>
    </row>
    <row r="82" spans="1:11" ht="38.25">
      <c r="A82" s="52" t="s">
        <v>638</v>
      </c>
      <c r="B82" s="53" t="s">
        <v>631</v>
      </c>
      <c r="C82" s="53" t="s">
        <v>309</v>
      </c>
      <c r="D82" s="54" t="str">
        <f>_xlfn.XLOOKUP(E82,Organograma!H:H,Organograma!G:G,"")</f>
        <v>AMB - Unidade Ambulatorial</v>
      </c>
      <c r="E82" s="54" t="s">
        <v>477</v>
      </c>
      <c r="F82" s="55">
        <v>46025</v>
      </c>
      <c r="G82" s="59" t="s">
        <v>192</v>
      </c>
      <c r="H82" s="55">
        <v>46173</v>
      </c>
      <c r="I82" s="56" t="s">
        <v>192</v>
      </c>
      <c r="J82" s="57">
        <v>0</v>
      </c>
      <c r="K82" s="58" t="s">
        <v>937</v>
      </c>
    </row>
    <row r="83" spans="1:11" ht="38.25">
      <c r="A83" s="52" t="s">
        <v>639</v>
      </c>
      <c r="B83" s="53" t="s">
        <v>631</v>
      </c>
      <c r="C83" s="53" t="s">
        <v>309</v>
      </c>
      <c r="D83" s="54" t="str">
        <f>_xlfn.XLOOKUP(E83,Organograma!H:H,Organograma!G:G,"")</f>
        <v>AMB - Unidade Ambulatorial</v>
      </c>
      <c r="E83" s="54" t="s">
        <v>477</v>
      </c>
      <c r="F83" s="55">
        <v>46025</v>
      </c>
      <c r="G83" s="59" t="s">
        <v>192</v>
      </c>
      <c r="H83" s="55">
        <v>46173</v>
      </c>
      <c r="I83" s="56" t="s">
        <v>192</v>
      </c>
      <c r="J83" s="57">
        <v>0</v>
      </c>
      <c r="K83" s="58" t="s">
        <v>937</v>
      </c>
    </row>
    <row r="84" spans="1:11" ht="38.25">
      <c r="A84" s="52" t="s">
        <v>640</v>
      </c>
      <c r="B84" s="53" t="s">
        <v>631</v>
      </c>
      <c r="C84" s="53" t="s">
        <v>309</v>
      </c>
      <c r="D84" s="54" t="str">
        <f>_xlfn.XLOOKUP(E84,Organograma!H:H,Organograma!G:G,"")</f>
        <v>AMB - Unidade Ambulatorial</v>
      </c>
      <c r="E84" s="54" t="s">
        <v>477</v>
      </c>
      <c r="F84" s="55">
        <v>46025</v>
      </c>
      <c r="G84" s="59" t="s">
        <v>192</v>
      </c>
      <c r="H84" s="55">
        <v>46173</v>
      </c>
      <c r="I84" s="56" t="s">
        <v>192</v>
      </c>
      <c r="J84" s="57">
        <v>0</v>
      </c>
      <c r="K84" s="58" t="s">
        <v>937</v>
      </c>
    </row>
    <row r="85" spans="1:11" ht="51">
      <c r="A85" s="52" t="s">
        <v>641</v>
      </c>
      <c r="B85" s="53" t="s">
        <v>631</v>
      </c>
      <c r="C85" s="53" t="s">
        <v>309</v>
      </c>
      <c r="D85" s="54" t="str">
        <f>_xlfn.XLOOKUP(E85,Organograma!H:H,Organograma!G:G,"")</f>
        <v>AMB - Unidade Ambulatorial</v>
      </c>
      <c r="E85" s="54" t="s">
        <v>477</v>
      </c>
      <c r="F85" s="55">
        <v>46025</v>
      </c>
      <c r="G85" s="59" t="s">
        <v>192</v>
      </c>
      <c r="H85" s="55">
        <v>46173</v>
      </c>
      <c r="I85" s="56" t="s">
        <v>192</v>
      </c>
      <c r="J85" s="57">
        <v>0</v>
      </c>
      <c r="K85" s="58" t="s">
        <v>937</v>
      </c>
    </row>
    <row r="86" spans="1:11" ht="51">
      <c r="A86" s="52" t="s">
        <v>642</v>
      </c>
      <c r="B86" s="53" t="s">
        <v>631</v>
      </c>
      <c r="C86" s="53" t="s">
        <v>309</v>
      </c>
      <c r="D86" s="54" t="str">
        <f>_xlfn.XLOOKUP(E86,Organograma!H:H,Organograma!G:G,"")</f>
        <v>AMB - Unidade Ambulatorial</v>
      </c>
      <c r="E86" s="54" t="s">
        <v>477</v>
      </c>
      <c r="F86" s="55">
        <v>46025</v>
      </c>
      <c r="G86" s="59" t="s">
        <v>192</v>
      </c>
      <c r="H86" s="55">
        <v>46173</v>
      </c>
      <c r="I86" s="56" t="s">
        <v>192</v>
      </c>
      <c r="J86" s="57">
        <v>0</v>
      </c>
      <c r="K86" s="58" t="s">
        <v>937</v>
      </c>
    </row>
    <row r="87" spans="1:11" ht="51">
      <c r="A87" s="52" t="s">
        <v>643</v>
      </c>
      <c r="B87" s="53" t="s">
        <v>631</v>
      </c>
      <c r="C87" s="53" t="s">
        <v>309</v>
      </c>
      <c r="D87" s="54" t="str">
        <f>_xlfn.XLOOKUP(E87,Organograma!H:H,Organograma!G:G,"")</f>
        <v>AMB - Unidade Ambulatorial</v>
      </c>
      <c r="E87" s="54" t="s">
        <v>477</v>
      </c>
      <c r="F87" s="55">
        <v>46025</v>
      </c>
      <c r="G87" s="59" t="s">
        <v>192</v>
      </c>
      <c r="H87" s="55">
        <v>46173</v>
      </c>
      <c r="I87" s="56" t="s">
        <v>192</v>
      </c>
      <c r="J87" s="57">
        <v>0</v>
      </c>
      <c r="K87" s="58" t="s">
        <v>937</v>
      </c>
    </row>
    <row r="88" spans="1:11" ht="51">
      <c r="A88" s="52" t="s">
        <v>644</v>
      </c>
      <c r="B88" s="53" t="s">
        <v>631</v>
      </c>
      <c r="C88" s="53" t="s">
        <v>309</v>
      </c>
      <c r="D88" s="54" t="str">
        <f>_xlfn.XLOOKUP(E88,Organograma!H:H,Organograma!G:G,"")</f>
        <v>AMB - Unidade Ambulatorial</v>
      </c>
      <c r="E88" s="54" t="s">
        <v>477</v>
      </c>
      <c r="F88" s="55">
        <v>46025</v>
      </c>
      <c r="G88" s="59" t="s">
        <v>192</v>
      </c>
      <c r="H88" s="55">
        <v>46173</v>
      </c>
      <c r="I88" s="56" t="s">
        <v>192</v>
      </c>
      <c r="J88" s="57">
        <v>0</v>
      </c>
      <c r="K88" s="58" t="s">
        <v>937</v>
      </c>
    </row>
    <row r="89" spans="1:11" ht="51">
      <c r="A89" s="52" t="s">
        <v>645</v>
      </c>
      <c r="B89" s="53" t="s">
        <v>631</v>
      </c>
      <c r="C89" s="53" t="s">
        <v>309</v>
      </c>
      <c r="D89" s="54" t="str">
        <f>_xlfn.XLOOKUP(E89,Organograma!H:H,Organograma!G:G,"")</f>
        <v>AMB - Unidade Ambulatorial</v>
      </c>
      <c r="E89" s="54" t="s">
        <v>477</v>
      </c>
      <c r="F89" s="55">
        <v>46025</v>
      </c>
      <c r="G89" s="59" t="s">
        <v>192</v>
      </c>
      <c r="H89" s="55">
        <v>46173</v>
      </c>
      <c r="I89" s="56" t="s">
        <v>192</v>
      </c>
      <c r="J89" s="57">
        <v>0</v>
      </c>
      <c r="K89" s="58" t="s">
        <v>937</v>
      </c>
    </row>
    <row r="90" spans="1:11" ht="51">
      <c r="A90" s="52" t="s">
        <v>646</v>
      </c>
      <c r="B90" s="53" t="s">
        <v>631</v>
      </c>
      <c r="C90" s="53" t="s">
        <v>309</v>
      </c>
      <c r="D90" s="54" t="str">
        <f>_xlfn.XLOOKUP(E90,Organograma!H:H,Organograma!G:G,"")</f>
        <v>AMB - Unidade Ambulatorial</v>
      </c>
      <c r="E90" s="54" t="s">
        <v>477</v>
      </c>
      <c r="F90" s="55">
        <v>46025</v>
      </c>
      <c r="G90" s="59" t="s">
        <v>192</v>
      </c>
      <c r="H90" s="55">
        <v>46173</v>
      </c>
      <c r="I90" s="56" t="s">
        <v>192</v>
      </c>
      <c r="J90" s="57">
        <v>0</v>
      </c>
      <c r="K90" s="58" t="s">
        <v>937</v>
      </c>
    </row>
    <row r="91" spans="1:11" ht="51">
      <c r="A91" s="52" t="s">
        <v>647</v>
      </c>
      <c r="B91" s="53" t="s">
        <v>648</v>
      </c>
      <c r="C91" s="53" t="s">
        <v>309</v>
      </c>
      <c r="D91" s="54" t="str">
        <f>_xlfn.XLOOKUP(E91,Organograma!H:H,Organograma!G:G,"")</f>
        <v>AMB - Unidade Ambulatorial</v>
      </c>
      <c r="E91" s="54" t="s">
        <v>477</v>
      </c>
      <c r="F91" s="55">
        <v>46025</v>
      </c>
      <c r="G91" s="59" t="s">
        <v>192</v>
      </c>
      <c r="H91" s="55">
        <v>46173</v>
      </c>
      <c r="I91" s="56" t="s">
        <v>192</v>
      </c>
      <c r="J91" s="57">
        <v>0</v>
      </c>
      <c r="K91" s="58" t="s">
        <v>937</v>
      </c>
    </row>
    <row r="92" spans="1:11" ht="51">
      <c r="A92" s="52" t="s">
        <v>649</v>
      </c>
      <c r="B92" s="53" t="s">
        <v>648</v>
      </c>
      <c r="C92" s="53" t="s">
        <v>309</v>
      </c>
      <c r="D92" s="54" t="str">
        <f>_xlfn.XLOOKUP(E92,Organograma!H:H,Organograma!G:G,"")</f>
        <v>AMB - Unidade Ambulatorial</v>
      </c>
      <c r="E92" s="54" t="s">
        <v>477</v>
      </c>
      <c r="F92" s="55">
        <v>46025</v>
      </c>
      <c r="G92" s="59" t="s">
        <v>192</v>
      </c>
      <c r="H92" s="55">
        <v>46173</v>
      </c>
      <c r="I92" s="56" t="s">
        <v>192</v>
      </c>
      <c r="J92" s="57">
        <v>0</v>
      </c>
      <c r="K92" s="58" t="s">
        <v>937</v>
      </c>
    </row>
    <row r="93" spans="1:11" ht="51">
      <c r="A93" s="52" t="s">
        <v>650</v>
      </c>
      <c r="B93" s="53" t="s">
        <v>648</v>
      </c>
      <c r="C93" s="53" t="s">
        <v>309</v>
      </c>
      <c r="D93" s="54" t="str">
        <f>_xlfn.XLOOKUP(E93,Organograma!H:H,Organograma!G:G,"")</f>
        <v>AMB - Unidade Ambulatorial</v>
      </c>
      <c r="E93" s="54" t="s">
        <v>477</v>
      </c>
      <c r="F93" s="55">
        <v>46025</v>
      </c>
      <c r="G93" s="59" t="s">
        <v>192</v>
      </c>
      <c r="H93" s="55">
        <v>46173</v>
      </c>
      <c r="I93" s="56" t="s">
        <v>192</v>
      </c>
      <c r="J93" s="57">
        <v>0</v>
      </c>
      <c r="K93" s="58" t="s">
        <v>937</v>
      </c>
    </row>
    <row r="94" spans="1:11" ht="51">
      <c r="A94" s="52" t="s">
        <v>651</v>
      </c>
      <c r="B94" s="53" t="s">
        <v>648</v>
      </c>
      <c r="C94" s="53" t="s">
        <v>309</v>
      </c>
      <c r="D94" s="54" t="str">
        <f>_xlfn.XLOOKUP(E94,Organograma!H:H,Organograma!G:G,"")</f>
        <v>AMB - Unidade Ambulatorial</v>
      </c>
      <c r="E94" s="54" t="s">
        <v>477</v>
      </c>
      <c r="F94" s="55">
        <v>46025</v>
      </c>
      <c r="G94" s="59" t="s">
        <v>192</v>
      </c>
      <c r="H94" s="55">
        <v>46173</v>
      </c>
      <c r="I94" s="56" t="s">
        <v>192</v>
      </c>
      <c r="J94" s="57">
        <v>0</v>
      </c>
      <c r="K94" s="58" t="s">
        <v>937</v>
      </c>
    </row>
    <row r="95" spans="1:11" ht="38.25">
      <c r="A95" s="52" t="s">
        <v>652</v>
      </c>
      <c r="B95" s="53" t="s">
        <v>648</v>
      </c>
      <c r="C95" s="53" t="s">
        <v>309</v>
      </c>
      <c r="D95" s="54" t="str">
        <f>_xlfn.XLOOKUP(E95,Organograma!H:H,Organograma!G:G,"")</f>
        <v>AMB - Unidade Ambulatorial</v>
      </c>
      <c r="E95" s="54" t="s">
        <v>477</v>
      </c>
      <c r="F95" s="55">
        <v>46025</v>
      </c>
      <c r="G95" s="59" t="s">
        <v>192</v>
      </c>
      <c r="H95" s="55">
        <v>46173</v>
      </c>
      <c r="I95" s="56" t="s">
        <v>192</v>
      </c>
      <c r="J95" s="57">
        <v>0</v>
      </c>
      <c r="K95" s="58" t="s">
        <v>937</v>
      </c>
    </row>
    <row r="96" spans="1:11" ht="38.25">
      <c r="A96" s="52" t="s">
        <v>653</v>
      </c>
      <c r="B96" s="53" t="s">
        <v>648</v>
      </c>
      <c r="C96" s="53" t="s">
        <v>309</v>
      </c>
      <c r="D96" s="54" t="str">
        <f>_xlfn.XLOOKUP(E96,Organograma!H:H,Organograma!G:G,"")</f>
        <v>AMB - Unidade Ambulatorial</v>
      </c>
      <c r="E96" s="54" t="s">
        <v>477</v>
      </c>
      <c r="F96" s="55">
        <v>46025</v>
      </c>
      <c r="G96" s="59" t="s">
        <v>192</v>
      </c>
      <c r="H96" s="55">
        <v>46173</v>
      </c>
      <c r="I96" s="56" t="s">
        <v>192</v>
      </c>
      <c r="J96" s="57">
        <v>0</v>
      </c>
      <c r="K96" s="58" t="s">
        <v>937</v>
      </c>
    </row>
    <row r="97" spans="1:11" ht="51">
      <c r="A97" s="52" t="s">
        <v>654</v>
      </c>
      <c r="B97" s="53" t="s">
        <v>648</v>
      </c>
      <c r="C97" s="53" t="s">
        <v>309</v>
      </c>
      <c r="D97" s="54" t="str">
        <f>_xlfn.XLOOKUP(E97,Organograma!H:H,Organograma!G:G,"")</f>
        <v>AMB - Unidade Ambulatorial</v>
      </c>
      <c r="E97" s="54" t="s">
        <v>477</v>
      </c>
      <c r="F97" s="55">
        <v>46025</v>
      </c>
      <c r="G97" s="59" t="s">
        <v>192</v>
      </c>
      <c r="H97" s="55">
        <v>46173</v>
      </c>
      <c r="I97" s="56" t="s">
        <v>192</v>
      </c>
      <c r="J97" s="57">
        <v>0</v>
      </c>
      <c r="K97" s="58" t="s">
        <v>937</v>
      </c>
    </row>
    <row r="98" spans="1:11" ht="51">
      <c r="A98" s="52" t="s">
        <v>655</v>
      </c>
      <c r="B98" s="53" t="s">
        <v>648</v>
      </c>
      <c r="C98" s="53" t="s">
        <v>309</v>
      </c>
      <c r="D98" s="54" t="str">
        <f>_xlfn.XLOOKUP(E98,Organograma!H:H,Organograma!G:G,"")</f>
        <v>AMB - Unidade Ambulatorial</v>
      </c>
      <c r="E98" s="54" t="s">
        <v>477</v>
      </c>
      <c r="F98" s="55">
        <v>46025</v>
      </c>
      <c r="G98" s="59" t="s">
        <v>192</v>
      </c>
      <c r="H98" s="55">
        <v>46173</v>
      </c>
      <c r="I98" s="56" t="s">
        <v>192</v>
      </c>
      <c r="J98" s="57">
        <v>0</v>
      </c>
      <c r="K98" s="58" t="s">
        <v>937</v>
      </c>
    </row>
    <row r="99" spans="1:11" ht="51">
      <c r="A99" s="52" t="s">
        <v>656</v>
      </c>
      <c r="B99" s="53" t="s">
        <v>648</v>
      </c>
      <c r="C99" s="53" t="s">
        <v>309</v>
      </c>
      <c r="D99" s="54" t="str">
        <f>_xlfn.XLOOKUP(E99,Organograma!H:H,Organograma!G:G,"")</f>
        <v>AMB - Unidade Ambulatorial</v>
      </c>
      <c r="E99" s="54" t="s">
        <v>477</v>
      </c>
      <c r="F99" s="55">
        <v>46025</v>
      </c>
      <c r="G99" s="59" t="s">
        <v>192</v>
      </c>
      <c r="H99" s="55">
        <v>46173</v>
      </c>
      <c r="I99" s="56" t="s">
        <v>192</v>
      </c>
      <c r="J99" s="57">
        <v>0</v>
      </c>
      <c r="K99" s="58" t="s">
        <v>937</v>
      </c>
    </row>
    <row r="100" spans="1:11" ht="51">
      <c r="A100" s="52" t="s">
        <v>657</v>
      </c>
      <c r="B100" s="53" t="s">
        <v>648</v>
      </c>
      <c r="C100" s="53" t="s">
        <v>309</v>
      </c>
      <c r="D100" s="54" t="str">
        <f>_xlfn.XLOOKUP(E100,Organograma!H:H,Organograma!G:G,"")</f>
        <v>AMB - Unidade Ambulatorial</v>
      </c>
      <c r="E100" s="54" t="s">
        <v>477</v>
      </c>
      <c r="F100" s="55">
        <v>46056</v>
      </c>
      <c r="G100" s="59" t="s">
        <v>192</v>
      </c>
      <c r="H100" s="55">
        <v>46173</v>
      </c>
      <c r="I100" s="56" t="s">
        <v>192</v>
      </c>
      <c r="J100" s="57">
        <v>0</v>
      </c>
      <c r="K100" s="58" t="s">
        <v>937</v>
      </c>
    </row>
    <row r="101" spans="1:11" ht="51">
      <c r="A101" s="52" t="s">
        <v>658</v>
      </c>
      <c r="B101" s="53" t="s">
        <v>648</v>
      </c>
      <c r="C101" s="53" t="s">
        <v>309</v>
      </c>
      <c r="D101" s="54" t="str">
        <f>_xlfn.XLOOKUP(E101,Organograma!H:H,Organograma!G:G,"")</f>
        <v>AMB - Unidade Ambulatorial</v>
      </c>
      <c r="E101" s="54" t="s">
        <v>477</v>
      </c>
      <c r="F101" s="55">
        <v>46025</v>
      </c>
      <c r="G101" s="59" t="s">
        <v>192</v>
      </c>
      <c r="H101" s="55">
        <v>46173</v>
      </c>
      <c r="I101" s="56" t="s">
        <v>192</v>
      </c>
      <c r="J101" s="57">
        <v>0</v>
      </c>
      <c r="K101" s="58" t="s">
        <v>937</v>
      </c>
    </row>
    <row r="102" spans="1:11" ht="51">
      <c r="A102" s="52" t="s">
        <v>659</v>
      </c>
      <c r="B102" s="53" t="s">
        <v>660</v>
      </c>
      <c r="C102" s="53" t="s">
        <v>309</v>
      </c>
      <c r="D102" s="54" t="str">
        <f>_xlfn.XLOOKUP(E102,Organograma!H:H,Organograma!G:G,"")</f>
        <v>AMB - Unidade Ambulatorial</v>
      </c>
      <c r="E102" s="54" t="s">
        <v>477</v>
      </c>
      <c r="F102" s="55">
        <v>46025</v>
      </c>
      <c r="G102" s="59" t="s">
        <v>192</v>
      </c>
      <c r="H102" s="55">
        <v>46173</v>
      </c>
      <c r="I102" s="56" t="s">
        <v>192</v>
      </c>
      <c r="J102" s="57">
        <v>0</v>
      </c>
      <c r="K102" s="58" t="s">
        <v>937</v>
      </c>
    </row>
    <row r="103" spans="1:11" ht="51">
      <c r="A103" s="52" t="s">
        <v>661</v>
      </c>
      <c r="B103" s="53" t="s">
        <v>660</v>
      </c>
      <c r="C103" s="53" t="s">
        <v>309</v>
      </c>
      <c r="D103" s="54" t="str">
        <f>_xlfn.XLOOKUP(E103,Organograma!H:H,Organograma!G:G,"")</f>
        <v>AMB - Unidade Ambulatorial</v>
      </c>
      <c r="E103" s="54" t="s">
        <v>477</v>
      </c>
      <c r="F103" s="55">
        <v>46025</v>
      </c>
      <c r="G103" s="59" t="s">
        <v>192</v>
      </c>
      <c r="H103" s="55">
        <v>46173</v>
      </c>
      <c r="I103" s="56" t="s">
        <v>192</v>
      </c>
      <c r="J103" s="57">
        <v>0</v>
      </c>
      <c r="K103" s="58" t="s">
        <v>937</v>
      </c>
    </row>
    <row r="104" spans="1:11" ht="51">
      <c r="A104" s="52" t="s">
        <v>662</v>
      </c>
      <c r="B104" s="53" t="s">
        <v>660</v>
      </c>
      <c r="C104" s="53" t="s">
        <v>309</v>
      </c>
      <c r="D104" s="54" t="str">
        <f>_xlfn.XLOOKUP(E104,Organograma!H:H,Organograma!G:G,"")</f>
        <v>AMB - Unidade Ambulatorial</v>
      </c>
      <c r="E104" s="54" t="s">
        <v>477</v>
      </c>
      <c r="F104" s="55">
        <v>46025</v>
      </c>
      <c r="G104" s="59" t="s">
        <v>192</v>
      </c>
      <c r="H104" s="55">
        <v>46173</v>
      </c>
      <c r="I104" s="56" t="s">
        <v>192</v>
      </c>
      <c r="J104" s="57">
        <v>0</v>
      </c>
      <c r="K104" s="58" t="s">
        <v>937</v>
      </c>
    </row>
    <row r="105" spans="1:11" ht="51">
      <c r="A105" s="52" t="s">
        <v>663</v>
      </c>
      <c r="B105" s="53" t="s">
        <v>660</v>
      </c>
      <c r="C105" s="53" t="s">
        <v>309</v>
      </c>
      <c r="D105" s="54" t="str">
        <f>_xlfn.XLOOKUP(E105,Organograma!H:H,Organograma!G:G,"")</f>
        <v>AMB - Unidade Ambulatorial</v>
      </c>
      <c r="E105" s="54" t="s">
        <v>477</v>
      </c>
      <c r="F105" s="55">
        <v>46025</v>
      </c>
      <c r="G105" s="59" t="s">
        <v>192</v>
      </c>
      <c r="H105" s="55">
        <v>46173</v>
      </c>
      <c r="I105" s="56" t="s">
        <v>192</v>
      </c>
      <c r="J105" s="57">
        <v>0</v>
      </c>
      <c r="K105" s="58" t="s">
        <v>937</v>
      </c>
    </row>
    <row r="106" spans="1:11" ht="38.25">
      <c r="A106" s="52" t="s">
        <v>664</v>
      </c>
      <c r="B106" s="53" t="s">
        <v>660</v>
      </c>
      <c r="C106" s="53" t="s">
        <v>309</v>
      </c>
      <c r="D106" s="54" t="str">
        <f>_xlfn.XLOOKUP(E106,Organograma!H:H,Organograma!G:G,"")</f>
        <v>AMB - Unidade Ambulatorial</v>
      </c>
      <c r="E106" s="54" t="s">
        <v>477</v>
      </c>
      <c r="F106" s="55">
        <v>46025</v>
      </c>
      <c r="G106" s="59" t="s">
        <v>192</v>
      </c>
      <c r="H106" s="55">
        <v>46173</v>
      </c>
      <c r="I106" s="56" t="s">
        <v>192</v>
      </c>
      <c r="J106" s="57">
        <v>0</v>
      </c>
      <c r="K106" s="58" t="s">
        <v>937</v>
      </c>
    </row>
    <row r="107" spans="1:11" ht="51">
      <c r="A107" s="52" t="s">
        <v>665</v>
      </c>
      <c r="B107" s="53" t="s">
        <v>660</v>
      </c>
      <c r="C107" s="53" t="s">
        <v>309</v>
      </c>
      <c r="D107" s="54" t="str">
        <f>_xlfn.XLOOKUP(E107,Organograma!H:H,Organograma!G:G,"")</f>
        <v>AMB - Unidade Ambulatorial</v>
      </c>
      <c r="E107" s="54" t="s">
        <v>477</v>
      </c>
      <c r="F107" s="55">
        <v>46025</v>
      </c>
      <c r="G107" s="59" t="s">
        <v>192</v>
      </c>
      <c r="H107" s="55">
        <v>46173</v>
      </c>
      <c r="I107" s="56" t="s">
        <v>192</v>
      </c>
      <c r="J107" s="57">
        <v>0</v>
      </c>
      <c r="K107" s="58" t="s">
        <v>937</v>
      </c>
    </row>
    <row r="108" spans="1:11" ht="51">
      <c r="A108" s="52" t="s">
        <v>666</v>
      </c>
      <c r="B108" s="53" t="s">
        <v>660</v>
      </c>
      <c r="C108" s="53" t="s">
        <v>309</v>
      </c>
      <c r="D108" s="54" t="str">
        <f>_xlfn.XLOOKUP(E108,Organograma!H:H,Organograma!G:G,"")</f>
        <v>AMB - Unidade Ambulatorial</v>
      </c>
      <c r="E108" s="54" t="s">
        <v>477</v>
      </c>
      <c r="F108" s="55">
        <v>46025</v>
      </c>
      <c r="G108" s="59" t="s">
        <v>192</v>
      </c>
      <c r="H108" s="55">
        <v>46173</v>
      </c>
      <c r="I108" s="56" t="s">
        <v>192</v>
      </c>
      <c r="J108" s="57">
        <v>0</v>
      </c>
      <c r="K108" s="58" t="s">
        <v>937</v>
      </c>
    </row>
    <row r="109" spans="1:11" ht="38.25">
      <c r="A109" s="52" t="s">
        <v>667</v>
      </c>
      <c r="B109" s="53" t="s">
        <v>668</v>
      </c>
      <c r="C109" s="53" t="s">
        <v>309</v>
      </c>
      <c r="D109" s="54" t="str">
        <f>_xlfn.XLOOKUP(E109,Organograma!H:H,Organograma!G:G,"")</f>
        <v>AMB - Unidade Ambulatorial</v>
      </c>
      <c r="E109" s="54" t="s">
        <v>477</v>
      </c>
      <c r="F109" s="55">
        <v>46025</v>
      </c>
      <c r="G109" s="55">
        <v>46104</v>
      </c>
      <c r="H109" s="55">
        <v>46173</v>
      </c>
      <c r="I109" s="56" t="s">
        <v>192</v>
      </c>
      <c r="J109" s="57">
        <v>0.5</v>
      </c>
      <c r="K109" s="58" t="s">
        <v>936</v>
      </c>
    </row>
    <row r="110" spans="1:11" ht="51">
      <c r="A110" s="52" t="s">
        <v>669</v>
      </c>
      <c r="B110" s="53" t="s">
        <v>668</v>
      </c>
      <c r="C110" s="53" t="s">
        <v>309</v>
      </c>
      <c r="D110" s="54" t="str">
        <f>_xlfn.XLOOKUP(E110,Organograma!H:H,Organograma!G:G,"")</f>
        <v>AMB - Unidade Ambulatorial</v>
      </c>
      <c r="E110" s="54" t="s">
        <v>477</v>
      </c>
      <c r="F110" s="55">
        <v>46025</v>
      </c>
      <c r="G110" s="55">
        <v>46104</v>
      </c>
      <c r="H110" s="55">
        <v>46173</v>
      </c>
      <c r="I110" s="56" t="s">
        <v>192</v>
      </c>
      <c r="J110" s="57">
        <v>0.75</v>
      </c>
      <c r="K110" s="58" t="s">
        <v>936</v>
      </c>
    </row>
    <row r="111" spans="1:11" ht="51">
      <c r="A111" s="52" t="s">
        <v>670</v>
      </c>
      <c r="B111" s="53" t="s">
        <v>668</v>
      </c>
      <c r="C111" s="53" t="s">
        <v>309</v>
      </c>
      <c r="D111" s="54" t="str">
        <f>_xlfn.XLOOKUP(E111,Organograma!H:H,Organograma!G:G,"")</f>
        <v>AMB - Unidade Ambulatorial</v>
      </c>
      <c r="E111" s="54" t="s">
        <v>477</v>
      </c>
      <c r="F111" s="55">
        <v>46025</v>
      </c>
      <c r="G111" s="55">
        <v>46104</v>
      </c>
      <c r="H111" s="55">
        <v>46173</v>
      </c>
      <c r="I111" s="56" t="s">
        <v>192</v>
      </c>
      <c r="J111" s="57">
        <v>0.25</v>
      </c>
      <c r="K111" s="58" t="s">
        <v>936</v>
      </c>
    </row>
    <row r="112" spans="1:11" ht="51">
      <c r="A112" s="52" t="s">
        <v>671</v>
      </c>
      <c r="B112" s="53" t="s">
        <v>668</v>
      </c>
      <c r="C112" s="53" t="s">
        <v>309</v>
      </c>
      <c r="D112" s="54" t="str">
        <f>_xlfn.XLOOKUP(E112,Organograma!H:H,Organograma!G:G,"")</f>
        <v>AMB - Unidade Ambulatorial</v>
      </c>
      <c r="E112" s="54" t="s">
        <v>477</v>
      </c>
      <c r="F112" s="55">
        <v>46025</v>
      </c>
      <c r="G112" s="55">
        <v>46104</v>
      </c>
      <c r="H112" s="55">
        <v>46173</v>
      </c>
      <c r="I112" s="56" t="s">
        <v>192</v>
      </c>
      <c r="J112" s="57">
        <v>0.5</v>
      </c>
      <c r="K112" s="58" t="s">
        <v>936</v>
      </c>
    </row>
    <row r="113" spans="1:11" ht="38.25">
      <c r="A113" s="52" t="s">
        <v>672</v>
      </c>
      <c r="B113" s="53" t="s">
        <v>668</v>
      </c>
      <c r="C113" s="53" t="s">
        <v>309</v>
      </c>
      <c r="D113" s="54" t="str">
        <f>_xlfn.XLOOKUP(E113,Organograma!H:H,Organograma!G:G,"")</f>
        <v>AMB - Unidade Ambulatorial</v>
      </c>
      <c r="E113" s="54" t="s">
        <v>477</v>
      </c>
      <c r="F113" s="55">
        <v>46025</v>
      </c>
      <c r="G113" s="55">
        <v>46104</v>
      </c>
      <c r="H113" s="55">
        <v>46173</v>
      </c>
      <c r="I113" s="56" t="s">
        <v>192</v>
      </c>
      <c r="J113" s="57">
        <v>0.25</v>
      </c>
      <c r="K113" s="58" t="s">
        <v>936</v>
      </c>
    </row>
    <row r="114" spans="1:11" ht="51">
      <c r="A114" s="52" t="s">
        <v>673</v>
      </c>
      <c r="B114" s="53" t="s">
        <v>668</v>
      </c>
      <c r="C114" s="53" t="s">
        <v>309</v>
      </c>
      <c r="D114" s="54" t="str">
        <f>_xlfn.XLOOKUP(E114,Organograma!H:H,Organograma!G:G,"")</f>
        <v>AMB - Unidade Ambulatorial</v>
      </c>
      <c r="E114" s="54" t="s">
        <v>477</v>
      </c>
      <c r="F114" s="55">
        <v>46025</v>
      </c>
      <c r="G114" s="55">
        <v>46104</v>
      </c>
      <c r="H114" s="55">
        <v>46173</v>
      </c>
      <c r="I114" s="56" t="s">
        <v>192</v>
      </c>
      <c r="J114" s="57">
        <v>0.25</v>
      </c>
      <c r="K114" s="58" t="s">
        <v>936</v>
      </c>
    </row>
    <row r="115" spans="1:11" ht="51">
      <c r="A115" s="52" t="s">
        <v>674</v>
      </c>
      <c r="B115" s="53" t="s">
        <v>668</v>
      </c>
      <c r="C115" s="53" t="s">
        <v>309</v>
      </c>
      <c r="D115" s="54" t="str">
        <f>_xlfn.XLOOKUP(E115,Organograma!H:H,Organograma!G:G,"")</f>
        <v>AMB - Unidade Ambulatorial</v>
      </c>
      <c r="E115" s="54" t="s">
        <v>477</v>
      </c>
      <c r="F115" s="55">
        <v>46025</v>
      </c>
      <c r="G115" s="55">
        <v>46133</v>
      </c>
      <c r="H115" s="55">
        <v>46173</v>
      </c>
      <c r="I115" s="56" t="s">
        <v>192</v>
      </c>
      <c r="J115" s="57">
        <v>0.5</v>
      </c>
      <c r="K115" s="58" t="s">
        <v>936</v>
      </c>
    </row>
    <row r="116" spans="1:11" ht="38.25">
      <c r="A116" s="52" t="s">
        <v>675</v>
      </c>
      <c r="B116" s="53" t="s">
        <v>668</v>
      </c>
      <c r="C116" s="53" t="s">
        <v>309</v>
      </c>
      <c r="D116" s="54" t="str">
        <f>_xlfn.XLOOKUP(E116,Organograma!H:H,Organograma!G:G,"")</f>
        <v>AMB - Unidade Ambulatorial</v>
      </c>
      <c r="E116" s="54" t="s">
        <v>477</v>
      </c>
      <c r="F116" s="55">
        <v>46025</v>
      </c>
      <c r="G116" s="55">
        <v>46133</v>
      </c>
      <c r="H116" s="55">
        <v>46173</v>
      </c>
      <c r="I116" s="56" t="s">
        <v>192</v>
      </c>
      <c r="J116" s="57">
        <v>0.75</v>
      </c>
      <c r="K116" s="58" t="s">
        <v>936</v>
      </c>
    </row>
    <row r="117" spans="1:11" ht="51">
      <c r="A117" s="52" t="s">
        <v>676</v>
      </c>
      <c r="B117" s="53" t="s">
        <v>668</v>
      </c>
      <c r="C117" s="53" t="s">
        <v>309</v>
      </c>
      <c r="D117" s="54" t="str">
        <f>_xlfn.XLOOKUP(E117,Organograma!H:H,Organograma!G:G,"")</f>
        <v>AMB - Unidade Ambulatorial</v>
      </c>
      <c r="E117" s="54" t="s">
        <v>477</v>
      </c>
      <c r="F117" s="55">
        <v>46025</v>
      </c>
      <c r="G117" s="55">
        <v>46133</v>
      </c>
      <c r="H117" s="55">
        <v>46173</v>
      </c>
      <c r="I117" s="56" t="s">
        <v>192</v>
      </c>
      <c r="J117" s="57">
        <v>0.5</v>
      </c>
      <c r="K117" s="58" t="s">
        <v>936</v>
      </c>
    </row>
    <row r="118" spans="1:11" ht="38.25">
      <c r="A118" s="52" t="s">
        <v>677</v>
      </c>
      <c r="B118" s="53" t="s">
        <v>668</v>
      </c>
      <c r="C118" s="53" t="s">
        <v>309</v>
      </c>
      <c r="D118" s="54" t="str">
        <f>_xlfn.XLOOKUP(E118,Organograma!H:H,Organograma!G:G,"")</f>
        <v>AMB - Unidade Ambulatorial</v>
      </c>
      <c r="E118" s="54" t="s">
        <v>477</v>
      </c>
      <c r="F118" s="55">
        <v>46025</v>
      </c>
      <c r="G118" s="55">
        <v>46104</v>
      </c>
      <c r="H118" s="55">
        <v>46173</v>
      </c>
      <c r="I118" s="56" t="s">
        <v>192</v>
      </c>
      <c r="J118" s="57">
        <v>0.75</v>
      </c>
      <c r="K118" s="58" t="s">
        <v>936</v>
      </c>
    </row>
    <row r="119" spans="1:11" ht="51">
      <c r="A119" s="52" t="s">
        <v>678</v>
      </c>
      <c r="B119" s="53" t="s">
        <v>668</v>
      </c>
      <c r="C119" s="53" t="s">
        <v>309</v>
      </c>
      <c r="D119" s="54" t="str">
        <f>_xlfn.XLOOKUP(E119,Organograma!H:H,Organograma!G:G,"")</f>
        <v>AMB - Unidade Ambulatorial</v>
      </c>
      <c r="E119" s="54" t="s">
        <v>477</v>
      </c>
      <c r="F119" s="55">
        <v>46025</v>
      </c>
      <c r="G119" s="55">
        <v>46133</v>
      </c>
      <c r="H119" s="55">
        <v>46173</v>
      </c>
      <c r="I119" s="56" t="s">
        <v>192</v>
      </c>
      <c r="J119" s="57">
        <v>0.5</v>
      </c>
      <c r="K119" s="58" t="s">
        <v>936</v>
      </c>
    </row>
    <row r="120" spans="1:11" ht="51">
      <c r="A120" s="52" t="s">
        <v>679</v>
      </c>
      <c r="B120" s="53" t="s">
        <v>668</v>
      </c>
      <c r="C120" s="53" t="s">
        <v>309</v>
      </c>
      <c r="D120" s="54" t="str">
        <f>_xlfn.XLOOKUP(E120,Organograma!H:H,Organograma!G:G,"")</f>
        <v>AMB - Unidade Ambulatorial</v>
      </c>
      <c r="E120" s="54" t="s">
        <v>477</v>
      </c>
      <c r="F120" s="55">
        <v>46025</v>
      </c>
      <c r="G120" s="55">
        <v>46104</v>
      </c>
      <c r="H120" s="55">
        <v>46173</v>
      </c>
      <c r="I120" s="56" t="s">
        <v>192</v>
      </c>
      <c r="J120" s="57">
        <v>0.75</v>
      </c>
      <c r="K120" s="58" t="s">
        <v>936</v>
      </c>
    </row>
    <row r="121" spans="1:11" ht="38.25">
      <c r="A121" s="52" t="s">
        <v>489</v>
      </c>
      <c r="B121" s="53" t="s">
        <v>497</v>
      </c>
      <c r="C121" s="53" t="s">
        <v>309</v>
      </c>
      <c r="D121" s="54" t="str">
        <f>_xlfn.XLOOKUP(E121,Organograma!H:H,Organograma!G:G,"")</f>
        <v>PAM - Pronto Atendimento Materno</v>
      </c>
      <c r="E121" s="60" t="s">
        <v>64</v>
      </c>
      <c r="F121" s="55">
        <v>46025</v>
      </c>
      <c r="G121" s="59" t="s">
        <v>192</v>
      </c>
      <c r="H121" s="55">
        <v>46173</v>
      </c>
      <c r="I121" s="56" t="s">
        <v>192</v>
      </c>
      <c r="J121" s="57">
        <v>0</v>
      </c>
      <c r="K121" s="58" t="s">
        <v>937</v>
      </c>
    </row>
    <row r="122" spans="1:11" ht="51">
      <c r="A122" s="52" t="s">
        <v>491</v>
      </c>
      <c r="B122" s="53" t="s">
        <v>497</v>
      </c>
      <c r="C122" s="53" t="s">
        <v>309</v>
      </c>
      <c r="D122" s="54" t="str">
        <f>_xlfn.XLOOKUP(E122,Organograma!H:H,Organograma!G:G,"")</f>
        <v>PAM - Pronto Atendimento Materno</v>
      </c>
      <c r="E122" s="54" t="s">
        <v>498</v>
      </c>
      <c r="F122" s="55">
        <v>46025</v>
      </c>
      <c r="G122" s="59" t="s">
        <v>192</v>
      </c>
      <c r="H122" s="55">
        <v>46173</v>
      </c>
      <c r="I122" s="56" t="s">
        <v>192</v>
      </c>
      <c r="J122" s="57">
        <v>0</v>
      </c>
      <c r="K122" s="58" t="s">
        <v>937</v>
      </c>
    </row>
    <row r="123" spans="1:11" ht="51">
      <c r="A123" s="52" t="s">
        <v>492</v>
      </c>
      <c r="B123" s="53" t="s">
        <v>497</v>
      </c>
      <c r="C123" s="53" t="s">
        <v>309</v>
      </c>
      <c r="D123" s="54" t="str">
        <f>_xlfn.XLOOKUP(E123,Organograma!H:H,Organograma!G:G,"")</f>
        <v>PAM - Pronto Atendimento Materno</v>
      </c>
      <c r="E123" s="54" t="s">
        <v>498</v>
      </c>
      <c r="F123" s="55">
        <v>46025</v>
      </c>
      <c r="G123" s="59" t="s">
        <v>192</v>
      </c>
      <c r="H123" s="55">
        <v>46173</v>
      </c>
      <c r="I123" s="56" t="s">
        <v>192</v>
      </c>
      <c r="J123" s="57">
        <v>0</v>
      </c>
      <c r="K123" s="58" t="s">
        <v>937</v>
      </c>
    </row>
    <row r="124" spans="1:11" ht="51">
      <c r="A124" s="52" t="s">
        <v>493</v>
      </c>
      <c r="B124" s="53" t="s">
        <v>497</v>
      </c>
      <c r="C124" s="53" t="s">
        <v>309</v>
      </c>
      <c r="D124" s="54" t="str">
        <f>_xlfn.XLOOKUP(E124,Organograma!H:H,Organograma!G:G,"")</f>
        <v>PAM - Pronto Atendimento Materno</v>
      </c>
      <c r="E124" s="54" t="s">
        <v>498</v>
      </c>
      <c r="F124" s="55">
        <v>46025</v>
      </c>
      <c r="G124" s="59" t="s">
        <v>192</v>
      </c>
      <c r="H124" s="55">
        <v>46173</v>
      </c>
      <c r="I124" s="56" t="s">
        <v>192</v>
      </c>
      <c r="J124" s="57">
        <v>0</v>
      </c>
      <c r="K124" s="58" t="s">
        <v>937</v>
      </c>
    </row>
    <row r="125" spans="1:11" ht="51">
      <c r="A125" s="52" t="s">
        <v>494</v>
      </c>
      <c r="B125" s="53" t="s">
        <v>497</v>
      </c>
      <c r="C125" s="53" t="s">
        <v>309</v>
      </c>
      <c r="D125" s="54" t="str">
        <f>_xlfn.XLOOKUP(E125,Organograma!H:H,Organograma!G:G,"")</f>
        <v>PAM - Pronto Atendimento Materno</v>
      </c>
      <c r="E125" s="54" t="s">
        <v>498</v>
      </c>
      <c r="F125" s="55">
        <v>46025</v>
      </c>
      <c r="G125" s="59" t="s">
        <v>192</v>
      </c>
      <c r="H125" s="55">
        <v>46173</v>
      </c>
      <c r="I125" s="56" t="s">
        <v>192</v>
      </c>
      <c r="J125" s="57">
        <v>0</v>
      </c>
      <c r="K125" s="58" t="s">
        <v>937</v>
      </c>
    </row>
    <row r="126" spans="1:11" ht="51">
      <c r="A126" s="52" t="s">
        <v>495</v>
      </c>
      <c r="B126" s="53" t="s">
        <v>497</v>
      </c>
      <c r="C126" s="53" t="s">
        <v>309</v>
      </c>
      <c r="D126" s="54" t="str">
        <f>_xlfn.XLOOKUP(E126,Organograma!H:H,Organograma!G:G,"")</f>
        <v>PAM - Pronto Atendimento Materno</v>
      </c>
      <c r="E126" s="54" t="s">
        <v>498</v>
      </c>
      <c r="F126" s="55">
        <v>46025</v>
      </c>
      <c r="G126" s="59" t="s">
        <v>192</v>
      </c>
      <c r="H126" s="55">
        <v>46173</v>
      </c>
      <c r="I126" s="56" t="s">
        <v>192</v>
      </c>
      <c r="J126" s="57">
        <v>0</v>
      </c>
      <c r="K126" s="58" t="s">
        <v>937</v>
      </c>
    </row>
    <row r="127" spans="1:11" ht="38.25">
      <c r="A127" s="52" t="s">
        <v>496</v>
      </c>
      <c r="B127" s="53" t="s">
        <v>497</v>
      </c>
      <c r="C127" s="53" t="s">
        <v>309</v>
      </c>
      <c r="D127" s="54" t="str">
        <f>_xlfn.XLOOKUP(E127,Organograma!H:H,Organograma!G:G,"")</f>
        <v>PAM - Pronto Atendimento Materno</v>
      </c>
      <c r="E127" s="54" t="s">
        <v>498</v>
      </c>
      <c r="F127" s="55">
        <v>46025</v>
      </c>
      <c r="G127" s="59" t="s">
        <v>192</v>
      </c>
      <c r="H127" s="55">
        <v>46173</v>
      </c>
      <c r="I127" s="56" t="s">
        <v>192</v>
      </c>
      <c r="J127" s="57">
        <v>0</v>
      </c>
      <c r="K127" s="58" t="s">
        <v>937</v>
      </c>
    </row>
    <row r="128" spans="1:11" ht="38.25">
      <c r="A128" s="52" t="s">
        <v>528</v>
      </c>
      <c r="B128" s="53" t="s">
        <v>529</v>
      </c>
      <c r="C128" s="53" t="s">
        <v>309</v>
      </c>
      <c r="D128" s="54" t="str">
        <f>_xlfn.XLOOKUP(E128,Organograma!H:H,Organograma!G:G,"")</f>
        <v>PAM - Pronto Atendimento Materno</v>
      </c>
      <c r="E128" s="54" t="s">
        <v>498</v>
      </c>
      <c r="F128" s="55">
        <v>46025</v>
      </c>
      <c r="G128" s="59" t="s">
        <v>192</v>
      </c>
      <c r="H128" s="55">
        <v>46173</v>
      </c>
      <c r="I128" s="56" t="s">
        <v>192</v>
      </c>
      <c r="J128" s="57">
        <v>0</v>
      </c>
      <c r="K128" s="58" t="s">
        <v>937</v>
      </c>
    </row>
    <row r="129" spans="1:11" ht="51">
      <c r="A129" s="52" t="s">
        <v>530</v>
      </c>
      <c r="B129" s="53" t="s">
        <v>529</v>
      </c>
      <c r="C129" s="53" t="s">
        <v>309</v>
      </c>
      <c r="D129" s="54" t="str">
        <f>_xlfn.XLOOKUP(E129,Organograma!H:H,Organograma!G:G,"")</f>
        <v>PAM - Pronto Atendimento Materno</v>
      </c>
      <c r="E129" s="54" t="s">
        <v>498</v>
      </c>
      <c r="F129" s="55">
        <v>46025</v>
      </c>
      <c r="G129" s="59" t="s">
        <v>192</v>
      </c>
      <c r="H129" s="55">
        <v>46173</v>
      </c>
      <c r="I129" s="56" t="s">
        <v>192</v>
      </c>
      <c r="J129" s="57">
        <v>0</v>
      </c>
      <c r="K129" s="58" t="s">
        <v>937</v>
      </c>
    </row>
    <row r="130" spans="1:11" ht="38.25">
      <c r="A130" s="52" t="s">
        <v>531</v>
      </c>
      <c r="B130" s="53" t="s">
        <v>529</v>
      </c>
      <c r="C130" s="53" t="s">
        <v>309</v>
      </c>
      <c r="D130" s="54" t="str">
        <f>_xlfn.XLOOKUP(E130,Organograma!H:H,Organograma!G:G,"")</f>
        <v>PAM - Pronto Atendimento Materno</v>
      </c>
      <c r="E130" s="54" t="s">
        <v>498</v>
      </c>
      <c r="F130" s="55">
        <v>46025</v>
      </c>
      <c r="G130" s="59" t="s">
        <v>192</v>
      </c>
      <c r="H130" s="55">
        <v>46173</v>
      </c>
      <c r="I130" s="56" t="s">
        <v>192</v>
      </c>
      <c r="J130" s="57">
        <v>0</v>
      </c>
      <c r="K130" s="58" t="s">
        <v>937</v>
      </c>
    </row>
    <row r="131" spans="1:11" ht="51">
      <c r="A131" s="52" t="s">
        <v>532</v>
      </c>
      <c r="B131" s="53" t="s">
        <v>529</v>
      </c>
      <c r="C131" s="53" t="s">
        <v>309</v>
      </c>
      <c r="D131" s="54" t="str">
        <f>_xlfn.XLOOKUP(E131,Organograma!H:H,Organograma!G:G,"")</f>
        <v>PAM - Pronto Atendimento Materno</v>
      </c>
      <c r="E131" s="54" t="s">
        <v>498</v>
      </c>
      <c r="F131" s="55">
        <v>46025</v>
      </c>
      <c r="G131" s="59" t="s">
        <v>192</v>
      </c>
      <c r="H131" s="55">
        <v>46173</v>
      </c>
      <c r="I131" s="56" t="s">
        <v>192</v>
      </c>
      <c r="J131" s="57">
        <v>0</v>
      </c>
      <c r="K131" s="58" t="s">
        <v>937</v>
      </c>
    </row>
    <row r="132" spans="1:11" ht="51">
      <c r="A132" s="52" t="s">
        <v>533</v>
      </c>
      <c r="B132" s="53" t="s">
        <v>529</v>
      </c>
      <c r="C132" s="53" t="s">
        <v>309</v>
      </c>
      <c r="D132" s="54" t="str">
        <f>_xlfn.XLOOKUP(E132,Organograma!H:H,Organograma!G:G,"")</f>
        <v>PAM - Pronto Atendimento Materno</v>
      </c>
      <c r="E132" s="54" t="s">
        <v>498</v>
      </c>
      <c r="F132" s="55">
        <v>46025</v>
      </c>
      <c r="G132" s="59" t="s">
        <v>192</v>
      </c>
      <c r="H132" s="55">
        <v>46173</v>
      </c>
      <c r="I132" s="56" t="s">
        <v>192</v>
      </c>
      <c r="J132" s="57">
        <v>0</v>
      </c>
      <c r="K132" s="58" t="s">
        <v>937</v>
      </c>
    </row>
    <row r="133" spans="1:11" ht="51">
      <c r="A133" s="52" t="s">
        <v>534</v>
      </c>
      <c r="B133" s="53" t="s">
        <v>529</v>
      </c>
      <c r="C133" s="53" t="s">
        <v>309</v>
      </c>
      <c r="D133" s="54" t="str">
        <f>_xlfn.XLOOKUP(E133,Organograma!H:H,Organograma!G:G,"")</f>
        <v>PAM - Pronto Atendimento Materno</v>
      </c>
      <c r="E133" s="54" t="s">
        <v>498</v>
      </c>
      <c r="F133" s="55">
        <v>46025</v>
      </c>
      <c r="G133" s="59" t="s">
        <v>192</v>
      </c>
      <c r="H133" s="55">
        <v>46173</v>
      </c>
      <c r="I133" s="56" t="s">
        <v>192</v>
      </c>
      <c r="J133" s="57">
        <v>0</v>
      </c>
      <c r="K133" s="58" t="s">
        <v>937</v>
      </c>
    </row>
    <row r="134" spans="1:11" ht="38.25">
      <c r="A134" s="52" t="s">
        <v>535</v>
      </c>
      <c r="B134" s="53" t="s">
        <v>529</v>
      </c>
      <c r="C134" s="53" t="s">
        <v>309</v>
      </c>
      <c r="D134" s="54" t="str">
        <f>_xlfn.XLOOKUP(E134,Organograma!H:H,Organograma!G:G,"")</f>
        <v>PAM - Pronto Atendimento Materno</v>
      </c>
      <c r="E134" s="54" t="s">
        <v>498</v>
      </c>
      <c r="F134" s="55">
        <v>46025</v>
      </c>
      <c r="G134" s="59" t="s">
        <v>192</v>
      </c>
      <c r="H134" s="55">
        <v>46173</v>
      </c>
      <c r="I134" s="56" t="s">
        <v>192</v>
      </c>
      <c r="J134" s="57">
        <v>0</v>
      </c>
      <c r="K134" s="58" t="s">
        <v>937</v>
      </c>
    </row>
    <row r="135" spans="1:11" ht="38.25">
      <c r="A135" s="52" t="s">
        <v>536</v>
      </c>
      <c r="B135" s="53" t="s">
        <v>529</v>
      </c>
      <c r="C135" s="53" t="s">
        <v>309</v>
      </c>
      <c r="D135" s="54" t="str">
        <f>_xlfn.XLOOKUP(E135,Organograma!H:H,Organograma!G:G,"")</f>
        <v>PAM - Pronto Atendimento Materno</v>
      </c>
      <c r="E135" s="54" t="s">
        <v>498</v>
      </c>
      <c r="F135" s="55">
        <v>46025</v>
      </c>
      <c r="G135" s="59" t="s">
        <v>192</v>
      </c>
      <c r="H135" s="55">
        <v>46173</v>
      </c>
      <c r="I135" s="56" t="s">
        <v>192</v>
      </c>
      <c r="J135" s="57">
        <v>0</v>
      </c>
      <c r="K135" s="58" t="s">
        <v>937</v>
      </c>
    </row>
    <row r="136" spans="1:11" ht="38.25">
      <c r="A136" s="52" t="s">
        <v>537</v>
      </c>
      <c r="B136" s="53" t="s">
        <v>529</v>
      </c>
      <c r="C136" s="53" t="s">
        <v>309</v>
      </c>
      <c r="D136" s="54" t="str">
        <f>_xlfn.XLOOKUP(E136,Organograma!H:H,Organograma!G:G,"")</f>
        <v>PAM - Pronto Atendimento Materno</v>
      </c>
      <c r="E136" s="54" t="s">
        <v>498</v>
      </c>
      <c r="F136" s="55">
        <v>46025</v>
      </c>
      <c r="G136" s="59" t="s">
        <v>192</v>
      </c>
      <c r="H136" s="55">
        <v>46173</v>
      </c>
      <c r="I136" s="56" t="s">
        <v>192</v>
      </c>
      <c r="J136" s="57">
        <v>0</v>
      </c>
      <c r="K136" s="58" t="s">
        <v>937</v>
      </c>
    </row>
    <row r="137" spans="1:11" ht="38.25">
      <c r="A137" s="52" t="s">
        <v>538</v>
      </c>
      <c r="B137" s="53" t="s">
        <v>529</v>
      </c>
      <c r="C137" s="53" t="s">
        <v>309</v>
      </c>
      <c r="D137" s="54" t="str">
        <f>_xlfn.XLOOKUP(E137,Organograma!H:H,Organograma!G:G,"")</f>
        <v>PAM - Pronto Atendimento Materno</v>
      </c>
      <c r="E137" s="54" t="s">
        <v>498</v>
      </c>
      <c r="F137" s="55">
        <v>46025</v>
      </c>
      <c r="G137" s="59" t="s">
        <v>192</v>
      </c>
      <c r="H137" s="55">
        <v>46173</v>
      </c>
      <c r="I137" s="56" t="s">
        <v>192</v>
      </c>
      <c r="J137" s="57">
        <v>0</v>
      </c>
      <c r="K137" s="58" t="s">
        <v>937</v>
      </c>
    </row>
    <row r="138" spans="1:11" ht="38.25">
      <c r="A138" s="52" t="s">
        <v>539</v>
      </c>
      <c r="B138" s="53" t="s">
        <v>529</v>
      </c>
      <c r="C138" s="53" t="s">
        <v>309</v>
      </c>
      <c r="D138" s="54" t="str">
        <f>_xlfn.XLOOKUP(E138,Organograma!H:H,Organograma!G:G,"")</f>
        <v>PAM - Pronto Atendimento Materno</v>
      </c>
      <c r="E138" s="54" t="s">
        <v>498</v>
      </c>
      <c r="F138" s="55">
        <v>46025</v>
      </c>
      <c r="G138" s="59" t="s">
        <v>192</v>
      </c>
      <c r="H138" s="55">
        <v>46173</v>
      </c>
      <c r="I138" s="56" t="s">
        <v>192</v>
      </c>
      <c r="J138" s="57">
        <v>0</v>
      </c>
      <c r="K138" s="58" t="s">
        <v>937</v>
      </c>
    </row>
    <row r="139" spans="1:11" ht="51">
      <c r="A139" s="52" t="s">
        <v>540</v>
      </c>
      <c r="B139" s="53" t="s">
        <v>529</v>
      </c>
      <c r="C139" s="53" t="s">
        <v>309</v>
      </c>
      <c r="D139" s="54" t="str">
        <f>_xlfn.XLOOKUP(E139,Organograma!H:H,Organograma!G:G,"")</f>
        <v>PAM - Pronto Atendimento Materno</v>
      </c>
      <c r="E139" s="54" t="s">
        <v>498</v>
      </c>
      <c r="F139" s="55">
        <v>46025</v>
      </c>
      <c r="G139" s="59" t="s">
        <v>192</v>
      </c>
      <c r="H139" s="55">
        <v>46173</v>
      </c>
      <c r="I139" s="56" t="s">
        <v>192</v>
      </c>
      <c r="J139" s="57">
        <v>0</v>
      </c>
      <c r="K139" s="58" t="s">
        <v>937</v>
      </c>
    </row>
    <row r="140" spans="1:11" ht="38.25">
      <c r="A140" s="52" t="s">
        <v>541</v>
      </c>
      <c r="B140" s="53" t="s">
        <v>529</v>
      </c>
      <c r="C140" s="53" t="s">
        <v>309</v>
      </c>
      <c r="D140" s="54" t="str">
        <f>_xlfn.XLOOKUP(E140,Organograma!H:H,Organograma!G:G,"")</f>
        <v>PAM - Pronto Atendimento Materno</v>
      </c>
      <c r="E140" s="54" t="s">
        <v>498</v>
      </c>
      <c r="F140" s="55">
        <v>46025</v>
      </c>
      <c r="G140" s="59" t="s">
        <v>192</v>
      </c>
      <c r="H140" s="55">
        <v>46173</v>
      </c>
      <c r="I140" s="56" t="s">
        <v>192</v>
      </c>
      <c r="J140" s="57">
        <v>0</v>
      </c>
      <c r="K140" s="58" t="s">
        <v>937</v>
      </c>
    </row>
    <row r="141" spans="1:11" ht="38.25">
      <c r="A141" s="52" t="s">
        <v>542</v>
      </c>
      <c r="B141" s="53" t="s">
        <v>529</v>
      </c>
      <c r="C141" s="53" t="s">
        <v>309</v>
      </c>
      <c r="D141" s="54" t="str">
        <f>_xlfn.XLOOKUP(E141,Organograma!H:H,Organograma!G:G,"")</f>
        <v>PAM - Pronto Atendimento Materno</v>
      </c>
      <c r="E141" s="54" t="s">
        <v>498</v>
      </c>
      <c r="F141" s="55">
        <v>46025</v>
      </c>
      <c r="G141" s="59" t="s">
        <v>192</v>
      </c>
      <c r="H141" s="55">
        <v>46173</v>
      </c>
      <c r="I141" s="56" t="s">
        <v>192</v>
      </c>
      <c r="J141" s="57">
        <v>0</v>
      </c>
      <c r="K141" s="58" t="s">
        <v>937</v>
      </c>
    </row>
    <row r="142" spans="1:11" ht="38.25">
      <c r="A142" s="52" t="s">
        <v>543</v>
      </c>
      <c r="B142" s="53" t="s">
        <v>529</v>
      </c>
      <c r="C142" s="53" t="s">
        <v>309</v>
      </c>
      <c r="D142" s="54" t="str">
        <f>_xlfn.XLOOKUP(E142,Organograma!H:H,Organograma!G:G,"")</f>
        <v>PAM - Pronto Atendimento Materno</v>
      </c>
      <c r="E142" s="54" t="s">
        <v>498</v>
      </c>
      <c r="F142" s="55">
        <v>46025</v>
      </c>
      <c r="G142" s="59" t="s">
        <v>192</v>
      </c>
      <c r="H142" s="55">
        <v>46173</v>
      </c>
      <c r="I142" s="56" t="s">
        <v>192</v>
      </c>
      <c r="J142" s="57">
        <v>0</v>
      </c>
      <c r="K142" s="58" t="s">
        <v>937</v>
      </c>
    </row>
    <row r="143" spans="1:11" ht="51">
      <c r="A143" s="52" t="s">
        <v>544</v>
      </c>
      <c r="B143" s="53" t="s">
        <v>529</v>
      </c>
      <c r="C143" s="53" t="s">
        <v>309</v>
      </c>
      <c r="D143" s="54" t="str">
        <f>_xlfn.XLOOKUP(E143,Organograma!H:H,Organograma!G:G,"")</f>
        <v>PAM - Pronto Atendimento Materno</v>
      </c>
      <c r="E143" s="54" t="s">
        <v>498</v>
      </c>
      <c r="F143" s="55">
        <v>46025</v>
      </c>
      <c r="G143" s="59" t="s">
        <v>192</v>
      </c>
      <c r="H143" s="55">
        <v>46173</v>
      </c>
      <c r="I143" s="56" t="s">
        <v>192</v>
      </c>
      <c r="J143" s="57">
        <v>0</v>
      </c>
      <c r="K143" s="58" t="s">
        <v>937</v>
      </c>
    </row>
    <row r="144" spans="1:11" ht="38.25">
      <c r="A144" s="52" t="s">
        <v>545</v>
      </c>
      <c r="B144" s="53" t="s">
        <v>529</v>
      </c>
      <c r="C144" s="53" t="s">
        <v>309</v>
      </c>
      <c r="D144" s="54" t="str">
        <f>_xlfn.XLOOKUP(E144,Organograma!H:H,Organograma!G:G,"")</f>
        <v>PAM - Pronto Atendimento Materno</v>
      </c>
      <c r="E144" s="54" t="s">
        <v>498</v>
      </c>
      <c r="F144" s="55">
        <v>46025</v>
      </c>
      <c r="G144" s="59" t="s">
        <v>192</v>
      </c>
      <c r="H144" s="55">
        <v>46173</v>
      </c>
      <c r="I144" s="56" t="s">
        <v>192</v>
      </c>
      <c r="J144" s="57">
        <v>0</v>
      </c>
      <c r="K144" s="58" t="s">
        <v>937</v>
      </c>
    </row>
    <row r="145" spans="1:11" ht="38.25">
      <c r="A145" s="52" t="s">
        <v>546</v>
      </c>
      <c r="B145" s="53" t="s">
        <v>529</v>
      </c>
      <c r="C145" s="53" t="s">
        <v>309</v>
      </c>
      <c r="D145" s="54" t="str">
        <f>_xlfn.XLOOKUP(E145,Organograma!H:H,Organograma!G:G,"")</f>
        <v>PAM - Pronto Atendimento Materno</v>
      </c>
      <c r="E145" s="54" t="s">
        <v>498</v>
      </c>
      <c r="F145" s="55">
        <v>46025</v>
      </c>
      <c r="G145" s="59" t="s">
        <v>192</v>
      </c>
      <c r="H145" s="55">
        <v>46173</v>
      </c>
      <c r="I145" s="56" t="s">
        <v>192</v>
      </c>
      <c r="J145" s="57">
        <v>0</v>
      </c>
      <c r="K145" s="58" t="s">
        <v>937</v>
      </c>
    </row>
    <row r="146" spans="1:11" ht="51">
      <c r="A146" s="52" t="s">
        <v>547</v>
      </c>
      <c r="B146" s="53" t="s">
        <v>529</v>
      </c>
      <c r="C146" s="53" t="s">
        <v>309</v>
      </c>
      <c r="D146" s="54" t="str">
        <f>_xlfn.XLOOKUP(E146,Organograma!H:H,Organograma!G:G,"")</f>
        <v>PAM - Pronto Atendimento Materno</v>
      </c>
      <c r="E146" s="54" t="s">
        <v>498</v>
      </c>
      <c r="F146" s="55">
        <v>46025</v>
      </c>
      <c r="G146" s="59" t="s">
        <v>192</v>
      </c>
      <c r="H146" s="55">
        <v>46173</v>
      </c>
      <c r="I146" s="56" t="s">
        <v>192</v>
      </c>
      <c r="J146" s="57">
        <v>0</v>
      </c>
      <c r="K146" s="58" t="s">
        <v>937</v>
      </c>
    </row>
    <row r="147" spans="1:11" ht="38.25">
      <c r="A147" s="52" t="s">
        <v>548</v>
      </c>
      <c r="B147" s="53" t="s">
        <v>529</v>
      </c>
      <c r="C147" s="53" t="s">
        <v>309</v>
      </c>
      <c r="D147" s="54" t="str">
        <f>_xlfn.XLOOKUP(E147,Organograma!H:H,Organograma!G:G,"")</f>
        <v>PAM - Pronto Atendimento Materno</v>
      </c>
      <c r="E147" s="54" t="s">
        <v>498</v>
      </c>
      <c r="F147" s="55">
        <v>46025</v>
      </c>
      <c r="G147" s="59" t="s">
        <v>192</v>
      </c>
      <c r="H147" s="55">
        <v>46173</v>
      </c>
      <c r="I147" s="56" t="s">
        <v>192</v>
      </c>
      <c r="J147" s="57">
        <v>0</v>
      </c>
      <c r="K147" s="58" t="s">
        <v>937</v>
      </c>
    </row>
    <row r="148" spans="1:11" ht="51">
      <c r="A148" s="52" t="s">
        <v>549</v>
      </c>
      <c r="B148" s="53" t="s">
        <v>529</v>
      </c>
      <c r="C148" s="53" t="s">
        <v>309</v>
      </c>
      <c r="D148" s="54" t="str">
        <f>_xlfn.XLOOKUP(E148,Organograma!H:H,Organograma!G:G,"")</f>
        <v>PAM - Pronto Atendimento Materno</v>
      </c>
      <c r="E148" s="54" t="s">
        <v>498</v>
      </c>
      <c r="F148" s="55">
        <v>46025</v>
      </c>
      <c r="G148" s="59" t="s">
        <v>192</v>
      </c>
      <c r="H148" s="55">
        <v>46173</v>
      </c>
      <c r="I148" s="56" t="s">
        <v>192</v>
      </c>
      <c r="J148" s="57">
        <v>0</v>
      </c>
      <c r="K148" s="58" t="s">
        <v>937</v>
      </c>
    </row>
    <row r="149" spans="1:11" ht="38.25">
      <c r="A149" s="52" t="s">
        <v>550</v>
      </c>
      <c r="B149" s="53" t="s">
        <v>529</v>
      </c>
      <c r="C149" s="53" t="s">
        <v>309</v>
      </c>
      <c r="D149" s="54" t="str">
        <f>_xlfn.XLOOKUP(E149,Organograma!H:H,Organograma!G:G,"")</f>
        <v>PAM - Pronto Atendimento Materno</v>
      </c>
      <c r="E149" s="54" t="s">
        <v>498</v>
      </c>
      <c r="F149" s="55">
        <v>46025</v>
      </c>
      <c r="G149" s="59" t="s">
        <v>192</v>
      </c>
      <c r="H149" s="55">
        <v>46173</v>
      </c>
      <c r="I149" s="56" t="s">
        <v>192</v>
      </c>
      <c r="J149" s="57">
        <v>0</v>
      </c>
      <c r="K149" s="58" t="s">
        <v>937</v>
      </c>
    </row>
    <row r="150" spans="1:11" ht="38.25">
      <c r="A150" s="52" t="s">
        <v>551</v>
      </c>
      <c r="B150" s="53" t="s">
        <v>529</v>
      </c>
      <c r="C150" s="53" t="s">
        <v>309</v>
      </c>
      <c r="D150" s="54" t="str">
        <f>_xlfn.XLOOKUP(E150,Organograma!H:H,Organograma!G:G,"")</f>
        <v>PAM - Pronto Atendimento Materno</v>
      </c>
      <c r="E150" s="54" t="s">
        <v>498</v>
      </c>
      <c r="F150" s="55">
        <v>46025</v>
      </c>
      <c r="G150" s="59" t="s">
        <v>192</v>
      </c>
      <c r="H150" s="55">
        <v>46173</v>
      </c>
      <c r="I150" s="56" t="s">
        <v>192</v>
      </c>
      <c r="J150" s="57">
        <v>0</v>
      </c>
      <c r="K150" s="58" t="s">
        <v>937</v>
      </c>
    </row>
    <row r="151" spans="1:11" ht="38.25">
      <c r="A151" s="52" t="s">
        <v>552</v>
      </c>
      <c r="B151" s="53" t="s">
        <v>553</v>
      </c>
      <c r="C151" s="53" t="s">
        <v>309</v>
      </c>
      <c r="D151" s="54" t="str">
        <f>_xlfn.XLOOKUP(E151,Organograma!H:H,Organograma!G:G,"")</f>
        <v>PAM - Pronto Atendimento Materno</v>
      </c>
      <c r="E151" s="54" t="s">
        <v>498</v>
      </c>
      <c r="F151" s="55">
        <v>46025</v>
      </c>
      <c r="G151" s="59" t="s">
        <v>192</v>
      </c>
      <c r="H151" s="55">
        <v>46173</v>
      </c>
      <c r="I151" s="56" t="s">
        <v>192</v>
      </c>
      <c r="J151" s="57">
        <v>0</v>
      </c>
      <c r="K151" s="58" t="s">
        <v>937</v>
      </c>
    </row>
    <row r="152" spans="1:11" ht="38.25">
      <c r="A152" s="52" t="s">
        <v>554</v>
      </c>
      <c r="B152" s="53" t="s">
        <v>553</v>
      </c>
      <c r="C152" s="53" t="s">
        <v>309</v>
      </c>
      <c r="D152" s="54" t="str">
        <f>_xlfn.XLOOKUP(E152,Organograma!H:H,Organograma!G:G,"")</f>
        <v>PAM - Pronto Atendimento Materno</v>
      </c>
      <c r="E152" s="54" t="s">
        <v>498</v>
      </c>
      <c r="F152" s="55">
        <v>46025</v>
      </c>
      <c r="G152" s="55">
        <v>46207</v>
      </c>
      <c r="H152" s="55">
        <v>46173</v>
      </c>
      <c r="I152" s="61">
        <v>46207</v>
      </c>
      <c r="J152" s="57">
        <v>1</v>
      </c>
      <c r="K152" s="58" t="s">
        <v>935</v>
      </c>
    </row>
    <row r="153" spans="1:11" ht="38.25">
      <c r="A153" s="52" t="s">
        <v>555</v>
      </c>
      <c r="B153" s="53" t="s">
        <v>553</v>
      </c>
      <c r="C153" s="53" t="s">
        <v>309</v>
      </c>
      <c r="D153" s="54" t="str">
        <f>_xlfn.XLOOKUP(E153,Organograma!H:H,Organograma!G:G,"")</f>
        <v>PAM - Pronto Atendimento Materno</v>
      </c>
      <c r="E153" s="54" t="s">
        <v>498</v>
      </c>
      <c r="F153" s="55">
        <v>46025</v>
      </c>
      <c r="G153" s="55">
        <v>46057</v>
      </c>
      <c r="H153" s="55">
        <v>46173</v>
      </c>
      <c r="I153" s="61">
        <v>46057</v>
      </c>
      <c r="J153" s="57">
        <v>1</v>
      </c>
      <c r="K153" s="58" t="s">
        <v>935</v>
      </c>
    </row>
    <row r="154" spans="1:11" ht="38.25">
      <c r="A154" s="52" t="s">
        <v>556</v>
      </c>
      <c r="B154" s="53" t="s">
        <v>553</v>
      </c>
      <c r="C154" s="53" t="s">
        <v>309</v>
      </c>
      <c r="D154" s="54" t="str">
        <f>_xlfn.XLOOKUP(E154,Organograma!H:H,Organograma!G:G,"")</f>
        <v>PAM - Pronto Atendimento Materno</v>
      </c>
      <c r="E154" s="54" t="s">
        <v>498</v>
      </c>
      <c r="F154" s="55">
        <v>46025</v>
      </c>
      <c r="G154" s="59" t="s">
        <v>192</v>
      </c>
      <c r="H154" s="55">
        <v>46173</v>
      </c>
      <c r="I154" s="56" t="s">
        <v>192</v>
      </c>
      <c r="J154" s="57">
        <v>0</v>
      </c>
      <c r="K154" s="58" t="s">
        <v>937</v>
      </c>
    </row>
    <row r="155" spans="1:11" ht="38.25">
      <c r="A155" s="52" t="s">
        <v>557</v>
      </c>
      <c r="B155" s="53" t="s">
        <v>553</v>
      </c>
      <c r="C155" s="53" t="s">
        <v>309</v>
      </c>
      <c r="D155" s="54" t="str">
        <f>_xlfn.XLOOKUP(E155,Organograma!H:H,Organograma!G:G,"")</f>
        <v>PAM - Pronto Atendimento Materno</v>
      </c>
      <c r="E155" s="54" t="s">
        <v>498</v>
      </c>
      <c r="F155" s="55">
        <v>46025</v>
      </c>
      <c r="G155" s="59" t="s">
        <v>192</v>
      </c>
      <c r="H155" s="55">
        <v>46173</v>
      </c>
      <c r="I155" s="56" t="s">
        <v>192</v>
      </c>
      <c r="J155" s="57">
        <v>0</v>
      </c>
      <c r="K155" s="58" t="s">
        <v>937</v>
      </c>
    </row>
    <row r="156" spans="1:11" ht="25.5">
      <c r="A156" s="52" t="s">
        <v>558</v>
      </c>
      <c r="B156" s="53" t="s">
        <v>553</v>
      </c>
      <c r="C156" s="53" t="s">
        <v>309</v>
      </c>
      <c r="D156" s="54" t="str">
        <f>_xlfn.XLOOKUP(E156,Organograma!H:H,Organograma!G:G,"")</f>
        <v>PAM - Pronto Atendimento Materno</v>
      </c>
      <c r="E156" s="54" t="s">
        <v>498</v>
      </c>
      <c r="F156" s="55">
        <v>46025</v>
      </c>
      <c r="G156" s="55">
        <v>46142</v>
      </c>
      <c r="H156" s="55">
        <v>46173</v>
      </c>
      <c r="I156" s="56" t="s">
        <v>192</v>
      </c>
      <c r="J156" s="57">
        <v>0.75</v>
      </c>
      <c r="K156" s="58" t="s">
        <v>936</v>
      </c>
    </row>
    <row r="157" spans="1:11" ht="25.5">
      <c r="A157" s="52" t="s">
        <v>559</v>
      </c>
      <c r="B157" s="53" t="s">
        <v>553</v>
      </c>
      <c r="C157" s="53" t="s">
        <v>309</v>
      </c>
      <c r="D157" s="54" t="str">
        <f>_xlfn.XLOOKUP(E157,Organograma!H:H,Organograma!G:G,"")</f>
        <v>PAM - Pronto Atendimento Materno</v>
      </c>
      <c r="E157" s="54" t="s">
        <v>498</v>
      </c>
      <c r="F157" s="55">
        <v>46025</v>
      </c>
      <c r="G157" s="55">
        <v>46142</v>
      </c>
      <c r="H157" s="55">
        <v>46173</v>
      </c>
      <c r="I157" s="56" t="s">
        <v>192</v>
      </c>
      <c r="J157" s="57">
        <v>0.75</v>
      </c>
      <c r="K157" s="58" t="s">
        <v>936</v>
      </c>
    </row>
    <row r="158" spans="1:11" ht="38.25">
      <c r="A158" s="52" t="s">
        <v>560</v>
      </c>
      <c r="B158" s="53" t="s">
        <v>553</v>
      </c>
      <c r="C158" s="53" t="s">
        <v>309</v>
      </c>
      <c r="D158" s="54" t="str">
        <f>_xlfn.XLOOKUP(E158,Organograma!H:H,Organograma!G:G,"")</f>
        <v>PAM - Pronto Atendimento Materno</v>
      </c>
      <c r="E158" s="54" t="s">
        <v>498</v>
      </c>
      <c r="F158" s="55">
        <v>46025</v>
      </c>
      <c r="G158" s="55">
        <v>46142</v>
      </c>
      <c r="H158" s="55">
        <v>46173</v>
      </c>
      <c r="I158" s="56" t="s">
        <v>192</v>
      </c>
      <c r="J158" s="57">
        <v>0.25</v>
      </c>
      <c r="K158" s="58" t="s">
        <v>936</v>
      </c>
    </row>
    <row r="159" spans="1:11" ht="38.25">
      <c r="A159" s="52" t="s">
        <v>267</v>
      </c>
      <c r="B159" s="53" t="s">
        <v>263</v>
      </c>
      <c r="C159" s="54" t="s">
        <v>218</v>
      </c>
      <c r="D159" s="54" t="str">
        <f>_xlfn.XLOOKUP(E159,Organograma!H:H,Organograma!G:G,"")</f>
        <v>GA - Gerência Assistencial</v>
      </c>
      <c r="E159" s="54" t="s">
        <v>268</v>
      </c>
      <c r="F159" s="55">
        <v>46026</v>
      </c>
      <c r="G159" s="59" t="s">
        <v>192</v>
      </c>
      <c r="H159" s="55">
        <v>46326</v>
      </c>
      <c r="I159" s="56" t="s">
        <v>192</v>
      </c>
      <c r="J159" s="57">
        <v>0</v>
      </c>
      <c r="K159" s="58" t="s">
        <v>937</v>
      </c>
    </row>
    <row r="160" spans="1:11" ht="38.25">
      <c r="A160" s="52" t="s">
        <v>438</v>
      </c>
      <c r="B160" s="53" t="s">
        <v>439</v>
      </c>
      <c r="C160" s="53" t="s">
        <v>309</v>
      </c>
      <c r="D160" s="54" t="str">
        <f>_xlfn.XLOOKUP(E160,Organograma!H:H,Organograma!G:G,"")</f>
        <v>GA - Gerência Assistencial</v>
      </c>
      <c r="E160" s="54" t="s">
        <v>268</v>
      </c>
      <c r="F160" s="55">
        <v>46025</v>
      </c>
      <c r="G160" s="55">
        <v>46026</v>
      </c>
      <c r="H160" s="55">
        <v>46173</v>
      </c>
      <c r="I160" s="56" t="s">
        <v>192</v>
      </c>
      <c r="J160" s="57">
        <v>0.25</v>
      </c>
      <c r="K160" s="58" t="s">
        <v>936</v>
      </c>
    </row>
    <row r="161" spans="1:11" ht="38.25">
      <c r="A161" s="52" t="s">
        <v>440</v>
      </c>
      <c r="B161" s="53" t="s">
        <v>439</v>
      </c>
      <c r="C161" s="53" t="s">
        <v>309</v>
      </c>
      <c r="D161" s="54" t="str">
        <f>_xlfn.XLOOKUP(E161,Organograma!H:H,Organograma!G:G,"")</f>
        <v>GA - Gerência Assistencial</v>
      </c>
      <c r="E161" s="54" t="s">
        <v>268</v>
      </c>
      <c r="F161" s="55">
        <v>46025</v>
      </c>
      <c r="G161" s="55">
        <v>46026</v>
      </c>
      <c r="H161" s="55">
        <v>46173</v>
      </c>
      <c r="I161" s="56" t="s">
        <v>192</v>
      </c>
      <c r="J161" s="57">
        <v>0.25</v>
      </c>
      <c r="K161" s="58" t="s">
        <v>936</v>
      </c>
    </row>
    <row r="162" spans="1:11" ht="38.25">
      <c r="A162" s="52" t="s">
        <v>441</v>
      </c>
      <c r="B162" s="53" t="s">
        <v>439</v>
      </c>
      <c r="C162" s="53" t="s">
        <v>309</v>
      </c>
      <c r="D162" s="54" t="str">
        <f>_xlfn.XLOOKUP(E162,Organograma!H:H,Organograma!G:G,"")</f>
        <v>GA - Gerência Assistencial</v>
      </c>
      <c r="E162" s="54" t="s">
        <v>268</v>
      </c>
      <c r="F162" s="55">
        <v>46025</v>
      </c>
      <c r="G162" s="59" t="s">
        <v>192</v>
      </c>
      <c r="H162" s="55">
        <v>46173</v>
      </c>
      <c r="I162" s="56" t="s">
        <v>192</v>
      </c>
      <c r="J162" s="57">
        <v>0</v>
      </c>
      <c r="K162" s="58" t="s">
        <v>937</v>
      </c>
    </row>
    <row r="163" spans="1:11" ht="38.25">
      <c r="A163" s="52" t="s">
        <v>442</v>
      </c>
      <c r="B163" s="53" t="s">
        <v>439</v>
      </c>
      <c r="C163" s="53" t="s">
        <v>309</v>
      </c>
      <c r="D163" s="54" t="str">
        <f>_xlfn.XLOOKUP(E163,Organograma!H:H,Organograma!G:G,"")</f>
        <v>GA - Gerência Assistencial</v>
      </c>
      <c r="E163" s="54" t="s">
        <v>268</v>
      </c>
      <c r="F163" s="55">
        <v>46025</v>
      </c>
      <c r="G163" s="59" t="s">
        <v>192</v>
      </c>
      <c r="H163" s="55">
        <v>46173</v>
      </c>
      <c r="I163" s="56" t="s">
        <v>192</v>
      </c>
      <c r="J163" s="57">
        <v>0</v>
      </c>
      <c r="K163" s="58" t="s">
        <v>937</v>
      </c>
    </row>
    <row r="164" spans="1:11" ht="51">
      <c r="A164" s="52" t="s">
        <v>443</v>
      </c>
      <c r="B164" s="53" t="s">
        <v>439</v>
      </c>
      <c r="C164" s="53" t="s">
        <v>309</v>
      </c>
      <c r="D164" s="54" t="str">
        <f>_xlfn.XLOOKUP(E164,Organograma!H:H,Organograma!G:G,"")</f>
        <v>GA - Gerência Assistencial</v>
      </c>
      <c r="E164" s="54" t="s">
        <v>268</v>
      </c>
      <c r="F164" s="55">
        <v>46025</v>
      </c>
      <c r="G164" s="59" t="s">
        <v>192</v>
      </c>
      <c r="H164" s="55">
        <v>46173</v>
      </c>
      <c r="I164" s="56" t="s">
        <v>192</v>
      </c>
      <c r="J164" s="57">
        <v>0</v>
      </c>
      <c r="K164" s="58" t="s">
        <v>937</v>
      </c>
    </row>
    <row r="165" spans="1:11" ht="38.25">
      <c r="A165" s="52" t="s">
        <v>444</v>
      </c>
      <c r="B165" s="53" t="s">
        <v>439</v>
      </c>
      <c r="C165" s="53" t="s">
        <v>309</v>
      </c>
      <c r="D165" s="54" t="str">
        <f>_xlfn.XLOOKUP(E165,Organograma!H:H,Organograma!G:G,"")</f>
        <v>GA - Gerência Assistencial</v>
      </c>
      <c r="E165" s="54" t="s">
        <v>268</v>
      </c>
      <c r="F165" s="55">
        <v>46025</v>
      </c>
      <c r="G165" s="59" t="s">
        <v>192</v>
      </c>
      <c r="H165" s="55">
        <v>46173</v>
      </c>
      <c r="I165" s="56" t="s">
        <v>192</v>
      </c>
      <c r="J165" s="57">
        <v>0</v>
      </c>
      <c r="K165" s="58" t="s">
        <v>937</v>
      </c>
    </row>
    <row r="166" spans="1:11" ht="38.25">
      <c r="A166" s="52" t="s">
        <v>445</v>
      </c>
      <c r="B166" s="53" t="s">
        <v>439</v>
      </c>
      <c r="C166" s="53" t="s">
        <v>309</v>
      </c>
      <c r="D166" s="54" t="str">
        <f>_xlfn.XLOOKUP(E166,Organograma!H:H,Organograma!G:G,"")</f>
        <v>GA - Gerência Assistencial</v>
      </c>
      <c r="E166" s="54" t="s">
        <v>268</v>
      </c>
      <c r="F166" s="55">
        <v>46025</v>
      </c>
      <c r="G166" s="59" t="s">
        <v>192</v>
      </c>
      <c r="H166" s="55">
        <v>46173</v>
      </c>
      <c r="I166" s="56" t="s">
        <v>192</v>
      </c>
      <c r="J166" s="57">
        <v>0</v>
      </c>
      <c r="K166" s="58" t="s">
        <v>937</v>
      </c>
    </row>
    <row r="167" spans="1:11" ht="51">
      <c r="A167" s="52" t="s">
        <v>446</v>
      </c>
      <c r="B167" s="53" t="s">
        <v>439</v>
      </c>
      <c r="C167" s="53" t="s">
        <v>309</v>
      </c>
      <c r="D167" s="54" t="str">
        <f>_xlfn.XLOOKUP(E167,Organograma!H:H,Organograma!G:G,"")</f>
        <v>GA - Gerência Assistencial</v>
      </c>
      <c r="E167" s="54" t="s">
        <v>268</v>
      </c>
      <c r="F167" s="55">
        <v>46025</v>
      </c>
      <c r="G167" s="59" t="s">
        <v>192</v>
      </c>
      <c r="H167" s="55">
        <v>46173</v>
      </c>
      <c r="I167" s="56" t="s">
        <v>192</v>
      </c>
      <c r="J167" s="57">
        <v>0</v>
      </c>
      <c r="K167" s="58" t="s">
        <v>937</v>
      </c>
    </row>
    <row r="168" spans="1:11" ht="51">
      <c r="A168" s="52" t="s">
        <v>450</v>
      </c>
      <c r="B168" s="53" t="s">
        <v>439</v>
      </c>
      <c r="C168" s="53" t="s">
        <v>309</v>
      </c>
      <c r="D168" s="54" t="str">
        <f>_xlfn.XLOOKUP(E168,Organograma!H:H,Organograma!G:G,"")</f>
        <v>GA - Gerência Assistencial</v>
      </c>
      <c r="E168" s="54" t="s">
        <v>268</v>
      </c>
      <c r="F168" s="55">
        <v>46025</v>
      </c>
      <c r="G168" s="59" t="s">
        <v>192</v>
      </c>
      <c r="H168" s="55">
        <v>46173</v>
      </c>
      <c r="I168" s="56" t="s">
        <v>192</v>
      </c>
      <c r="J168" s="57">
        <v>0</v>
      </c>
      <c r="K168" s="58" t="s">
        <v>937</v>
      </c>
    </row>
    <row r="169" spans="1:11" ht="51">
      <c r="A169" s="52" t="s">
        <v>455</v>
      </c>
      <c r="B169" s="53" t="s">
        <v>439</v>
      </c>
      <c r="C169" s="53" t="s">
        <v>309</v>
      </c>
      <c r="D169" s="54" t="str">
        <f>_xlfn.XLOOKUP(E169,Organograma!H:H,Organograma!G:G,"")</f>
        <v>GA - Gerência Assistencial</v>
      </c>
      <c r="E169" s="54" t="s">
        <v>268</v>
      </c>
      <c r="F169" s="55">
        <v>46025</v>
      </c>
      <c r="G169" s="59" t="s">
        <v>192</v>
      </c>
      <c r="H169" s="55">
        <v>46173</v>
      </c>
      <c r="I169" s="56" t="s">
        <v>192</v>
      </c>
      <c r="J169" s="57">
        <v>0</v>
      </c>
      <c r="K169" s="58" t="s">
        <v>937</v>
      </c>
    </row>
    <row r="170" spans="1:11" ht="51">
      <c r="A170" s="52" t="s">
        <v>456</v>
      </c>
      <c r="B170" s="53" t="s">
        <v>439</v>
      </c>
      <c r="C170" s="53" t="s">
        <v>309</v>
      </c>
      <c r="D170" s="54" t="str">
        <f>_xlfn.XLOOKUP(E170,Organograma!H:H,Organograma!G:G,"")</f>
        <v>GA - Gerência Assistencial</v>
      </c>
      <c r="E170" s="54" t="s">
        <v>268</v>
      </c>
      <c r="F170" s="55">
        <v>46025</v>
      </c>
      <c r="G170" s="59" t="s">
        <v>192</v>
      </c>
      <c r="H170" s="55">
        <v>46173</v>
      </c>
      <c r="I170" s="56" t="s">
        <v>192</v>
      </c>
      <c r="J170" s="57">
        <v>0</v>
      </c>
      <c r="K170" s="58" t="s">
        <v>937</v>
      </c>
    </row>
    <row r="171" spans="1:11" ht="38.25">
      <c r="A171" s="52" t="s">
        <v>457</v>
      </c>
      <c r="B171" s="53" t="s">
        <v>439</v>
      </c>
      <c r="C171" s="53" t="s">
        <v>309</v>
      </c>
      <c r="D171" s="54" t="str">
        <f>_xlfn.XLOOKUP(E171,Organograma!H:H,Organograma!G:G,"")</f>
        <v>GA - Gerência Assistencial</v>
      </c>
      <c r="E171" s="54" t="s">
        <v>268</v>
      </c>
      <c r="F171" s="55">
        <v>46025</v>
      </c>
      <c r="G171" s="59" t="s">
        <v>192</v>
      </c>
      <c r="H171" s="55">
        <v>46173</v>
      </c>
      <c r="I171" s="56" t="s">
        <v>192</v>
      </c>
      <c r="J171" s="57">
        <v>0</v>
      </c>
      <c r="K171" s="58" t="s">
        <v>937</v>
      </c>
    </row>
    <row r="172" spans="1:11" ht="38.25">
      <c r="A172" s="52" t="s">
        <v>458</v>
      </c>
      <c r="B172" s="53" t="s">
        <v>439</v>
      </c>
      <c r="C172" s="53" t="s">
        <v>309</v>
      </c>
      <c r="D172" s="54" t="str">
        <f>_xlfn.XLOOKUP(E172,Organograma!H:H,Organograma!G:G,"")</f>
        <v>GA - Gerência Assistencial</v>
      </c>
      <c r="E172" s="54" t="s">
        <v>268</v>
      </c>
      <c r="F172" s="55">
        <v>46025</v>
      </c>
      <c r="G172" s="59" t="s">
        <v>192</v>
      </c>
      <c r="H172" s="55">
        <v>46173</v>
      </c>
      <c r="I172" s="56" t="s">
        <v>192</v>
      </c>
      <c r="J172" s="57">
        <v>0</v>
      </c>
      <c r="K172" s="58" t="s">
        <v>937</v>
      </c>
    </row>
    <row r="173" spans="1:11" ht="25.5">
      <c r="A173" s="52" t="s">
        <v>459</v>
      </c>
      <c r="B173" s="53" t="s">
        <v>439</v>
      </c>
      <c r="C173" s="53" t="s">
        <v>309</v>
      </c>
      <c r="D173" s="54" t="str">
        <f>_xlfn.XLOOKUP(E173,Organograma!H:H,Organograma!G:G,"")</f>
        <v>GA - Gerência Assistencial</v>
      </c>
      <c r="E173" s="54" t="s">
        <v>268</v>
      </c>
      <c r="F173" s="55">
        <v>46025</v>
      </c>
      <c r="G173" s="55">
        <v>46178</v>
      </c>
      <c r="H173" s="55">
        <v>46173</v>
      </c>
      <c r="I173" s="56" t="s">
        <v>192</v>
      </c>
      <c r="J173" s="57">
        <v>0.25</v>
      </c>
      <c r="K173" s="58" t="s">
        <v>936</v>
      </c>
    </row>
    <row r="174" spans="1:11" ht="51">
      <c r="A174" s="52" t="s">
        <v>461</v>
      </c>
      <c r="B174" s="53" t="s">
        <v>439</v>
      </c>
      <c r="C174" s="53" t="s">
        <v>309</v>
      </c>
      <c r="D174" s="54" t="str">
        <f>_xlfn.XLOOKUP(E174,Organograma!H:H,Organograma!G:G,"")</f>
        <v>GA - Gerência Assistencial</v>
      </c>
      <c r="E174" s="54" t="s">
        <v>268</v>
      </c>
      <c r="F174" s="55">
        <v>46025</v>
      </c>
      <c r="G174" s="59" t="s">
        <v>192</v>
      </c>
      <c r="H174" s="55">
        <v>46173</v>
      </c>
      <c r="I174" s="56" t="s">
        <v>192</v>
      </c>
      <c r="J174" s="57">
        <v>0</v>
      </c>
      <c r="K174" s="58" t="s">
        <v>937</v>
      </c>
    </row>
    <row r="175" spans="1:11" ht="38.25">
      <c r="A175" s="52" t="s">
        <v>464</v>
      </c>
      <c r="B175" s="53" t="s">
        <v>439</v>
      </c>
      <c r="C175" s="53" t="s">
        <v>309</v>
      </c>
      <c r="D175" s="54" t="str">
        <f>_xlfn.XLOOKUP(E175,Organograma!H:H,Organograma!G:G,"")</f>
        <v>GA - Gerência Assistencial</v>
      </c>
      <c r="E175" s="54" t="s">
        <v>268</v>
      </c>
      <c r="F175" s="55">
        <v>46025</v>
      </c>
      <c r="G175" s="59" t="s">
        <v>192</v>
      </c>
      <c r="H175" s="55">
        <v>46173</v>
      </c>
      <c r="I175" s="56" t="s">
        <v>192</v>
      </c>
      <c r="J175" s="57">
        <v>0</v>
      </c>
      <c r="K175" s="58" t="s">
        <v>937</v>
      </c>
    </row>
    <row r="176" spans="1:11" ht="38.25">
      <c r="A176" s="52" t="s">
        <v>466</v>
      </c>
      <c r="B176" s="53" t="s">
        <v>439</v>
      </c>
      <c r="C176" s="53" t="s">
        <v>309</v>
      </c>
      <c r="D176" s="54" t="str">
        <f>_xlfn.XLOOKUP(E176,Organograma!H:H,Organograma!G:G,"")</f>
        <v>GA - Gerência Assistencial</v>
      </c>
      <c r="E176" s="54" t="s">
        <v>268</v>
      </c>
      <c r="F176" s="55">
        <v>46025</v>
      </c>
      <c r="G176" s="59" t="s">
        <v>192</v>
      </c>
      <c r="H176" s="55">
        <v>46173</v>
      </c>
      <c r="I176" s="56" t="s">
        <v>192</v>
      </c>
      <c r="J176" s="57">
        <v>0</v>
      </c>
      <c r="K176" s="58" t="s">
        <v>937</v>
      </c>
    </row>
    <row r="177" spans="1:11" ht="38.25">
      <c r="A177" s="52" t="s">
        <v>467</v>
      </c>
      <c r="B177" s="53" t="s">
        <v>439</v>
      </c>
      <c r="C177" s="53" t="s">
        <v>309</v>
      </c>
      <c r="D177" s="54" t="str">
        <f>_xlfn.XLOOKUP(E177,Organograma!H:H,Organograma!G:G,"")</f>
        <v>GA - Gerência Assistencial</v>
      </c>
      <c r="E177" s="54" t="s">
        <v>268</v>
      </c>
      <c r="F177" s="55">
        <v>46025</v>
      </c>
      <c r="G177" s="59" t="s">
        <v>192</v>
      </c>
      <c r="H177" s="55">
        <v>46173</v>
      </c>
      <c r="I177" s="56" t="s">
        <v>192</v>
      </c>
      <c r="J177" s="57">
        <v>0</v>
      </c>
      <c r="K177" s="58" t="s">
        <v>937</v>
      </c>
    </row>
    <row r="178" spans="1:11" ht="38.25">
      <c r="A178" s="52" t="s">
        <v>470</v>
      </c>
      <c r="B178" s="53" t="s">
        <v>439</v>
      </c>
      <c r="C178" s="53" t="s">
        <v>309</v>
      </c>
      <c r="D178" s="54" t="str">
        <f>_xlfn.XLOOKUP(E178,Organograma!H:H,Organograma!G:G,"")</f>
        <v>GA - Gerência Assistencial</v>
      </c>
      <c r="E178" s="54" t="s">
        <v>268</v>
      </c>
      <c r="F178" s="55">
        <v>46025</v>
      </c>
      <c r="G178" s="59" t="s">
        <v>192</v>
      </c>
      <c r="H178" s="55">
        <v>46173</v>
      </c>
      <c r="I178" s="56" t="s">
        <v>192</v>
      </c>
      <c r="J178" s="57">
        <v>0</v>
      </c>
      <c r="K178" s="58" t="s">
        <v>937</v>
      </c>
    </row>
    <row r="179" spans="1:11" ht="38.25">
      <c r="A179" s="52" t="s">
        <v>471</v>
      </c>
      <c r="B179" s="53" t="s">
        <v>439</v>
      </c>
      <c r="C179" s="53" t="s">
        <v>309</v>
      </c>
      <c r="D179" s="54" t="str">
        <f>_xlfn.XLOOKUP(E179,Organograma!H:H,Organograma!G:G,"")</f>
        <v>GA - Gerência Assistencial</v>
      </c>
      <c r="E179" s="54" t="s">
        <v>268</v>
      </c>
      <c r="F179" s="55">
        <v>46025</v>
      </c>
      <c r="G179" s="59" t="s">
        <v>192</v>
      </c>
      <c r="H179" s="55">
        <v>46173</v>
      </c>
      <c r="I179" s="56" t="s">
        <v>192</v>
      </c>
      <c r="J179" s="57">
        <v>0</v>
      </c>
      <c r="K179" s="58" t="s">
        <v>937</v>
      </c>
    </row>
    <row r="180" spans="1:11" ht="51">
      <c r="A180" s="52" t="s">
        <v>473</v>
      </c>
      <c r="B180" s="53" t="s">
        <v>439</v>
      </c>
      <c r="C180" s="53" t="s">
        <v>309</v>
      </c>
      <c r="D180" s="54" t="str">
        <f>_xlfn.XLOOKUP(E180,Organograma!H:H,Organograma!G:G,"")</f>
        <v>GA - Gerência Assistencial</v>
      </c>
      <c r="E180" s="54" t="s">
        <v>268</v>
      </c>
      <c r="F180" s="55">
        <v>46025</v>
      </c>
      <c r="G180" s="59" t="s">
        <v>192</v>
      </c>
      <c r="H180" s="55">
        <v>46173</v>
      </c>
      <c r="I180" s="56" t="s">
        <v>192</v>
      </c>
      <c r="J180" s="57">
        <v>0</v>
      </c>
      <c r="K180" s="58" t="s">
        <v>937</v>
      </c>
    </row>
    <row r="181" spans="1:11" ht="25.5">
      <c r="A181" s="52" t="s">
        <v>216</v>
      </c>
      <c r="B181" s="54" t="s">
        <v>217</v>
      </c>
      <c r="C181" s="54" t="s">
        <v>218</v>
      </c>
      <c r="D181" s="54" t="str">
        <f>_xlfn.XLOOKUP(E181,Organograma!H:H,Organograma!G:G,"")</f>
        <v>DAF - Diretoria Administrativa/Financeira</v>
      </c>
      <c r="E181" s="54" t="s">
        <v>219</v>
      </c>
      <c r="F181" s="62">
        <v>46026</v>
      </c>
      <c r="G181" s="59" t="s">
        <v>192</v>
      </c>
      <c r="H181" s="55">
        <v>46234</v>
      </c>
      <c r="I181" s="56" t="s">
        <v>192</v>
      </c>
      <c r="J181" s="57">
        <v>0</v>
      </c>
      <c r="K181" s="58" t="s">
        <v>937</v>
      </c>
    </row>
    <row r="182" spans="1:11" ht="25.5">
      <c r="A182" s="52" t="s">
        <v>220</v>
      </c>
      <c r="B182" s="54" t="s">
        <v>217</v>
      </c>
      <c r="C182" s="54" t="s">
        <v>218</v>
      </c>
      <c r="D182" s="54" t="str">
        <f>_xlfn.XLOOKUP(E182,Organograma!H:H,Organograma!G:G,"")</f>
        <v>DAF - Diretoria Administrativa/Financeira</v>
      </c>
      <c r="E182" s="54" t="s">
        <v>219</v>
      </c>
      <c r="F182" s="55">
        <v>46026</v>
      </c>
      <c r="G182" s="59" t="s">
        <v>192</v>
      </c>
      <c r="H182" s="55">
        <v>46234</v>
      </c>
      <c r="I182" s="56" t="s">
        <v>192</v>
      </c>
      <c r="J182" s="57">
        <v>0</v>
      </c>
      <c r="K182" s="58" t="s">
        <v>937</v>
      </c>
    </row>
    <row r="183" spans="1:11" ht="25.5">
      <c r="A183" s="52" t="s">
        <v>224</v>
      </c>
      <c r="B183" s="53" t="s">
        <v>225</v>
      </c>
      <c r="C183" s="54" t="s">
        <v>218</v>
      </c>
      <c r="D183" s="54" t="str">
        <f>_xlfn.XLOOKUP(E183,Organograma!H:H,Organograma!G:G,"")</f>
        <v>DAF - Diretoria Administrativa/Financeira</v>
      </c>
      <c r="E183" s="54" t="s">
        <v>219</v>
      </c>
      <c r="F183" s="55">
        <v>46026</v>
      </c>
      <c r="G183" s="59" t="s">
        <v>192</v>
      </c>
      <c r="H183" s="55">
        <v>46391</v>
      </c>
      <c r="I183" s="56" t="s">
        <v>192</v>
      </c>
      <c r="J183" s="57">
        <v>0</v>
      </c>
      <c r="K183" s="58" t="s">
        <v>937</v>
      </c>
    </row>
    <row r="184" spans="1:11" ht="25.5">
      <c r="A184" s="52" t="s">
        <v>226</v>
      </c>
      <c r="B184" s="53" t="s">
        <v>225</v>
      </c>
      <c r="C184" s="54" t="s">
        <v>218</v>
      </c>
      <c r="D184" s="54" t="str">
        <f>_xlfn.XLOOKUP(E184,Organograma!H:H,Organograma!G:G,"")</f>
        <v>DAF - Diretoria Administrativa/Financeira</v>
      </c>
      <c r="E184" s="54" t="s">
        <v>219</v>
      </c>
      <c r="F184" s="55">
        <v>46026</v>
      </c>
      <c r="G184" s="59" t="s">
        <v>192</v>
      </c>
      <c r="H184" s="55">
        <v>46326</v>
      </c>
      <c r="I184" s="56" t="s">
        <v>192</v>
      </c>
      <c r="J184" s="57">
        <v>0</v>
      </c>
      <c r="K184" s="58" t="s">
        <v>937</v>
      </c>
    </row>
    <row r="185" spans="1:11" ht="38.25">
      <c r="A185" s="52" t="s">
        <v>231</v>
      </c>
      <c r="B185" s="53" t="s">
        <v>232</v>
      </c>
      <c r="C185" s="54" t="s">
        <v>218</v>
      </c>
      <c r="D185" s="54" t="str">
        <f>_xlfn.XLOOKUP(E185,Organograma!H:H,Organograma!G:G,"")</f>
        <v>DAF - Diretoria Administrativa/Financeira</v>
      </c>
      <c r="E185" s="54" t="s">
        <v>219</v>
      </c>
      <c r="F185" s="55">
        <v>46026</v>
      </c>
      <c r="G185" s="59" t="s">
        <v>192</v>
      </c>
      <c r="H185" s="55">
        <v>46391</v>
      </c>
      <c r="I185" s="56" t="s">
        <v>192</v>
      </c>
      <c r="J185" s="57">
        <v>0</v>
      </c>
      <c r="K185" s="58" t="s">
        <v>937</v>
      </c>
    </row>
    <row r="186" spans="1:11" ht="38.25">
      <c r="A186" s="52" t="s">
        <v>233</v>
      </c>
      <c r="B186" s="53" t="s">
        <v>232</v>
      </c>
      <c r="C186" s="54" t="s">
        <v>218</v>
      </c>
      <c r="D186" s="54" t="str">
        <f>_xlfn.XLOOKUP(E186,Organograma!H:H,Organograma!G:G,"")</f>
        <v>DAF - Diretoria Administrativa/Financeira</v>
      </c>
      <c r="E186" s="54" t="s">
        <v>219</v>
      </c>
      <c r="F186" s="55">
        <v>46026</v>
      </c>
      <c r="G186" s="59" t="s">
        <v>192</v>
      </c>
      <c r="H186" s="55">
        <v>46391</v>
      </c>
      <c r="I186" s="56" t="s">
        <v>192</v>
      </c>
      <c r="J186" s="57">
        <v>0</v>
      </c>
      <c r="K186" s="58" t="s">
        <v>937</v>
      </c>
    </row>
    <row r="187" spans="1:11" ht="38.25">
      <c r="A187" s="52" t="s">
        <v>234</v>
      </c>
      <c r="B187" s="53" t="s">
        <v>232</v>
      </c>
      <c r="C187" s="54" t="s">
        <v>218</v>
      </c>
      <c r="D187" s="54" t="str">
        <f>_xlfn.XLOOKUP(E187,Organograma!H:H,Organograma!G:G,"")</f>
        <v>DAF - Diretoria Administrativa/Financeira</v>
      </c>
      <c r="E187" s="54" t="s">
        <v>219</v>
      </c>
      <c r="F187" s="55">
        <v>46026</v>
      </c>
      <c r="G187" s="59" t="s">
        <v>192</v>
      </c>
      <c r="H187" s="55">
        <v>46391</v>
      </c>
      <c r="I187" s="56" t="s">
        <v>192</v>
      </c>
      <c r="J187" s="57">
        <v>0</v>
      </c>
      <c r="K187" s="58" t="s">
        <v>937</v>
      </c>
    </row>
    <row r="188" spans="1:11" ht="25.5">
      <c r="A188" s="52" t="s">
        <v>240</v>
      </c>
      <c r="B188" s="54" t="s">
        <v>236</v>
      </c>
      <c r="C188" s="54" t="s">
        <v>218</v>
      </c>
      <c r="D188" s="54" t="str">
        <f>_xlfn.XLOOKUP(E188,Organograma!H:H,Organograma!G:G,"")</f>
        <v>DAF - Diretoria Administrativa/Financeira</v>
      </c>
      <c r="E188" s="54" t="s">
        <v>219</v>
      </c>
      <c r="F188" s="55">
        <v>46026</v>
      </c>
      <c r="G188" s="59" t="s">
        <v>192</v>
      </c>
      <c r="H188" s="55">
        <v>46234</v>
      </c>
      <c r="I188" s="56" t="s">
        <v>192</v>
      </c>
      <c r="J188" s="57">
        <v>0</v>
      </c>
      <c r="K188" s="58" t="s">
        <v>937</v>
      </c>
    </row>
    <row r="189" spans="1:11" ht="25.5">
      <c r="A189" s="52" t="s">
        <v>252</v>
      </c>
      <c r="B189" s="53" t="s">
        <v>253</v>
      </c>
      <c r="C189" s="54" t="s">
        <v>218</v>
      </c>
      <c r="D189" s="54" t="str">
        <f>_xlfn.XLOOKUP(E189,Organograma!H:H,Organograma!G:G,"")</f>
        <v>DAF - Diretoria Administrativa/Financeira</v>
      </c>
      <c r="E189" s="54" t="s">
        <v>219</v>
      </c>
      <c r="F189" s="55">
        <v>46026</v>
      </c>
      <c r="G189" s="59" t="s">
        <v>192</v>
      </c>
      <c r="H189" s="55">
        <v>46391</v>
      </c>
      <c r="I189" s="56" t="s">
        <v>192</v>
      </c>
      <c r="J189" s="57">
        <v>0</v>
      </c>
      <c r="K189" s="58" t="s">
        <v>937</v>
      </c>
    </row>
    <row r="190" spans="1:11" ht="25.5">
      <c r="A190" s="52" t="s">
        <v>254</v>
      </c>
      <c r="B190" s="53" t="s">
        <v>253</v>
      </c>
      <c r="C190" s="54" t="s">
        <v>218</v>
      </c>
      <c r="D190" s="54" t="str">
        <f>_xlfn.XLOOKUP(E190,Organograma!H:H,Organograma!G:G,"")</f>
        <v>DAF - Diretoria Administrativa/Financeira</v>
      </c>
      <c r="E190" s="54" t="s">
        <v>219</v>
      </c>
      <c r="F190" s="55">
        <v>46026</v>
      </c>
      <c r="G190" s="59" t="s">
        <v>192</v>
      </c>
      <c r="H190" s="55">
        <v>46391</v>
      </c>
      <c r="I190" s="56" t="s">
        <v>192</v>
      </c>
      <c r="J190" s="57">
        <v>0</v>
      </c>
      <c r="K190" s="58" t="s">
        <v>937</v>
      </c>
    </row>
    <row r="191" spans="1:11" ht="51">
      <c r="A191" s="52" t="s">
        <v>512</v>
      </c>
      <c r="B191" s="53" t="s">
        <v>513</v>
      </c>
      <c r="C191" s="53" t="s">
        <v>309</v>
      </c>
      <c r="D191" s="54" t="str">
        <f>_xlfn.XLOOKUP(E191,Organograma!H:H,Organograma!G:G,"")</f>
        <v>CC - Centro Cirúrgico</v>
      </c>
      <c r="E191" s="54" t="s">
        <v>514</v>
      </c>
      <c r="F191" s="55">
        <v>46025</v>
      </c>
      <c r="G191" s="59" t="s">
        <v>192</v>
      </c>
      <c r="H191" s="55">
        <v>46173</v>
      </c>
      <c r="I191" s="56" t="s">
        <v>192</v>
      </c>
      <c r="J191" s="57">
        <v>0</v>
      </c>
      <c r="K191" s="58" t="s">
        <v>937</v>
      </c>
    </row>
    <row r="192" spans="1:11" ht="38.25">
      <c r="A192" s="52" t="s">
        <v>515</v>
      </c>
      <c r="B192" s="53" t="s">
        <v>513</v>
      </c>
      <c r="C192" s="53" t="s">
        <v>309</v>
      </c>
      <c r="D192" s="54" t="str">
        <f>_xlfn.XLOOKUP(E192,Organograma!H:H,Organograma!G:G,"")</f>
        <v>CC - Centro Cirúrgico</v>
      </c>
      <c r="E192" s="54" t="s">
        <v>514</v>
      </c>
      <c r="F192" s="55">
        <v>46025</v>
      </c>
      <c r="G192" s="59" t="s">
        <v>192</v>
      </c>
      <c r="H192" s="55">
        <v>46173</v>
      </c>
      <c r="I192" s="56" t="s">
        <v>192</v>
      </c>
      <c r="J192" s="57">
        <v>0</v>
      </c>
      <c r="K192" s="58" t="s">
        <v>937</v>
      </c>
    </row>
    <row r="193" spans="1:11" ht="51">
      <c r="A193" s="52" t="s">
        <v>516</v>
      </c>
      <c r="B193" s="53" t="s">
        <v>513</v>
      </c>
      <c r="C193" s="53" t="s">
        <v>309</v>
      </c>
      <c r="D193" s="54" t="str">
        <f>_xlfn.XLOOKUP(E193,Organograma!H:H,Organograma!G:G,"")</f>
        <v>CC - Centro Cirúrgico</v>
      </c>
      <c r="E193" s="54" t="s">
        <v>514</v>
      </c>
      <c r="F193" s="55">
        <v>46025</v>
      </c>
      <c r="G193" s="59" t="s">
        <v>192</v>
      </c>
      <c r="H193" s="55">
        <v>46173</v>
      </c>
      <c r="I193" s="56" t="s">
        <v>192</v>
      </c>
      <c r="J193" s="57">
        <v>0</v>
      </c>
      <c r="K193" s="58" t="s">
        <v>937</v>
      </c>
    </row>
    <row r="194" spans="1:11" ht="38.25">
      <c r="A194" s="52" t="s">
        <v>517</v>
      </c>
      <c r="B194" s="53" t="s">
        <v>513</v>
      </c>
      <c r="C194" s="53" t="s">
        <v>309</v>
      </c>
      <c r="D194" s="54" t="str">
        <f>_xlfn.XLOOKUP(E194,Organograma!H:H,Organograma!G:G,"")</f>
        <v>CC - Centro Cirúrgico</v>
      </c>
      <c r="E194" s="54" t="s">
        <v>514</v>
      </c>
      <c r="F194" s="55">
        <v>46025</v>
      </c>
      <c r="G194" s="59" t="s">
        <v>192</v>
      </c>
      <c r="H194" s="55">
        <v>46173</v>
      </c>
      <c r="I194" s="56" t="s">
        <v>192</v>
      </c>
      <c r="J194" s="57">
        <v>0</v>
      </c>
      <c r="K194" s="58" t="s">
        <v>937</v>
      </c>
    </row>
    <row r="195" spans="1:11" ht="38.25">
      <c r="A195" s="52" t="s">
        <v>518</v>
      </c>
      <c r="B195" s="53" t="s">
        <v>513</v>
      </c>
      <c r="C195" s="53" t="s">
        <v>309</v>
      </c>
      <c r="D195" s="54" t="str">
        <f>_xlfn.XLOOKUP(E195,Organograma!H:H,Organograma!G:G,"")</f>
        <v>CC - Centro Cirúrgico</v>
      </c>
      <c r="E195" s="54" t="s">
        <v>514</v>
      </c>
      <c r="F195" s="55">
        <v>46025</v>
      </c>
      <c r="G195" s="59" t="s">
        <v>192</v>
      </c>
      <c r="H195" s="55">
        <v>46173</v>
      </c>
      <c r="I195" s="56" t="s">
        <v>192</v>
      </c>
      <c r="J195" s="57">
        <v>0</v>
      </c>
      <c r="K195" s="58" t="s">
        <v>937</v>
      </c>
    </row>
    <row r="196" spans="1:11" ht="38.25">
      <c r="A196" s="52" t="s">
        <v>519</v>
      </c>
      <c r="B196" s="53" t="s">
        <v>513</v>
      </c>
      <c r="C196" s="53" t="s">
        <v>309</v>
      </c>
      <c r="D196" s="54" t="str">
        <f>_xlfn.XLOOKUP(E196,Organograma!H:H,Organograma!G:G,"")</f>
        <v>CC - Centro Cirúrgico</v>
      </c>
      <c r="E196" s="54" t="s">
        <v>514</v>
      </c>
      <c r="F196" s="55">
        <v>46025</v>
      </c>
      <c r="G196" s="59" t="s">
        <v>192</v>
      </c>
      <c r="H196" s="55">
        <v>46173</v>
      </c>
      <c r="I196" s="56" t="s">
        <v>192</v>
      </c>
      <c r="J196" s="57">
        <v>0</v>
      </c>
      <c r="K196" s="58" t="s">
        <v>937</v>
      </c>
    </row>
    <row r="197" spans="1:11" ht="38.25">
      <c r="A197" s="52" t="s">
        <v>520</v>
      </c>
      <c r="B197" s="53" t="s">
        <v>513</v>
      </c>
      <c r="C197" s="53" t="s">
        <v>309</v>
      </c>
      <c r="D197" s="54" t="str">
        <f>_xlfn.XLOOKUP(E197,Organograma!H:H,Organograma!G:G,"")</f>
        <v>CC - Centro Cirúrgico</v>
      </c>
      <c r="E197" s="54" t="s">
        <v>514</v>
      </c>
      <c r="F197" s="55">
        <v>46025</v>
      </c>
      <c r="G197" s="59" t="s">
        <v>192</v>
      </c>
      <c r="H197" s="55">
        <v>46173</v>
      </c>
      <c r="I197" s="56" t="s">
        <v>192</v>
      </c>
      <c r="J197" s="57">
        <v>0</v>
      </c>
      <c r="K197" s="58" t="s">
        <v>937</v>
      </c>
    </row>
    <row r="198" spans="1:11" ht="38.25">
      <c r="A198" s="52" t="s">
        <v>521</v>
      </c>
      <c r="B198" s="53" t="s">
        <v>513</v>
      </c>
      <c r="C198" s="53" t="s">
        <v>309</v>
      </c>
      <c r="D198" s="54" t="str">
        <f>_xlfn.XLOOKUP(E198,Organograma!H:H,Organograma!G:G,"")</f>
        <v>CC - Centro Cirúrgico</v>
      </c>
      <c r="E198" s="54" t="s">
        <v>514</v>
      </c>
      <c r="F198" s="55">
        <v>46025</v>
      </c>
      <c r="G198" s="59" t="s">
        <v>192</v>
      </c>
      <c r="H198" s="55">
        <v>46173</v>
      </c>
      <c r="I198" s="56" t="s">
        <v>192</v>
      </c>
      <c r="J198" s="57">
        <v>0</v>
      </c>
      <c r="K198" s="58" t="s">
        <v>937</v>
      </c>
    </row>
    <row r="199" spans="1:11" ht="38.25">
      <c r="A199" s="52" t="s">
        <v>522</v>
      </c>
      <c r="B199" s="53" t="s">
        <v>513</v>
      </c>
      <c r="C199" s="53" t="s">
        <v>309</v>
      </c>
      <c r="D199" s="54" t="str">
        <f>_xlfn.XLOOKUP(E199,Organograma!H:H,Organograma!G:G,"")</f>
        <v>CC - Centro Cirúrgico</v>
      </c>
      <c r="E199" s="54" t="s">
        <v>514</v>
      </c>
      <c r="F199" s="55">
        <v>46025</v>
      </c>
      <c r="G199" s="59" t="s">
        <v>192</v>
      </c>
      <c r="H199" s="55">
        <v>46173</v>
      </c>
      <c r="I199" s="56" t="s">
        <v>192</v>
      </c>
      <c r="J199" s="57">
        <v>0</v>
      </c>
      <c r="K199" s="58" t="s">
        <v>937</v>
      </c>
    </row>
    <row r="200" spans="1:11" ht="51">
      <c r="A200" s="52" t="s">
        <v>523</v>
      </c>
      <c r="B200" s="53" t="s">
        <v>513</v>
      </c>
      <c r="C200" s="53" t="s">
        <v>309</v>
      </c>
      <c r="D200" s="54" t="str">
        <f>_xlfn.XLOOKUP(E200,Organograma!H:H,Organograma!G:G,"")</f>
        <v>CC - Centro Cirúrgico</v>
      </c>
      <c r="E200" s="54" t="s">
        <v>514</v>
      </c>
      <c r="F200" s="55">
        <v>46025</v>
      </c>
      <c r="G200" s="59" t="s">
        <v>192</v>
      </c>
      <c r="H200" s="55">
        <v>46173</v>
      </c>
      <c r="I200" s="56" t="s">
        <v>192</v>
      </c>
      <c r="J200" s="57">
        <v>0</v>
      </c>
      <c r="K200" s="58" t="s">
        <v>937</v>
      </c>
    </row>
    <row r="201" spans="1:11" ht="25.5">
      <c r="A201" s="52" t="s">
        <v>524</v>
      </c>
      <c r="B201" s="53" t="s">
        <v>513</v>
      </c>
      <c r="C201" s="53" t="s">
        <v>309</v>
      </c>
      <c r="D201" s="54" t="str">
        <f>_xlfn.XLOOKUP(E201,Organograma!H:H,Organograma!G:G,"")</f>
        <v>CC - Centro Cirúrgico</v>
      </c>
      <c r="E201" s="54" t="s">
        <v>514</v>
      </c>
      <c r="F201" s="55">
        <v>46025</v>
      </c>
      <c r="G201" s="59" t="s">
        <v>192</v>
      </c>
      <c r="H201" s="55">
        <v>46173</v>
      </c>
      <c r="I201" s="56" t="s">
        <v>192</v>
      </c>
      <c r="J201" s="57">
        <v>0</v>
      </c>
      <c r="K201" s="58" t="s">
        <v>937</v>
      </c>
    </row>
    <row r="202" spans="1:11" ht="25.5">
      <c r="A202" s="52" t="s">
        <v>525</v>
      </c>
      <c r="B202" s="53" t="s">
        <v>513</v>
      </c>
      <c r="C202" s="53" t="s">
        <v>309</v>
      </c>
      <c r="D202" s="54" t="str">
        <f>_xlfn.XLOOKUP(E202,Organograma!H:H,Organograma!G:G,"")</f>
        <v>CC - Centro Cirúrgico</v>
      </c>
      <c r="E202" s="54" t="s">
        <v>514</v>
      </c>
      <c r="F202" s="55">
        <v>46025</v>
      </c>
      <c r="G202" s="59" t="s">
        <v>192</v>
      </c>
      <c r="H202" s="55">
        <v>46173</v>
      </c>
      <c r="I202" s="56" t="s">
        <v>192</v>
      </c>
      <c r="J202" s="57">
        <v>0</v>
      </c>
      <c r="K202" s="58" t="s">
        <v>937</v>
      </c>
    </row>
    <row r="203" spans="1:11" ht="38.25">
      <c r="A203" s="52" t="s">
        <v>526</v>
      </c>
      <c r="B203" s="53" t="s">
        <v>513</v>
      </c>
      <c r="C203" s="53" t="s">
        <v>309</v>
      </c>
      <c r="D203" s="54" t="str">
        <f>_xlfn.XLOOKUP(E203,Organograma!H:H,Organograma!G:G,"")</f>
        <v>CC - Centro Cirúrgico</v>
      </c>
      <c r="E203" s="54" t="s">
        <v>514</v>
      </c>
      <c r="F203" s="55">
        <v>46025</v>
      </c>
      <c r="G203" s="59" t="s">
        <v>192</v>
      </c>
      <c r="H203" s="55">
        <v>46173</v>
      </c>
      <c r="I203" s="56" t="s">
        <v>192</v>
      </c>
      <c r="J203" s="57">
        <v>0</v>
      </c>
      <c r="K203" s="58" t="s">
        <v>937</v>
      </c>
    </row>
    <row r="204" spans="1:11" ht="38.25">
      <c r="A204" s="52" t="s">
        <v>527</v>
      </c>
      <c r="B204" s="53" t="s">
        <v>513</v>
      </c>
      <c r="C204" s="53" t="s">
        <v>309</v>
      </c>
      <c r="D204" s="54" t="str">
        <f>_xlfn.XLOOKUP(E204,Organograma!H:H,Organograma!G:G,"")</f>
        <v>CC - Centro Cirúrgico</v>
      </c>
      <c r="E204" s="54" t="s">
        <v>514</v>
      </c>
      <c r="F204" s="55">
        <v>46025</v>
      </c>
      <c r="G204" s="59" t="s">
        <v>192</v>
      </c>
      <c r="H204" s="55">
        <v>46173</v>
      </c>
      <c r="I204" s="56" t="s">
        <v>192</v>
      </c>
      <c r="J204" s="57">
        <v>0</v>
      </c>
      <c r="K204" s="58" t="s">
        <v>937</v>
      </c>
    </row>
    <row r="205" spans="1:11" ht="38.25">
      <c r="A205" s="52" t="s">
        <v>680</v>
      </c>
      <c r="B205" s="53" t="s">
        <v>681</v>
      </c>
      <c r="C205" s="53" t="s">
        <v>309</v>
      </c>
      <c r="D205" s="54" t="str">
        <f>_xlfn.XLOOKUP(E205,Organograma!H:H,Organograma!G:G,"")</f>
        <v>CC - Centro Cirúrgico</v>
      </c>
      <c r="E205" s="54" t="s">
        <v>514</v>
      </c>
      <c r="F205" s="55">
        <v>46025</v>
      </c>
      <c r="G205" s="59" t="s">
        <v>192</v>
      </c>
      <c r="H205" s="55">
        <v>46173</v>
      </c>
      <c r="I205" s="56" t="s">
        <v>192</v>
      </c>
      <c r="J205" s="57">
        <v>0</v>
      </c>
      <c r="K205" s="58" t="s">
        <v>937</v>
      </c>
    </row>
    <row r="206" spans="1:11" ht="51">
      <c r="A206" s="52" t="s">
        <v>682</v>
      </c>
      <c r="B206" s="53" t="s">
        <v>681</v>
      </c>
      <c r="C206" s="53" t="s">
        <v>309</v>
      </c>
      <c r="D206" s="54" t="str">
        <f>_xlfn.XLOOKUP(E206,Organograma!H:H,Organograma!G:G,"")</f>
        <v>CC - Centro Cirúrgico</v>
      </c>
      <c r="E206" s="54" t="s">
        <v>514</v>
      </c>
      <c r="F206" s="55">
        <v>46025</v>
      </c>
      <c r="G206" s="59" t="s">
        <v>192</v>
      </c>
      <c r="H206" s="55">
        <v>46173</v>
      </c>
      <c r="I206" s="56" t="s">
        <v>192</v>
      </c>
      <c r="J206" s="57">
        <v>0</v>
      </c>
      <c r="K206" s="58" t="s">
        <v>937</v>
      </c>
    </row>
    <row r="207" spans="1:11" ht="51">
      <c r="A207" s="52" t="s">
        <v>683</v>
      </c>
      <c r="B207" s="53" t="s">
        <v>681</v>
      </c>
      <c r="C207" s="53" t="s">
        <v>309</v>
      </c>
      <c r="D207" s="54" t="str">
        <f>_xlfn.XLOOKUP(E207,Organograma!H:H,Organograma!G:G,"")</f>
        <v>CC - Centro Cirúrgico</v>
      </c>
      <c r="E207" s="54" t="s">
        <v>514</v>
      </c>
      <c r="F207" s="55">
        <v>46025</v>
      </c>
      <c r="G207" s="59" t="s">
        <v>192</v>
      </c>
      <c r="H207" s="55">
        <v>46173</v>
      </c>
      <c r="I207" s="56" t="s">
        <v>192</v>
      </c>
      <c r="J207" s="57">
        <v>0</v>
      </c>
      <c r="K207" s="58" t="s">
        <v>937</v>
      </c>
    </row>
    <row r="208" spans="1:11" ht="51">
      <c r="A208" s="52" t="s">
        <v>684</v>
      </c>
      <c r="B208" s="53" t="s">
        <v>681</v>
      </c>
      <c r="C208" s="53" t="s">
        <v>309</v>
      </c>
      <c r="D208" s="54" t="str">
        <f>_xlfn.XLOOKUP(E208,Organograma!H:H,Organograma!G:G,"")</f>
        <v>CC - Centro Cirúrgico</v>
      </c>
      <c r="E208" s="54" t="s">
        <v>514</v>
      </c>
      <c r="F208" s="55">
        <v>46025</v>
      </c>
      <c r="G208" s="59" t="s">
        <v>192</v>
      </c>
      <c r="H208" s="55">
        <v>46173</v>
      </c>
      <c r="I208" s="56" t="s">
        <v>192</v>
      </c>
      <c r="J208" s="57">
        <v>0</v>
      </c>
      <c r="K208" s="58" t="s">
        <v>937</v>
      </c>
    </row>
    <row r="209" spans="1:11" ht="51">
      <c r="A209" s="52" t="s">
        <v>685</v>
      </c>
      <c r="B209" s="53" t="s">
        <v>681</v>
      </c>
      <c r="C209" s="53" t="s">
        <v>309</v>
      </c>
      <c r="D209" s="54" t="str">
        <f>_xlfn.XLOOKUP(E209,Organograma!H:H,Organograma!G:G,"")</f>
        <v>CC - Centro Cirúrgico</v>
      </c>
      <c r="E209" s="54" t="s">
        <v>514</v>
      </c>
      <c r="F209" s="55">
        <v>46025</v>
      </c>
      <c r="G209" s="59" t="s">
        <v>192</v>
      </c>
      <c r="H209" s="55">
        <v>46173</v>
      </c>
      <c r="I209" s="56" t="s">
        <v>192</v>
      </c>
      <c r="J209" s="57">
        <v>0</v>
      </c>
      <c r="K209" s="58" t="s">
        <v>937</v>
      </c>
    </row>
    <row r="210" spans="1:11" ht="38.25">
      <c r="A210" s="52" t="s">
        <v>686</v>
      </c>
      <c r="B210" s="53" t="s">
        <v>681</v>
      </c>
      <c r="C210" s="53" t="s">
        <v>309</v>
      </c>
      <c r="D210" s="54" t="str">
        <f>_xlfn.XLOOKUP(E210,Organograma!H:H,Organograma!G:G,"")</f>
        <v>CC - Centro Cirúrgico</v>
      </c>
      <c r="E210" s="54" t="s">
        <v>514</v>
      </c>
      <c r="F210" s="55">
        <v>46025</v>
      </c>
      <c r="G210" s="59" t="s">
        <v>192</v>
      </c>
      <c r="H210" s="55">
        <v>46173</v>
      </c>
      <c r="I210" s="56" t="s">
        <v>192</v>
      </c>
      <c r="J210" s="57">
        <v>0</v>
      </c>
      <c r="K210" s="58" t="s">
        <v>937</v>
      </c>
    </row>
    <row r="211" spans="1:11" ht="51">
      <c r="A211" s="52" t="s">
        <v>687</v>
      </c>
      <c r="B211" s="53" t="s">
        <v>681</v>
      </c>
      <c r="C211" s="53" t="s">
        <v>309</v>
      </c>
      <c r="D211" s="54" t="str">
        <f>_xlfn.XLOOKUP(E211,Organograma!H:H,Organograma!G:G,"")</f>
        <v>CC - Centro Cirúrgico</v>
      </c>
      <c r="E211" s="54" t="s">
        <v>514</v>
      </c>
      <c r="F211" s="55">
        <v>46025</v>
      </c>
      <c r="G211" s="59" t="s">
        <v>192</v>
      </c>
      <c r="H211" s="55">
        <v>46173</v>
      </c>
      <c r="I211" s="56" t="s">
        <v>192</v>
      </c>
      <c r="J211" s="57">
        <v>0</v>
      </c>
      <c r="K211" s="58" t="s">
        <v>937</v>
      </c>
    </row>
    <row r="212" spans="1:11" ht="38.25">
      <c r="A212" s="52" t="s">
        <v>688</v>
      </c>
      <c r="B212" s="53" t="s">
        <v>681</v>
      </c>
      <c r="C212" s="53" t="s">
        <v>309</v>
      </c>
      <c r="D212" s="54" t="str">
        <f>_xlfn.XLOOKUP(E212,Organograma!H:H,Organograma!G:G,"")</f>
        <v>CC - Centro Cirúrgico</v>
      </c>
      <c r="E212" s="54" t="s">
        <v>514</v>
      </c>
      <c r="F212" s="55">
        <v>46025</v>
      </c>
      <c r="G212" s="59" t="s">
        <v>192</v>
      </c>
      <c r="H212" s="55">
        <v>46173</v>
      </c>
      <c r="I212" s="56" t="s">
        <v>192</v>
      </c>
      <c r="J212" s="57">
        <v>0</v>
      </c>
      <c r="K212" s="58" t="s">
        <v>937</v>
      </c>
    </row>
    <row r="213" spans="1:11" ht="51">
      <c r="A213" s="52" t="s">
        <v>689</v>
      </c>
      <c r="B213" s="53" t="s">
        <v>681</v>
      </c>
      <c r="C213" s="53" t="s">
        <v>309</v>
      </c>
      <c r="D213" s="54" t="str">
        <f>_xlfn.XLOOKUP(E213,Organograma!H:H,Organograma!G:G,"")</f>
        <v>CC - Centro Cirúrgico</v>
      </c>
      <c r="E213" s="54" t="s">
        <v>514</v>
      </c>
      <c r="F213" s="55">
        <v>46025</v>
      </c>
      <c r="G213" s="59" t="s">
        <v>192</v>
      </c>
      <c r="H213" s="55">
        <v>46173</v>
      </c>
      <c r="I213" s="56" t="s">
        <v>192</v>
      </c>
      <c r="J213" s="57">
        <v>0</v>
      </c>
      <c r="K213" s="58" t="s">
        <v>937</v>
      </c>
    </row>
    <row r="214" spans="1:11" ht="51">
      <c r="A214" s="52" t="s">
        <v>690</v>
      </c>
      <c r="B214" s="53" t="s">
        <v>681</v>
      </c>
      <c r="C214" s="53" t="s">
        <v>309</v>
      </c>
      <c r="D214" s="54" t="str">
        <f>_xlfn.XLOOKUP(E214,Organograma!H:H,Organograma!G:G,"")</f>
        <v>CC - Centro Cirúrgico</v>
      </c>
      <c r="E214" s="54" t="s">
        <v>514</v>
      </c>
      <c r="F214" s="55">
        <v>46025</v>
      </c>
      <c r="G214" s="59" t="s">
        <v>192</v>
      </c>
      <c r="H214" s="55">
        <v>46173</v>
      </c>
      <c r="I214" s="56" t="s">
        <v>192</v>
      </c>
      <c r="J214" s="57">
        <v>0</v>
      </c>
      <c r="K214" s="58" t="s">
        <v>937</v>
      </c>
    </row>
    <row r="215" spans="1:11" ht="51">
      <c r="A215" s="52" t="s">
        <v>691</v>
      </c>
      <c r="B215" s="53" t="s">
        <v>681</v>
      </c>
      <c r="C215" s="53" t="s">
        <v>309</v>
      </c>
      <c r="D215" s="54" t="str">
        <f>_xlfn.XLOOKUP(E215,Organograma!H:H,Organograma!G:G,"")</f>
        <v>CC - Centro Cirúrgico</v>
      </c>
      <c r="E215" s="54" t="s">
        <v>514</v>
      </c>
      <c r="F215" s="55">
        <v>46025</v>
      </c>
      <c r="G215" s="59" t="s">
        <v>192</v>
      </c>
      <c r="H215" s="55">
        <v>46173</v>
      </c>
      <c r="I215" s="56" t="s">
        <v>192</v>
      </c>
      <c r="J215" s="57">
        <v>0</v>
      </c>
      <c r="K215" s="58" t="s">
        <v>937</v>
      </c>
    </row>
    <row r="216" spans="1:11" ht="38.25">
      <c r="A216" s="52" t="s">
        <v>692</v>
      </c>
      <c r="B216" s="53" t="s">
        <v>681</v>
      </c>
      <c r="C216" s="53" t="s">
        <v>309</v>
      </c>
      <c r="D216" s="54" t="str">
        <f>_xlfn.XLOOKUP(E216,Organograma!H:H,Organograma!G:G,"")</f>
        <v>CC - Centro Cirúrgico</v>
      </c>
      <c r="E216" s="54" t="s">
        <v>514</v>
      </c>
      <c r="F216" s="55">
        <v>46025</v>
      </c>
      <c r="G216" s="59" t="s">
        <v>192</v>
      </c>
      <c r="H216" s="55">
        <v>46173</v>
      </c>
      <c r="I216" s="56" t="s">
        <v>192</v>
      </c>
      <c r="J216" s="57">
        <v>0</v>
      </c>
      <c r="K216" s="58" t="s">
        <v>937</v>
      </c>
    </row>
    <row r="217" spans="1:11" ht="51">
      <c r="A217" s="52" t="s">
        <v>693</v>
      </c>
      <c r="B217" s="53" t="s">
        <v>681</v>
      </c>
      <c r="C217" s="53" t="s">
        <v>309</v>
      </c>
      <c r="D217" s="54" t="str">
        <f>_xlfn.XLOOKUP(E217,Organograma!H:H,Organograma!G:G,"")</f>
        <v>CC - Centro Cirúrgico</v>
      </c>
      <c r="E217" s="54" t="s">
        <v>514</v>
      </c>
      <c r="F217" s="55">
        <v>46025</v>
      </c>
      <c r="G217" s="59" t="s">
        <v>192</v>
      </c>
      <c r="H217" s="55">
        <v>46173</v>
      </c>
      <c r="I217" s="56" t="s">
        <v>192</v>
      </c>
      <c r="J217" s="57">
        <v>0</v>
      </c>
      <c r="K217" s="58" t="s">
        <v>937</v>
      </c>
    </row>
    <row r="218" spans="1:11" ht="38.25">
      <c r="A218" s="52" t="s">
        <v>694</v>
      </c>
      <c r="B218" s="53" t="s">
        <v>681</v>
      </c>
      <c r="C218" s="53" t="s">
        <v>309</v>
      </c>
      <c r="D218" s="54" t="str">
        <f>_xlfn.XLOOKUP(E218,Organograma!H:H,Organograma!G:G,"")</f>
        <v>CC - Centro Cirúrgico</v>
      </c>
      <c r="E218" s="54" t="s">
        <v>514</v>
      </c>
      <c r="F218" s="55">
        <v>46025</v>
      </c>
      <c r="G218" s="59" t="s">
        <v>192</v>
      </c>
      <c r="H218" s="55">
        <v>46173</v>
      </c>
      <c r="I218" s="56" t="s">
        <v>192</v>
      </c>
      <c r="J218" s="57">
        <v>0</v>
      </c>
      <c r="K218" s="58" t="s">
        <v>937</v>
      </c>
    </row>
    <row r="219" spans="1:11" ht="38.25">
      <c r="A219" s="52" t="s">
        <v>695</v>
      </c>
      <c r="B219" s="53" t="s">
        <v>681</v>
      </c>
      <c r="C219" s="53" t="s">
        <v>309</v>
      </c>
      <c r="D219" s="54" t="str">
        <f>_xlfn.XLOOKUP(E219,Organograma!H:H,Organograma!G:G,"")</f>
        <v>CC - Centro Cirúrgico</v>
      </c>
      <c r="E219" s="54" t="s">
        <v>514</v>
      </c>
      <c r="F219" s="55">
        <v>46025</v>
      </c>
      <c r="G219" s="59" t="s">
        <v>192</v>
      </c>
      <c r="H219" s="55">
        <v>46173</v>
      </c>
      <c r="I219" s="56" t="s">
        <v>192</v>
      </c>
      <c r="J219" s="57">
        <v>0</v>
      </c>
      <c r="K219" s="58" t="s">
        <v>937</v>
      </c>
    </row>
    <row r="220" spans="1:11" ht="51">
      <c r="A220" s="52" t="s">
        <v>696</v>
      </c>
      <c r="B220" s="53" t="s">
        <v>681</v>
      </c>
      <c r="C220" s="53" t="s">
        <v>309</v>
      </c>
      <c r="D220" s="54" t="str">
        <f>_xlfn.XLOOKUP(E220,Organograma!H:H,Organograma!G:G,"")</f>
        <v>CC - Centro Cirúrgico</v>
      </c>
      <c r="E220" s="54" t="s">
        <v>514</v>
      </c>
      <c r="F220" s="55">
        <v>46025</v>
      </c>
      <c r="G220" s="59" t="s">
        <v>192</v>
      </c>
      <c r="H220" s="55">
        <v>46173</v>
      </c>
      <c r="I220" s="56" t="s">
        <v>192</v>
      </c>
      <c r="J220" s="57">
        <v>0</v>
      </c>
      <c r="K220" s="58" t="s">
        <v>937</v>
      </c>
    </row>
    <row r="221" spans="1:11" ht="38.25">
      <c r="A221" s="52" t="s">
        <v>697</v>
      </c>
      <c r="B221" s="53" t="s">
        <v>681</v>
      </c>
      <c r="C221" s="53" t="s">
        <v>309</v>
      </c>
      <c r="D221" s="54" t="str">
        <f>_xlfn.XLOOKUP(E221,Organograma!H:H,Organograma!G:G,"")</f>
        <v>CC - Centro Cirúrgico</v>
      </c>
      <c r="E221" s="54" t="s">
        <v>514</v>
      </c>
      <c r="F221" s="55">
        <v>46025</v>
      </c>
      <c r="G221" s="59" t="s">
        <v>192</v>
      </c>
      <c r="H221" s="55">
        <v>46173</v>
      </c>
      <c r="I221" s="56" t="s">
        <v>192</v>
      </c>
      <c r="J221" s="57">
        <v>0</v>
      </c>
      <c r="K221" s="58" t="s">
        <v>937</v>
      </c>
    </row>
    <row r="222" spans="1:11" ht="25.5">
      <c r="A222" s="52" t="s">
        <v>698</v>
      </c>
      <c r="B222" s="53" t="s">
        <v>681</v>
      </c>
      <c r="C222" s="53" t="s">
        <v>309</v>
      </c>
      <c r="D222" s="54" t="str">
        <f>_xlfn.XLOOKUP(E222,Organograma!H:H,Organograma!G:G,"")</f>
        <v>CC - Centro Cirúrgico</v>
      </c>
      <c r="E222" s="54" t="s">
        <v>514</v>
      </c>
      <c r="F222" s="55">
        <v>46025</v>
      </c>
      <c r="G222" s="59" t="s">
        <v>192</v>
      </c>
      <c r="H222" s="55">
        <v>46173</v>
      </c>
      <c r="I222" s="56" t="s">
        <v>192</v>
      </c>
      <c r="J222" s="57">
        <v>0</v>
      </c>
      <c r="K222" s="58" t="s">
        <v>937</v>
      </c>
    </row>
    <row r="223" spans="1:11" ht="25.5">
      <c r="A223" s="52" t="s">
        <v>699</v>
      </c>
      <c r="B223" s="53" t="s">
        <v>681</v>
      </c>
      <c r="C223" s="53" t="s">
        <v>309</v>
      </c>
      <c r="D223" s="54" t="str">
        <f>_xlfn.XLOOKUP(E223,Organograma!H:H,Organograma!G:G,"")</f>
        <v>CC - Centro Cirúrgico</v>
      </c>
      <c r="E223" s="54" t="s">
        <v>514</v>
      </c>
      <c r="F223" s="55">
        <v>46025</v>
      </c>
      <c r="G223" s="59" t="s">
        <v>192</v>
      </c>
      <c r="H223" s="55">
        <v>46173</v>
      </c>
      <c r="I223" s="56" t="s">
        <v>192</v>
      </c>
      <c r="J223" s="57">
        <v>0</v>
      </c>
      <c r="K223" s="58" t="s">
        <v>937</v>
      </c>
    </row>
    <row r="224" spans="1:11" ht="38.25">
      <c r="A224" s="52" t="s">
        <v>700</v>
      </c>
      <c r="B224" s="53" t="s">
        <v>681</v>
      </c>
      <c r="C224" s="53" t="s">
        <v>309</v>
      </c>
      <c r="D224" s="54" t="str">
        <f>_xlfn.XLOOKUP(E224,Organograma!H:H,Organograma!G:G,"")</f>
        <v>CC - Centro Cirúrgico</v>
      </c>
      <c r="E224" s="54" t="s">
        <v>514</v>
      </c>
      <c r="F224" s="55">
        <v>46025</v>
      </c>
      <c r="G224" s="59" t="s">
        <v>192</v>
      </c>
      <c r="H224" s="55">
        <v>46173</v>
      </c>
      <c r="I224" s="56" t="s">
        <v>192</v>
      </c>
      <c r="J224" s="57">
        <v>0</v>
      </c>
      <c r="K224" s="58" t="s">
        <v>937</v>
      </c>
    </row>
    <row r="225" spans="1:11" ht="51">
      <c r="A225" s="52" t="s">
        <v>701</v>
      </c>
      <c r="B225" s="53" t="s">
        <v>681</v>
      </c>
      <c r="C225" s="53" t="s">
        <v>309</v>
      </c>
      <c r="D225" s="54" t="str">
        <f>_xlfn.XLOOKUP(E225,Organograma!H:H,Organograma!G:G,"")</f>
        <v>CC - Centro Cirúrgico</v>
      </c>
      <c r="E225" s="54" t="s">
        <v>514</v>
      </c>
      <c r="F225" s="55">
        <v>46025</v>
      </c>
      <c r="G225" s="59" t="s">
        <v>192</v>
      </c>
      <c r="H225" s="55">
        <v>46173</v>
      </c>
      <c r="I225" s="56" t="s">
        <v>192</v>
      </c>
      <c r="J225" s="57">
        <v>0</v>
      </c>
      <c r="K225" s="58" t="s">
        <v>937</v>
      </c>
    </row>
    <row r="226" spans="1:11" ht="38.25">
      <c r="A226" s="52" t="s">
        <v>702</v>
      </c>
      <c r="B226" s="53" t="s">
        <v>681</v>
      </c>
      <c r="C226" s="53" t="s">
        <v>309</v>
      </c>
      <c r="D226" s="54" t="str">
        <f>_xlfn.XLOOKUP(E226,Organograma!H:H,Organograma!G:G,"")</f>
        <v>CC - Centro Cirúrgico</v>
      </c>
      <c r="E226" s="54" t="s">
        <v>514</v>
      </c>
      <c r="F226" s="55">
        <v>46025</v>
      </c>
      <c r="G226" s="59" t="s">
        <v>192</v>
      </c>
      <c r="H226" s="55">
        <v>46173</v>
      </c>
      <c r="I226" s="56" t="s">
        <v>192</v>
      </c>
      <c r="J226" s="57">
        <v>0</v>
      </c>
      <c r="K226" s="58" t="s">
        <v>937</v>
      </c>
    </row>
    <row r="227" spans="1:11" ht="51">
      <c r="A227" s="52" t="s">
        <v>703</v>
      </c>
      <c r="B227" s="53" t="s">
        <v>681</v>
      </c>
      <c r="C227" s="53" t="s">
        <v>309</v>
      </c>
      <c r="D227" s="54" t="str">
        <f>_xlfn.XLOOKUP(E227,Organograma!H:H,Organograma!G:G,"")</f>
        <v>CC - Centro Cirúrgico</v>
      </c>
      <c r="E227" s="54" t="s">
        <v>514</v>
      </c>
      <c r="F227" s="55">
        <v>46025</v>
      </c>
      <c r="G227" s="59" t="s">
        <v>192</v>
      </c>
      <c r="H227" s="55">
        <v>46173</v>
      </c>
      <c r="I227" s="56" t="s">
        <v>192</v>
      </c>
      <c r="J227" s="57">
        <v>0</v>
      </c>
      <c r="K227" s="58" t="s">
        <v>937</v>
      </c>
    </row>
    <row r="228" spans="1:11" ht="38.25">
      <c r="A228" s="52" t="s">
        <v>704</v>
      </c>
      <c r="B228" s="53" t="s">
        <v>681</v>
      </c>
      <c r="C228" s="53" t="s">
        <v>309</v>
      </c>
      <c r="D228" s="54" t="str">
        <f>_xlfn.XLOOKUP(E228,Organograma!H:H,Organograma!G:G,"")</f>
        <v>CC - Centro Cirúrgico</v>
      </c>
      <c r="E228" s="54" t="s">
        <v>514</v>
      </c>
      <c r="F228" s="55">
        <v>46025</v>
      </c>
      <c r="G228" s="59" t="s">
        <v>192</v>
      </c>
      <c r="H228" s="55">
        <v>46173</v>
      </c>
      <c r="I228" s="56" t="s">
        <v>192</v>
      </c>
      <c r="J228" s="57">
        <v>0</v>
      </c>
      <c r="K228" s="58" t="s">
        <v>937</v>
      </c>
    </row>
    <row r="229" spans="1:11" ht="38.25">
      <c r="A229" s="52" t="s">
        <v>705</v>
      </c>
      <c r="B229" s="53" t="s">
        <v>681</v>
      </c>
      <c r="C229" s="53" t="s">
        <v>309</v>
      </c>
      <c r="D229" s="54" t="str">
        <f>_xlfn.XLOOKUP(E229,Organograma!H:H,Organograma!G:G,"")</f>
        <v>CC - Centro Cirúrgico</v>
      </c>
      <c r="E229" s="54" t="s">
        <v>514</v>
      </c>
      <c r="F229" s="55">
        <v>46025</v>
      </c>
      <c r="G229" s="59" t="s">
        <v>192</v>
      </c>
      <c r="H229" s="55">
        <v>46173</v>
      </c>
      <c r="I229" s="56" t="s">
        <v>192</v>
      </c>
      <c r="J229" s="57">
        <v>0</v>
      </c>
      <c r="K229" s="58" t="s">
        <v>937</v>
      </c>
    </row>
    <row r="230" spans="1:11" ht="25.5">
      <c r="A230" s="52" t="s">
        <v>706</v>
      </c>
      <c r="B230" s="53" t="s">
        <v>681</v>
      </c>
      <c r="C230" s="53" t="s">
        <v>309</v>
      </c>
      <c r="D230" s="54" t="str">
        <f>_xlfn.XLOOKUP(E230,Organograma!H:H,Organograma!G:G,"")</f>
        <v>CC - Centro Cirúrgico</v>
      </c>
      <c r="E230" s="54" t="s">
        <v>514</v>
      </c>
      <c r="F230" s="55">
        <v>46025</v>
      </c>
      <c r="G230" s="59" t="s">
        <v>192</v>
      </c>
      <c r="H230" s="55">
        <v>46173</v>
      </c>
      <c r="I230" s="56" t="s">
        <v>192</v>
      </c>
      <c r="J230" s="57">
        <v>0</v>
      </c>
      <c r="K230" s="58" t="s">
        <v>937</v>
      </c>
    </row>
    <row r="231" spans="1:11" ht="51">
      <c r="A231" s="52" t="s">
        <v>707</v>
      </c>
      <c r="B231" s="53" t="s">
        <v>681</v>
      </c>
      <c r="C231" s="53" t="s">
        <v>309</v>
      </c>
      <c r="D231" s="54" t="str">
        <f>_xlfn.XLOOKUP(E231,Organograma!H:H,Organograma!G:G,"")</f>
        <v>CC - Centro Cirúrgico</v>
      </c>
      <c r="E231" s="54" t="s">
        <v>514</v>
      </c>
      <c r="F231" s="55">
        <v>46025</v>
      </c>
      <c r="G231" s="59" t="s">
        <v>192</v>
      </c>
      <c r="H231" s="55">
        <v>46173</v>
      </c>
      <c r="I231" s="56" t="s">
        <v>192</v>
      </c>
      <c r="J231" s="57">
        <v>0</v>
      </c>
      <c r="K231" s="58" t="s">
        <v>937</v>
      </c>
    </row>
    <row r="232" spans="1:11" ht="25.5">
      <c r="A232" s="52" t="s">
        <v>708</v>
      </c>
      <c r="B232" s="53" t="s">
        <v>681</v>
      </c>
      <c r="C232" s="53" t="s">
        <v>309</v>
      </c>
      <c r="D232" s="54" t="str">
        <f>_xlfn.XLOOKUP(E232,Organograma!H:H,Organograma!G:G,"")</f>
        <v>CC - Centro Cirúrgico</v>
      </c>
      <c r="E232" s="54" t="s">
        <v>514</v>
      </c>
      <c r="F232" s="55">
        <v>46025</v>
      </c>
      <c r="G232" s="59" t="s">
        <v>192</v>
      </c>
      <c r="H232" s="55">
        <v>46173</v>
      </c>
      <c r="I232" s="56" t="s">
        <v>192</v>
      </c>
      <c r="J232" s="57">
        <v>0</v>
      </c>
      <c r="K232" s="58" t="s">
        <v>937</v>
      </c>
    </row>
    <row r="233" spans="1:11" ht="38.25">
      <c r="A233" s="52" t="s">
        <v>781</v>
      </c>
      <c r="B233" s="53" t="s">
        <v>782</v>
      </c>
      <c r="C233" s="53" t="s">
        <v>309</v>
      </c>
      <c r="D233" s="54" t="str">
        <f>_xlfn.XLOOKUP(E233,Organograma!H:H,Organograma!G:G,"")</f>
        <v>CC - Centro Cirúrgico</v>
      </c>
      <c r="E233" s="54" t="s">
        <v>514</v>
      </c>
      <c r="F233" s="55">
        <v>46025</v>
      </c>
      <c r="G233" s="55">
        <v>46147</v>
      </c>
      <c r="H233" s="55">
        <v>46173</v>
      </c>
      <c r="I233" s="56" t="s">
        <v>192</v>
      </c>
      <c r="J233" s="57">
        <v>0.25</v>
      </c>
      <c r="K233" s="58" t="s">
        <v>936</v>
      </c>
    </row>
    <row r="234" spans="1:11" ht="51">
      <c r="A234" s="52" t="s">
        <v>783</v>
      </c>
      <c r="B234" s="53" t="s">
        <v>782</v>
      </c>
      <c r="C234" s="53" t="s">
        <v>309</v>
      </c>
      <c r="D234" s="54" t="str">
        <f>_xlfn.XLOOKUP(E234,Organograma!H:H,Organograma!G:G,"")</f>
        <v>CC - Centro Cirúrgico</v>
      </c>
      <c r="E234" s="54" t="s">
        <v>514</v>
      </c>
      <c r="F234" s="55">
        <v>46025</v>
      </c>
      <c r="G234" s="55">
        <v>46147</v>
      </c>
      <c r="H234" s="55">
        <v>46173</v>
      </c>
      <c r="I234" s="56" t="s">
        <v>192</v>
      </c>
      <c r="J234" s="57">
        <v>0.25</v>
      </c>
      <c r="K234" s="58" t="s">
        <v>936</v>
      </c>
    </row>
    <row r="235" spans="1:11" ht="38.25">
      <c r="A235" s="52" t="s">
        <v>784</v>
      </c>
      <c r="B235" s="53" t="s">
        <v>782</v>
      </c>
      <c r="C235" s="53" t="s">
        <v>309</v>
      </c>
      <c r="D235" s="54" t="str">
        <f>_xlfn.XLOOKUP(E235,Organograma!H:H,Organograma!G:G,"")</f>
        <v>CC - Centro Cirúrgico</v>
      </c>
      <c r="E235" s="54" t="s">
        <v>514</v>
      </c>
      <c r="F235" s="55">
        <v>46025</v>
      </c>
      <c r="G235" s="55">
        <v>46147</v>
      </c>
      <c r="H235" s="55">
        <v>46173</v>
      </c>
      <c r="I235" s="56" t="s">
        <v>192</v>
      </c>
      <c r="J235" s="57">
        <v>0.25</v>
      </c>
      <c r="K235" s="58" t="s">
        <v>936</v>
      </c>
    </row>
    <row r="236" spans="1:11" ht="51">
      <c r="A236" s="52" t="s">
        <v>785</v>
      </c>
      <c r="B236" s="53" t="s">
        <v>782</v>
      </c>
      <c r="C236" s="53" t="s">
        <v>309</v>
      </c>
      <c r="D236" s="54" t="str">
        <f>_xlfn.XLOOKUP(E236,Organograma!H:H,Organograma!G:G,"")</f>
        <v>CC - Centro Cirúrgico</v>
      </c>
      <c r="E236" s="54" t="s">
        <v>514</v>
      </c>
      <c r="F236" s="55">
        <v>46025</v>
      </c>
      <c r="G236" s="55">
        <v>46147</v>
      </c>
      <c r="H236" s="55">
        <v>46173</v>
      </c>
      <c r="I236" s="56" t="s">
        <v>192</v>
      </c>
      <c r="J236" s="57">
        <v>0.25</v>
      </c>
      <c r="K236" s="58" t="s">
        <v>936</v>
      </c>
    </row>
    <row r="237" spans="1:11" ht="51">
      <c r="A237" s="52" t="s">
        <v>786</v>
      </c>
      <c r="B237" s="53" t="s">
        <v>782</v>
      </c>
      <c r="C237" s="53" t="s">
        <v>309</v>
      </c>
      <c r="D237" s="54" t="str">
        <f>_xlfn.XLOOKUP(E237,Organograma!H:H,Organograma!G:G,"")</f>
        <v>CC - Centro Cirúrgico</v>
      </c>
      <c r="E237" s="54" t="s">
        <v>514</v>
      </c>
      <c r="F237" s="55">
        <v>46025</v>
      </c>
      <c r="G237" s="55">
        <v>46147</v>
      </c>
      <c r="H237" s="55">
        <v>46173</v>
      </c>
      <c r="I237" s="56" t="s">
        <v>192</v>
      </c>
      <c r="J237" s="57">
        <v>0.25</v>
      </c>
      <c r="K237" s="58" t="s">
        <v>936</v>
      </c>
    </row>
    <row r="238" spans="1:11" ht="51">
      <c r="A238" s="52" t="s">
        <v>787</v>
      </c>
      <c r="B238" s="53" t="s">
        <v>782</v>
      </c>
      <c r="C238" s="53" t="s">
        <v>309</v>
      </c>
      <c r="D238" s="54" t="str">
        <f>_xlfn.XLOOKUP(E238,Organograma!H:H,Organograma!G:G,"")</f>
        <v>CC - Centro Cirúrgico</v>
      </c>
      <c r="E238" s="54" t="s">
        <v>514</v>
      </c>
      <c r="F238" s="55">
        <v>46025</v>
      </c>
      <c r="G238" s="55">
        <v>46147</v>
      </c>
      <c r="H238" s="55">
        <v>46173</v>
      </c>
      <c r="I238" s="56" t="s">
        <v>192</v>
      </c>
      <c r="J238" s="57">
        <v>0.25</v>
      </c>
      <c r="K238" s="58" t="s">
        <v>936</v>
      </c>
    </row>
    <row r="239" spans="1:11" ht="38.25">
      <c r="A239" s="52" t="s">
        <v>788</v>
      </c>
      <c r="B239" s="53" t="s">
        <v>782</v>
      </c>
      <c r="C239" s="53" t="s">
        <v>309</v>
      </c>
      <c r="D239" s="54" t="str">
        <f>_xlfn.XLOOKUP(E239,Organograma!H:H,Organograma!G:G,"")</f>
        <v>CC - Centro Cirúrgico</v>
      </c>
      <c r="E239" s="54" t="s">
        <v>514</v>
      </c>
      <c r="F239" s="55">
        <v>46025</v>
      </c>
      <c r="G239" s="55">
        <v>46147</v>
      </c>
      <c r="H239" s="55">
        <v>46173</v>
      </c>
      <c r="I239" s="56" t="s">
        <v>192</v>
      </c>
      <c r="J239" s="57">
        <v>0.25</v>
      </c>
      <c r="K239" s="58" t="s">
        <v>936</v>
      </c>
    </row>
    <row r="240" spans="1:11" ht="51">
      <c r="A240" s="52" t="s">
        <v>789</v>
      </c>
      <c r="B240" s="53" t="s">
        <v>782</v>
      </c>
      <c r="C240" s="53" t="s">
        <v>309</v>
      </c>
      <c r="D240" s="54" t="str">
        <f>_xlfn.XLOOKUP(E240,Organograma!H:H,Organograma!G:G,"")</f>
        <v>CC - Centro Cirúrgico</v>
      </c>
      <c r="E240" s="54" t="s">
        <v>514</v>
      </c>
      <c r="F240" s="55">
        <v>46025</v>
      </c>
      <c r="G240" s="55">
        <v>46147</v>
      </c>
      <c r="H240" s="55">
        <v>46173</v>
      </c>
      <c r="I240" s="56" t="s">
        <v>192</v>
      </c>
      <c r="J240" s="57">
        <v>0.25</v>
      </c>
      <c r="K240" s="58" t="s">
        <v>936</v>
      </c>
    </row>
    <row r="241" spans="1:11" ht="38.25">
      <c r="A241" s="52" t="s">
        <v>792</v>
      </c>
      <c r="B241" s="53" t="s">
        <v>782</v>
      </c>
      <c r="C241" s="53" t="s">
        <v>309</v>
      </c>
      <c r="D241" s="54" t="str">
        <f>_xlfn.XLOOKUP(E241,Organograma!H:H,Organograma!G:G,"")</f>
        <v>CC - Centro Cirúrgico</v>
      </c>
      <c r="E241" s="54" t="s">
        <v>514</v>
      </c>
      <c r="F241" s="55">
        <v>46025</v>
      </c>
      <c r="G241" s="55">
        <v>46147</v>
      </c>
      <c r="H241" s="55">
        <v>46173</v>
      </c>
      <c r="I241" s="56" t="s">
        <v>192</v>
      </c>
      <c r="J241" s="57">
        <v>0.25</v>
      </c>
      <c r="K241" s="58" t="s">
        <v>936</v>
      </c>
    </row>
    <row r="242" spans="1:11" ht="38.25">
      <c r="A242" s="52" t="s">
        <v>793</v>
      </c>
      <c r="B242" s="53" t="s">
        <v>782</v>
      </c>
      <c r="C242" s="53" t="s">
        <v>309</v>
      </c>
      <c r="D242" s="54" t="str">
        <f>_xlfn.XLOOKUP(E242,Organograma!H:H,Organograma!G:G,"")</f>
        <v>CC - Centro Cirúrgico</v>
      </c>
      <c r="E242" s="54" t="s">
        <v>514</v>
      </c>
      <c r="F242" s="55">
        <v>46025</v>
      </c>
      <c r="G242" s="55">
        <v>46147</v>
      </c>
      <c r="H242" s="55">
        <v>46173</v>
      </c>
      <c r="I242" s="56" t="s">
        <v>192</v>
      </c>
      <c r="J242" s="57">
        <v>0.5</v>
      </c>
      <c r="K242" s="58" t="s">
        <v>936</v>
      </c>
    </row>
    <row r="243" spans="1:11" ht="38.25">
      <c r="A243" s="52" t="s">
        <v>830</v>
      </c>
      <c r="B243" s="53" t="s">
        <v>824</v>
      </c>
      <c r="C243" s="53" t="s">
        <v>309</v>
      </c>
      <c r="D243" s="54" t="str">
        <f>_xlfn.XLOOKUP(E243,Organograma!H:H,Organograma!G:G,"")</f>
        <v>BLH - Banco de Leite Humano</v>
      </c>
      <c r="E243" s="54" t="s">
        <v>831</v>
      </c>
      <c r="F243" s="55">
        <v>46025</v>
      </c>
      <c r="G243" s="55">
        <v>46328</v>
      </c>
      <c r="H243" s="55">
        <v>46173</v>
      </c>
      <c r="I243" s="56" t="s">
        <v>192</v>
      </c>
      <c r="J243" s="57">
        <v>0.75</v>
      </c>
      <c r="K243" s="58" t="s">
        <v>936</v>
      </c>
    </row>
    <row r="244" spans="1:11" ht="25.5">
      <c r="A244" s="52" t="s">
        <v>227</v>
      </c>
      <c r="B244" s="53" t="s">
        <v>225</v>
      </c>
      <c r="C244" s="54" t="s">
        <v>218</v>
      </c>
      <c r="D244" s="54" t="str">
        <f>_xlfn.XLOOKUP(E244,Organograma!H:H,Organograma!G:G,"")</f>
        <v>SUP - Suprimentos</v>
      </c>
      <c r="E244" s="54" t="s">
        <v>228</v>
      </c>
      <c r="F244" s="55">
        <v>46026</v>
      </c>
      <c r="G244" s="59" t="s">
        <v>192</v>
      </c>
      <c r="H244" s="55">
        <v>46326</v>
      </c>
      <c r="I244" s="56" t="s">
        <v>192</v>
      </c>
      <c r="J244" s="57">
        <v>0</v>
      </c>
      <c r="K244" s="58" t="s">
        <v>937</v>
      </c>
    </row>
    <row r="245" spans="1:11" ht="25.5">
      <c r="A245" s="63" t="s">
        <v>938</v>
      </c>
      <c r="B245" s="53" t="s">
        <v>225</v>
      </c>
      <c r="C245" s="54" t="s">
        <v>218</v>
      </c>
      <c r="D245" s="54" t="str">
        <f>_xlfn.XLOOKUP(E245,Organograma!H:H,Organograma!G:G,"")</f>
        <v>SUP - Suprimentos</v>
      </c>
      <c r="E245" s="54" t="s">
        <v>228</v>
      </c>
      <c r="F245" s="62">
        <v>46082</v>
      </c>
      <c r="G245" s="59" t="s">
        <v>192</v>
      </c>
      <c r="H245" s="62">
        <v>46233</v>
      </c>
      <c r="I245" s="56"/>
      <c r="J245" s="57">
        <v>0</v>
      </c>
      <c r="K245" s="58" t="s">
        <v>937</v>
      </c>
    </row>
    <row r="246" spans="1:11" ht="51">
      <c r="A246" s="52" t="s">
        <v>800</v>
      </c>
      <c r="B246" s="53" t="s">
        <v>801</v>
      </c>
      <c r="C246" s="53" t="s">
        <v>309</v>
      </c>
      <c r="D246" s="54" t="str">
        <f>_xlfn.XLOOKUP(E246,Organograma!H:H,Organograma!G:G,"")</f>
        <v>SUP - Suprimentos</v>
      </c>
      <c r="E246" s="54" t="s">
        <v>228</v>
      </c>
      <c r="F246" s="55">
        <v>46025</v>
      </c>
      <c r="G246" s="59" t="s">
        <v>192</v>
      </c>
      <c r="H246" s="55">
        <v>46173</v>
      </c>
      <c r="I246" s="56" t="s">
        <v>192</v>
      </c>
      <c r="J246" s="57">
        <v>0</v>
      </c>
      <c r="K246" s="58" t="s">
        <v>937</v>
      </c>
    </row>
    <row r="247" spans="1:11" ht="38.25">
      <c r="A247" s="52" t="s">
        <v>802</v>
      </c>
      <c r="B247" s="53" t="s">
        <v>801</v>
      </c>
      <c r="C247" s="53" t="s">
        <v>309</v>
      </c>
      <c r="D247" s="54" t="str">
        <f>_xlfn.XLOOKUP(E247,Organograma!H:H,Organograma!G:G,"")</f>
        <v>SUP - Suprimentos</v>
      </c>
      <c r="E247" s="54" t="s">
        <v>228</v>
      </c>
      <c r="F247" s="55">
        <v>46025</v>
      </c>
      <c r="G247" s="59" t="s">
        <v>192</v>
      </c>
      <c r="H247" s="55">
        <v>46173</v>
      </c>
      <c r="I247" s="56" t="s">
        <v>192</v>
      </c>
      <c r="J247" s="57">
        <v>0</v>
      </c>
      <c r="K247" s="58" t="s">
        <v>937</v>
      </c>
    </row>
    <row r="248" spans="1:11" ht="38.25">
      <c r="A248" s="52" t="s">
        <v>803</v>
      </c>
      <c r="B248" s="53" t="s">
        <v>801</v>
      </c>
      <c r="C248" s="53" t="s">
        <v>309</v>
      </c>
      <c r="D248" s="54" t="str">
        <f>_xlfn.XLOOKUP(E248,Organograma!H:H,Organograma!G:G,"")</f>
        <v>SUP - Suprimentos</v>
      </c>
      <c r="E248" s="54" t="s">
        <v>228</v>
      </c>
      <c r="F248" s="55">
        <v>46025</v>
      </c>
      <c r="G248" s="59" t="s">
        <v>192</v>
      </c>
      <c r="H248" s="55">
        <v>46173</v>
      </c>
      <c r="I248" s="56" t="s">
        <v>192</v>
      </c>
      <c r="J248" s="57">
        <v>0</v>
      </c>
      <c r="K248" s="58" t="s">
        <v>937</v>
      </c>
    </row>
    <row r="249" spans="1:11" ht="38.25">
      <c r="A249" s="52" t="s">
        <v>804</v>
      </c>
      <c r="B249" s="53" t="s">
        <v>801</v>
      </c>
      <c r="C249" s="53" t="s">
        <v>309</v>
      </c>
      <c r="D249" s="54" t="str">
        <f>_xlfn.XLOOKUP(E249,Organograma!H:H,Organograma!G:G,"")</f>
        <v>SUP - Suprimentos</v>
      </c>
      <c r="E249" s="54" t="s">
        <v>228</v>
      </c>
      <c r="F249" s="55">
        <v>46025</v>
      </c>
      <c r="G249" s="55">
        <v>46095</v>
      </c>
      <c r="H249" s="55">
        <v>46173</v>
      </c>
      <c r="I249" s="56" t="s">
        <v>192</v>
      </c>
      <c r="J249" s="57">
        <v>0.75</v>
      </c>
      <c r="K249" s="58" t="s">
        <v>936</v>
      </c>
    </row>
    <row r="250" spans="1:11" ht="38.25">
      <c r="A250" s="52" t="s">
        <v>805</v>
      </c>
      <c r="B250" s="53" t="s">
        <v>801</v>
      </c>
      <c r="C250" s="53" t="s">
        <v>309</v>
      </c>
      <c r="D250" s="54" t="str">
        <f>_xlfn.XLOOKUP(E250,Organograma!H:H,Organograma!G:G,"")</f>
        <v>SUP - Suprimentos</v>
      </c>
      <c r="E250" s="54" t="s">
        <v>228</v>
      </c>
      <c r="F250" s="55">
        <v>46025</v>
      </c>
      <c r="G250" s="55">
        <v>46095</v>
      </c>
      <c r="H250" s="55">
        <v>46173</v>
      </c>
      <c r="I250" s="56" t="s">
        <v>192</v>
      </c>
      <c r="J250" s="57">
        <v>0.75</v>
      </c>
      <c r="K250" s="58" t="s">
        <v>936</v>
      </c>
    </row>
    <row r="251" spans="1:11" ht="51">
      <c r="A251" s="52" t="s">
        <v>806</v>
      </c>
      <c r="B251" s="53" t="s">
        <v>801</v>
      </c>
      <c r="C251" s="53" t="s">
        <v>309</v>
      </c>
      <c r="D251" s="54" t="str">
        <f>_xlfn.XLOOKUP(E251,Organograma!H:H,Organograma!G:G,"")</f>
        <v>SUP - Suprimentos</v>
      </c>
      <c r="E251" s="54" t="s">
        <v>228</v>
      </c>
      <c r="F251" s="55">
        <v>46025</v>
      </c>
      <c r="G251" s="55">
        <v>46095</v>
      </c>
      <c r="H251" s="55">
        <v>46173</v>
      </c>
      <c r="I251" s="56" t="s">
        <v>192</v>
      </c>
      <c r="J251" s="57">
        <v>0.75</v>
      </c>
      <c r="K251" s="58" t="s">
        <v>936</v>
      </c>
    </row>
    <row r="252" spans="1:11" ht="38.25">
      <c r="A252" s="52" t="s">
        <v>807</v>
      </c>
      <c r="B252" s="53" t="s">
        <v>801</v>
      </c>
      <c r="C252" s="53" t="s">
        <v>309</v>
      </c>
      <c r="D252" s="54" t="str">
        <f>_xlfn.XLOOKUP(E252,Organograma!H:H,Organograma!G:G,"")</f>
        <v>SUP - Suprimentos</v>
      </c>
      <c r="E252" s="54" t="s">
        <v>228</v>
      </c>
      <c r="F252" s="55">
        <v>46025</v>
      </c>
      <c r="G252" s="55">
        <v>46095</v>
      </c>
      <c r="H252" s="55">
        <v>46173</v>
      </c>
      <c r="I252" s="56" t="s">
        <v>192</v>
      </c>
      <c r="J252" s="57">
        <v>0.75</v>
      </c>
      <c r="K252" s="58" t="s">
        <v>936</v>
      </c>
    </row>
    <row r="253" spans="1:11" ht="38.25">
      <c r="A253" s="52" t="s">
        <v>808</v>
      </c>
      <c r="B253" s="53" t="s">
        <v>801</v>
      </c>
      <c r="C253" s="53" t="s">
        <v>309</v>
      </c>
      <c r="D253" s="54" t="str">
        <f>_xlfn.XLOOKUP(E253,Organograma!H:H,Organograma!G:G,"")</f>
        <v>SUP - Suprimentos</v>
      </c>
      <c r="E253" s="54" t="s">
        <v>228</v>
      </c>
      <c r="F253" s="55">
        <v>46025</v>
      </c>
      <c r="G253" s="55">
        <v>46095</v>
      </c>
      <c r="H253" s="55">
        <v>46173</v>
      </c>
      <c r="I253" s="56" t="s">
        <v>192</v>
      </c>
      <c r="J253" s="57">
        <v>0.5</v>
      </c>
      <c r="K253" s="58" t="s">
        <v>936</v>
      </c>
    </row>
    <row r="254" spans="1:11" ht="51">
      <c r="A254" s="52" t="s">
        <v>750</v>
      </c>
      <c r="B254" s="53" t="s">
        <v>751</v>
      </c>
      <c r="C254" s="53" t="s">
        <v>309</v>
      </c>
      <c r="D254" s="54" t="str">
        <f>_xlfn.XLOOKUP(E254,Organograma!H:H,Organograma!G:G,"")</f>
        <v>ENG - Núcleo de Engenharia Clínica</v>
      </c>
      <c r="E254" s="54" t="s">
        <v>752</v>
      </c>
      <c r="F254" s="55">
        <v>46025</v>
      </c>
      <c r="G254" s="55">
        <v>46084</v>
      </c>
      <c r="H254" s="55">
        <v>46173</v>
      </c>
      <c r="I254" s="56" t="s">
        <v>192</v>
      </c>
      <c r="J254" s="57">
        <v>0.75</v>
      </c>
      <c r="K254" s="58" t="s">
        <v>936</v>
      </c>
    </row>
    <row r="255" spans="1:11" ht="38.25">
      <c r="A255" s="52" t="s">
        <v>753</v>
      </c>
      <c r="B255" s="53" t="s">
        <v>751</v>
      </c>
      <c r="C255" s="53" t="s">
        <v>309</v>
      </c>
      <c r="D255" s="54" t="str">
        <f>_xlfn.XLOOKUP(E255,Organograma!H:H,Organograma!G:G,"")</f>
        <v>ENG - Núcleo de Engenharia Clínica</v>
      </c>
      <c r="E255" s="54" t="s">
        <v>752</v>
      </c>
      <c r="F255" s="55">
        <v>46025</v>
      </c>
      <c r="G255" s="55">
        <v>46084</v>
      </c>
      <c r="H255" s="55">
        <v>46173</v>
      </c>
      <c r="I255" s="56" t="s">
        <v>192</v>
      </c>
      <c r="J255" s="57">
        <v>0.75</v>
      </c>
      <c r="K255" s="58" t="s">
        <v>936</v>
      </c>
    </row>
    <row r="256" spans="1:11" ht="51">
      <c r="A256" s="52" t="s">
        <v>754</v>
      </c>
      <c r="B256" s="53" t="s">
        <v>751</v>
      </c>
      <c r="C256" s="53" t="s">
        <v>309</v>
      </c>
      <c r="D256" s="54" t="str">
        <f>_xlfn.XLOOKUP(E256,Organograma!H:H,Organograma!G:G,"")</f>
        <v>ENG - Núcleo de Engenharia Clínica</v>
      </c>
      <c r="E256" s="54" t="s">
        <v>752</v>
      </c>
      <c r="F256" s="55">
        <v>46025</v>
      </c>
      <c r="G256" s="55">
        <v>46084</v>
      </c>
      <c r="H256" s="55">
        <v>46173</v>
      </c>
      <c r="I256" s="56" t="s">
        <v>192</v>
      </c>
      <c r="J256" s="57">
        <v>0.5</v>
      </c>
      <c r="K256" s="58" t="s">
        <v>936</v>
      </c>
    </row>
    <row r="257" spans="1:11" ht="38.25">
      <c r="A257" s="52" t="s">
        <v>755</v>
      </c>
      <c r="B257" s="53" t="s">
        <v>751</v>
      </c>
      <c r="C257" s="53" t="s">
        <v>309</v>
      </c>
      <c r="D257" s="54" t="str">
        <f>_xlfn.XLOOKUP(E257,Organograma!H:H,Organograma!G:G,"")</f>
        <v>ENG - Núcleo de Engenharia Clínica</v>
      </c>
      <c r="E257" s="54" t="s">
        <v>752</v>
      </c>
      <c r="F257" s="55">
        <v>46025</v>
      </c>
      <c r="G257" s="55">
        <v>46084</v>
      </c>
      <c r="H257" s="55">
        <v>46173</v>
      </c>
      <c r="I257" s="56" t="s">
        <v>192</v>
      </c>
      <c r="J257" s="57">
        <v>1</v>
      </c>
      <c r="K257" s="58" t="s">
        <v>935</v>
      </c>
    </row>
    <row r="258" spans="1:11" ht="38.25">
      <c r="A258" s="52" t="s">
        <v>756</v>
      </c>
      <c r="B258" s="53" t="s">
        <v>751</v>
      </c>
      <c r="C258" s="53" t="s">
        <v>309</v>
      </c>
      <c r="D258" s="54" t="str">
        <f>_xlfn.XLOOKUP(E258,Organograma!H:H,Organograma!G:G,"")</f>
        <v>ENG - Núcleo de Engenharia Clínica</v>
      </c>
      <c r="E258" s="54" t="s">
        <v>752</v>
      </c>
      <c r="F258" s="55">
        <v>46025</v>
      </c>
      <c r="G258" s="55">
        <v>46084</v>
      </c>
      <c r="H258" s="55">
        <v>46173</v>
      </c>
      <c r="I258" s="61">
        <v>46142</v>
      </c>
      <c r="J258" s="57">
        <v>1</v>
      </c>
      <c r="K258" s="58" t="s">
        <v>935</v>
      </c>
    </row>
    <row r="259" spans="1:11" ht="38.25">
      <c r="A259" s="52" t="s">
        <v>757</v>
      </c>
      <c r="B259" s="53" t="s">
        <v>751</v>
      </c>
      <c r="C259" s="53" t="s">
        <v>309</v>
      </c>
      <c r="D259" s="54" t="str">
        <f>_xlfn.XLOOKUP(E259,Organograma!H:H,Organograma!G:G,"")</f>
        <v>ENG - Núcleo de Engenharia Clínica</v>
      </c>
      <c r="E259" s="54" t="s">
        <v>752</v>
      </c>
      <c r="F259" s="55">
        <v>46025</v>
      </c>
      <c r="G259" s="55">
        <v>46142</v>
      </c>
      <c r="H259" s="55">
        <v>46173</v>
      </c>
      <c r="I259" s="56" t="s">
        <v>192</v>
      </c>
      <c r="J259" s="57">
        <v>0.75</v>
      </c>
      <c r="K259" s="58" t="s">
        <v>936</v>
      </c>
    </row>
    <row r="260" spans="1:11" ht="38.25">
      <c r="A260" s="52" t="s">
        <v>758</v>
      </c>
      <c r="B260" s="53" t="s">
        <v>751</v>
      </c>
      <c r="C260" s="53" t="s">
        <v>309</v>
      </c>
      <c r="D260" s="54" t="str">
        <f>_xlfn.XLOOKUP(E260,Organograma!H:H,Organograma!G:G,"")</f>
        <v>ENG - Núcleo de Engenharia Clínica</v>
      </c>
      <c r="E260" s="54" t="s">
        <v>752</v>
      </c>
      <c r="F260" s="55">
        <v>46025</v>
      </c>
      <c r="G260" s="55">
        <v>46084</v>
      </c>
      <c r="H260" s="55">
        <v>46173</v>
      </c>
      <c r="I260" s="56" t="s">
        <v>192</v>
      </c>
      <c r="J260" s="57">
        <v>0.75</v>
      </c>
      <c r="K260" s="58" t="s">
        <v>936</v>
      </c>
    </row>
    <row r="261" spans="1:11" ht="51">
      <c r="A261" s="52" t="s">
        <v>759</v>
      </c>
      <c r="B261" s="53" t="s">
        <v>751</v>
      </c>
      <c r="C261" s="53" t="s">
        <v>309</v>
      </c>
      <c r="D261" s="54" t="str">
        <f>_xlfn.XLOOKUP(E261,Organograma!H:H,Organograma!G:G,"")</f>
        <v>ENG - Núcleo de Engenharia Clínica</v>
      </c>
      <c r="E261" s="54" t="s">
        <v>752</v>
      </c>
      <c r="F261" s="55">
        <v>46025</v>
      </c>
      <c r="G261" s="55">
        <v>46084</v>
      </c>
      <c r="H261" s="55">
        <v>46173</v>
      </c>
      <c r="I261" s="56" t="s">
        <v>192</v>
      </c>
      <c r="J261" s="57">
        <v>1</v>
      </c>
      <c r="K261" s="58" t="s">
        <v>935</v>
      </c>
    </row>
    <row r="262" spans="1:11" ht="51">
      <c r="A262" s="52" t="s">
        <v>760</v>
      </c>
      <c r="B262" s="53" t="s">
        <v>751</v>
      </c>
      <c r="C262" s="53" t="s">
        <v>309</v>
      </c>
      <c r="D262" s="54" t="str">
        <f>_xlfn.XLOOKUP(E262,Organograma!H:H,Organograma!G:G,"")</f>
        <v>ENG - Núcleo de Engenharia Clínica</v>
      </c>
      <c r="E262" s="54" t="s">
        <v>752</v>
      </c>
      <c r="F262" s="55">
        <v>46025</v>
      </c>
      <c r="G262" s="55">
        <v>46142</v>
      </c>
      <c r="H262" s="55">
        <v>46173</v>
      </c>
      <c r="I262" s="56" t="s">
        <v>192</v>
      </c>
      <c r="J262" s="57">
        <v>1</v>
      </c>
      <c r="K262" s="58" t="s">
        <v>935</v>
      </c>
    </row>
    <row r="263" spans="1:11" ht="38.25">
      <c r="A263" s="52" t="s">
        <v>761</v>
      </c>
      <c r="B263" s="53" t="s">
        <v>751</v>
      </c>
      <c r="C263" s="53" t="s">
        <v>309</v>
      </c>
      <c r="D263" s="54" t="str">
        <f>_xlfn.XLOOKUP(E263,Organograma!H:H,Organograma!G:G,"")</f>
        <v>ENG - Núcleo de Engenharia Clínica</v>
      </c>
      <c r="E263" s="54" t="s">
        <v>752</v>
      </c>
      <c r="F263" s="55">
        <v>46025</v>
      </c>
      <c r="G263" s="59" t="s">
        <v>192</v>
      </c>
      <c r="H263" s="55">
        <v>46173</v>
      </c>
      <c r="I263" s="56" t="s">
        <v>192</v>
      </c>
      <c r="J263" s="57">
        <v>0</v>
      </c>
      <c r="K263" s="58" t="s">
        <v>937</v>
      </c>
    </row>
    <row r="264" spans="1:11" ht="38.25">
      <c r="A264" s="52" t="s">
        <v>762</v>
      </c>
      <c r="B264" s="53" t="s">
        <v>751</v>
      </c>
      <c r="C264" s="53" t="s">
        <v>309</v>
      </c>
      <c r="D264" s="54" t="str">
        <f>_xlfn.XLOOKUP(E264,Organograma!H:H,Organograma!G:G,"")</f>
        <v>ENG - Núcleo de Engenharia Clínica</v>
      </c>
      <c r="E264" s="54" t="s">
        <v>752</v>
      </c>
      <c r="F264" s="55">
        <v>46025</v>
      </c>
      <c r="G264" s="55">
        <v>46084</v>
      </c>
      <c r="H264" s="55">
        <v>46173</v>
      </c>
      <c r="I264" s="56" t="s">
        <v>192</v>
      </c>
      <c r="J264" s="57">
        <v>0.5</v>
      </c>
      <c r="K264" s="58" t="s">
        <v>936</v>
      </c>
    </row>
    <row r="265" spans="1:11" ht="51">
      <c r="A265" s="52" t="s">
        <v>763</v>
      </c>
      <c r="B265" s="53" t="s">
        <v>751</v>
      </c>
      <c r="C265" s="53" t="s">
        <v>309</v>
      </c>
      <c r="D265" s="54" t="str">
        <f>_xlfn.XLOOKUP(E265,Organograma!H:H,Organograma!G:G,"")</f>
        <v>ENG - Núcleo de Engenharia Clínica</v>
      </c>
      <c r="E265" s="54" t="s">
        <v>752</v>
      </c>
      <c r="F265" s="55">
        <v>46025</v>
      </c>
      <c r="G265" s="55">
        <v>46084</v>
      </c>
      <c r="H265" s="55">
        <v>46173</v>
      </c>
      <c r="I265" s="56" t="s">
        <v>192</v>
      </c>
      <c r="J265" s="57">
        <v>0.75</v>
      </c>
      <c r="K265" s="58" t="s">
        <v>936</v>
      </c>
    </row>
    <row r="266" spans="1:11" ht="51">
      <c r="A266" s="52" t="s">
        <v>764</v>
      </c>
      <c r="B266" s="53" t="s">
        <v>751</v>
      </c>
      <c r="C266" s="53" t="s">
        <v>309</v>
      </c>
      <c r="D266" s="54" t="str">
        <f>_xlfn.XLOOKUP(E266,Organograma!H:H,Organograma!G:G,"")</f>
        <v>ENG - Núcleo de Engenharia Clínica</v>
      </c>
      <c r="E266" s="54" t="s">
        <v>752</v>
      </c>
      <c r="F266" s="55">
        <v>46025</v>
      </c>
      <c r="G266" s="55">
        <v>46084</v>
      </c>
      <c r="H266" s="55">
        <v>46173</v>
      </c>
      <c r="I266" s="56" t="s">
        <v>192</v>
      </c>
      <c r="J266" s="57">
        <v>0.75</v>
      </c>
      <c r="K266" s="58" t="s">
        <v>936</v>
      </c>
    </row>
    <row r="267" spans="1:11" ht="38.25">
      <c r="A267" s="52" t="s">
        <v>765</v>
      </c>
      <c r="B267" s="53" t="s">
        <v>766</v>
      </c>
      <c r="C267" s="53" t="s">
        <v>309</v>
      </c>
      <c r="D267" s="54" t="str">
        <f>_xlfn.XLOOKUP(E267,Organograma!H:H,Organograma!G:G,"")</f>
        <v>ENG - Núcleo de Engenharia Clínica</v>
      </c>
      <c r="E267" s="54" t="s">
        <v>752</v>
      </c>
      <c r="F267" s="55">
        <v>46025</v>
      </c>
      <c r="G267" s="55">
        <v>46106</v>
      </c>
      <c r="H267" s="55">
        <v>46173</v>
      </c>
      <c r="I267" s="56" t="s">
        <v>192</v>
      </c>
      <c r="J267" s="57">
        <v>0.75</v>
      </c>
      <c r="K267" s="58" t="s">
        <v>936</v>
      </c>
    </row>
    <row r="268" spans="1:11" ht="51">
      <c r="A268" s="52" t="s">
        <v>767</v>
      </c>
      <c r="B268" s="53" t="s">
        <v>766</v>
      </c>
      <c r="C268" s="53" t="s">
        <v>309</v>
      </c>
      <c r="D268" s="54" t="str">
        <f>_xlfn.XLOOKUP(E268,Organograma!H:H,Organograma!G:G,"")</f>
        <v>ENG - Núcleo de Engenharia Clínica</v>
      </c>
      <c r="E268" s="54" t="s">
        <v>752</v>
      </c>
      <c r="F268" s="55">
        <v>46025</v>
      </c>
      <c r="G268" s="55">
        <v>46106</v>
      </c>
      <c r="H268" s="55">
        <v>46173</v>
      </c>
      <c r="I268" s="56" t="s">
        <v>192</v>
      </c>
      <c r="J268" s="57">
        <v>0.75</v>
      </c>
      <c r="K268" s="58" t="s">
        <v>936</v>
      </c>
    </row>
    <row r="269" spans="1:11" ht="38.25">
      <c r="A269" s="52" t="s">
        <v>768</v>
      </c>
      <c r="B269" s="53" t="s">
        <v>766</v>
      </c>
      <c r="C269" s="53" t="s">
        <v>309</v>
      </c>
      <c r="D269" s="54" t="str">
        <f>_xlfn.XLOOKUP(E269,Organograma!H:H,Organograma!G:G,"")</f>
        <v>ENG - Núcleo de Engenharia Clínica</v>
      </c>
      <c r="E269" s="54" t="s">
        <v>752</v>
      </c>
      <c r="F269" s="55">
        <v>46025</v>
      </c>
      <c r="G269" s="55">
        <v>46106</v>
      </c>
      <c r="H269" s="55">
        <v>46173</v>
      </c>
      <c r="I269" s="56" t="s">
        <v>192</v>
      </c>
      <c r="J269" s="57">
        <v>0.25</v>
      </c>
      <c r="K269" s="58" t="s">
        <v>936</v>
      </c>
    </row>
    <row r="270" spans="1:11" ht="38.25">
      <c r="A270" s="52" t="s">
        <v>769</v>
      </c>
      <c r="B270" s="53" t="s">
        <v>766</v>
      </c>
      <c r="C270" s="53" t="s">
        <v>309</v>
      </c>
      <c r="D270" s="54" t="str">
        <f>_xlfn.XLOOKUP(E270,Organograma!H:H,Organograma!G:G,"")</f>
        <v>ENG - Núcleo de Engenharia Clínica</v>
      </c>
      <c r="E270" s="54" t="s">
        <v>752</v>
      </c>
      <c r="F270" s="55">
        <v>46025</v>
      </c>
      <c r="G270" s="55">
        <v>46106</v>
      </c>
      <c r="H270" s="55">
        <v>46173</v>
      </c>
      <c r="I270" s="56" t="s">
        <v>192</v>
      </c>
      <c r="J270" s="57">
        <v>0.25</v>
      </c>
      <c r="K270" s="58" t="s">
        <v>936</v>
      </c>
    </row>
    <row r="271" spans="1:11" ht="25.5">
      <c r="A271" s="52" t="s">
        <v>770</v>
      </c>
      <c r="B271" s="53" t="s">
        <v>766</v>
      </c>
      <c r="C271" s="53" t="s">
        <v>309</v>
      </c>
      <c r="D271" s="54" t="str">
        <f>_xlfn.XLOOKUP(E271,Organograma!H:H,Organograma!G:G,"")</f>
        <v>ENG - Núcleo de Engenharia Clínica</v>
      </c>
      <c r="E271" s="54" t="s">
        <v>752</v>
      </c>
      <c r="F271" s="55">
        <v>46025</v>
      </c>
      <c r="G271" s="55">
        <v>46024</v>
      </c>
      <c r="H271" s="55">
        <v>46173</v>
      </c>
      <c r="I271" s="56" t="s">
        <v>192</v>
      </c>
      <c r="J271" s="57">
        <v>0.25</v>
      </c>
      <c r="K271" s="58" t="s">
        <v>936</v>
      </c>
    </row>
    <row r="272" spans="1:11" ht="38.25">
      <c r="A272" s="52" t="s">
        <v>771</v>
      </c>
      <c r="B272" s="53" t="s">
        <v>766</v>
      </c>
      <c r="C272" s="53" t="s">
        <v>309</v>
      </c>
      <c r="D272" s="54" t="str">
        <f>_xlfn.XLOOKUP(E272,Organograma!H:H,Organograma!G:G,"")</f>
        <v>ENG - Núcleo de Engenharia Clínica</v>
      </c>
      <c r="E272" s="54" t="s">
        <v>752</v>
      </c>
      <c r="F272" s="55">
        <v>46025</v>
      </c>
      <c r="G272" s="55">
        <v>46024</v>
      </c>
      <c r="H272" s="55">
        <v>46173</v>
      </c>
      <c r="I272" s="56" t="s">
        <v>192</v>
      </c>
      <c r="J272" s="57">
        <v>0.25</v>
      </c>
      <c r="K272" s="58" t="s">
        <v>936</v>
      </c>
    </row>
    <row r="273" spans="1:11" ht="25.5">
      <c r="A273" s="52" t="s">
        <v>772</v>
      </c>
      <c r="B273" s="53" t="s">
        <v>766</v>
      </c>
      <c r="C273" s="53" t="s">
        <v>309</v>
      </c>
      <c r="D273" s="54" t="str">
        <f>_xlfn.XLOOKUP(E273,Organograma!H:H,Organograma!G:G,"")</f>
        <v>ENG - Núcleo de Engenharia Clínica</v>
      </c>
      <c r="E273" s="54" t="s">
        <v>752</v>
      </c>
      <c r="F273" s="55">
        <v>46025</v>
      </c>
      <c r="G273" s="55">
        <v>46024</v>
      </c>
      <c r="H273" s="55">
        <v>46173</v>
      </c>
      <c r="I273" s="56" t="s">
        <v>192</v>
      </c>
      <c r="J273" s="57">
        <v>0.25</v>
      </c>
      <c r="K273" s="58" t="s">
        <v>936</v>
      </c>
    </row>
    <row r="274" spans="1:11" ht="51">
      <c r="A274" s="52" t="s">
        <v>773</v>
      </c>
      <c r="B274" s="53" t="s">
        <v>766</v>
      </c>
      <c r="C274" s="53" t="s">
        <v>309</v>
      </c>
      <c r="D274" s="54" t="str">
        <f>_xlfn.XLOOKUP(E274,Organograma!H:H,Organograma!G:G,"")</f>
        <v>ENG - Núcleo de Engenharia Clínica</v>
      </c>
      <c r="E274" s="54" t="s">
        <v>752</v>
      </c>
      <c r="F274" s="55">
        <v>46025</v>
      </c>
      <c r="G274" s="55">
        <v>46024</v>
      </c>
      <c r="H274" s="55">
        <v>46173</v>
      </c>
      <c r="I274" s="56" t="s">
        <v>192</v>
      </c>
      <c r="J274" s="57">
        <v>0.25</v>
      </c>
      <c r="K274" s="58" t="s">
        <v>936</v>
      </c>
    </row>
    <row r="275" spans="1:11" ht="38.25">
      <c r="A275" s="52" t="s">
        <v>774</v>
      </c>
      <c r="B275" s="53" t="s">
        <v>766</v>
      </c>
      <c r="C275" s="53" t="s">
        <v>309</v>
      </c>
      <c r="D275" s="54" t="str">
        <f>_xlfn.XLOOKUP(E275,Organograma!H:H,Organograma!G:G,"")</f>
        <v>ENG - Núcleo de Engenharia Clínica</v>
      </c>
      <c r="E275" s="54" t="s">
        <v>752</v>
      </c>
      <c r="F275" s="55">
        <v>46025</v>
      </c>
      <c r="G275" s="55">
        <v>46024</v>
      </c>
      <c r="H275" s="55">
        <v>46173</v>
      </c>
      <c r="I275" s="56" t="s">
        <v>192</v>
      </c>
      <c r="J275" s="57">
        <v>0.25</v>
      </c>
      <c r="K275" s="58" t="s">
        <v>936</v>
      </c>
    </row>
    <row r="276" spans="1:11" ht="51">
      <c r="A276" s="52" t="s">
        <v>775</v>
      </c>
      <c r="B276" s="53" t="s">
        <v>766</v>
      </c>
      <c r="C276" s="53" t="s">
        <v>309</v>
      </c>
      <c r="D276" s="54" t="str">
        <f>_xlfn.XLOOKUP(E276,Organograma!H:H,Organograma!G:G,"")</f>
        <v>ENG - Núcleo de Engenharia Clínica</v>
      </c>
      <c r="E276" s="54" t="s">
        <v>752</v>
      </c>
      <c r="F276" s="55">
        <v>46025</v>
      </c>
      <c r="G276" s="55">
        <v>46024</v>
      </c>
      <c r="H276" s="55">
        <v>46173</v>
      </c>
      <c r="I276" s="56" t="s">
        <v>192</v>
      </c>
      <c r="J276" s="57">
        <v>0</v>
      </c>
      <c r="K276" s="58" t="s">
        <v>937</v>
      </c>
    </row>
    <row r="277" spans="1:11" ht="38.25">
      <c r="A277" s="52" t="s">
        <v>776</v>
      </c>
      <c r="B277" s="53" t="s">
        <v>777</v>
      </c>
      <c r="C277" s="53" t="s">
        <v>309</v>
      </c>
      <c r="D277" s="54" t="str">
        <f>_xlfn.XLOOKUP(E277,Organograma!H:H,Organograma!G:G,"")</f>
        <v>ENG - Núcleo de Engenharia Clínica</v>
      </c>
      <c r="E277" s="54" t="s">
        <v>752</v>
      </c>
      <c r="F277" s="55">
        <v>46025</v>
      </c>
      <c r="G277" s="55">
        <v>46105</v>
      </c>
      <c r="H277" s="55">
        <v>46173</v>
      </c>
      <c r="I277" s="56" t="s">
        <v>192</v>
      </c>
      <c r="J277" s="57">
        <v>0</v>
      </c>
      <c r="K277" s="58" t="s">
        <v>937</v>
      </c>
    </row>
    <row r="278" spans="1:11" ht="38.25">
      <c r="A278" s="52" t="s">
        <v>778</v>
      </c>
      <c r="B278" s="53" t="s">
        <v>777</v>
      </c>
      <c r="C278" s="53" t="s">
        <v>309</v>
      </c>
      <c r="D278" s="54" t="str">
        <f>_xlfn.XLOOKUP(E278,Organograma!H:H,Organograma!G:G,"")</f>
        <v>ENG - Núcleo de Engenharia Clínica</v>
      </c>
      <c r="E278" s="54" t="s">
        <v>752</v>
      </c>
      <c r="F278" s="55">
        <v>46025</v>
      </c>
      <c r="G278" s="55">
        <v>46298</v>
      </c>
      <c r="H278" s="55">
        <v>46173</v>
      </c>
      <c r="I278" s="56" t="s">
        <v>192</v>
      </c>
      <c r="J278" s="57">
        <v>0.25</v>
      </c>
      <c r="K278" s="58" t="s">
        <v>936</v>
      </c>
    </row>
    <row r="279" spans="1:11" ht="51">
      <c r="A279" s="52" t="s">
        <v>779</v>
      </c>
      <c r="B279" s="53" t="s">
        <v>777</v>
      </c>
      <c r="C279" s="53" t="s">
        <v>309</v>
      </c>
      <c r="D279" s="54" t="str">
        <f>_xlfn.XLOOKUP(E279,Organograma!H:H,Organograma!G:G,"")</f>
        <v>ENG - Núcleo de Engenharia Clínica</v>
      </c>
      <c r="E279" s="54" t="s">
        <v>752</v>
      </c>
      <c r="F279" s="55">
        <v>46025</v>
      </c>
      <c r="G279" s="55">
        <v>46268</v>
      </c>
      <c r="H279" s="55">
        <v>46173</v>
      </c>
      <c r="I279" s="56" t="s">
        <v>192</v>
      </c>
      <c r="J279" s="57">
        <v>0.5</v>
      </c>
      <c r="K279" s="58" t="s">
        <v>936</v>
      </c>
    </row>
    <row r="280" spans="1:11" ht="51">
      <c r="A280" s="52" t="s">
        <v>780</v>
      </c>
      <c r="B280" s="53" t="s">
        <v>777</v>
      </c>
      <c r="C280" s="53" t="s">
        <v>309</v>
      </c>
      <c r="D280" s="54" t="str">
        <f>_xlfn.XLOOKUP(E280,Organograma!H:H,Organograma!G:G,"")</f>
        <v>ENG - Núcleo de Engenharia Clínica</v>
      </c>
      <c r="E280" s="54" t="s">
        <v>752</v>
      </c>
      <c r="F280" s="64">
        <v>46090</v>
      </c>
      <c r="G280" s="59" t="s">
        <v>192</v>
      </c>
      <c r="H280" s="62">
        <v>46233</v>
      </c>
      <c r="I280" s="56"/>
      <c r="J280" s="57">
        <v>0.5</v>
      </c>
      <c r="K280" s="58" t="s">
        <v>936</v>
      </c>
    </row>
    <row r="281" spans="1:11" ht="38.25">
      <c r="A281" s="52" t="s">
        <v>794</v>
      </c>
      <c r="B281" s="53" t="s">
        <v>795</v>
      </c>
      <c r="C281" s="53" t="s">
        <v>309</v>
      </c>
      <c r="D281" s="54" t="str">
        <f>_xlfn.XLOOKUP(E281,Organograma!H:H,Organograma!G:G,"")</f>
        <v>ENG - Núcleo de Engenharia Clínica</v>
      </c>
      <c r="E281" s="54" t="s">
        <v>752</v>
      </c>
      <c r="F281" s="55">
        <v>46025</v>
      </c>
      <c r="G281" s="59" t="s">
        <v>192</v>
      </c>
      <c r="H281" s="55">
        <v>46173</v>
      </c>
      <c r="I281" s="56" t="s">
        <v>192</v>
      </c>
      <c r="J281" s="57">
        <v>0</v>
      </c>
      <c r="K281" s="58" t="s">
        <v>937</v>
      </c>
    </row>
    <row r="282" spans="1:11" ht="38.25">
      <c r="A282" s="52" t="s">
        <v>796</v>
      </c>
      <c r="B282" s="53" t="s">
        <v>795</v>
      </c>
      <c r="C282" s="53" t="s">
        <v>309</v>
      </c>
      <c r="D282" s="54" t="str">
        <f>_xlfn.XLOOKUP(E282,Organograma!H:H,Organograma!G:G,"")</f>
        <v>ENG - Núcleo de Engenharia Clínica</v>
      </c>
      <c r="E282" s="54" t="s">
        <v>752</v>
      </c>
      <c r="F282" s="55">
        <v>46025</v>
      </c>
      <c r="G282" s="59" t="s">
        <v>192</v>
      </c>
      <c r="H282" s="55">
        <v>46173</v>
      </c>
      <c r="I282" s="56" t="s">
        <v>192</v>
      </c>
      <c r="J282" s="57">
        <v>0</v>
      </c>
      <c r="K282" s="58" t="s">
        <v>937</v>
      </c>
    </row>
    <row r="283" spans="1:11" ht="51">
      <c r="A283" s="52" t="s">
        <v>797</v>
      </c>
      <c r="B283" s="53" t="s">
        <v>795</v>
      </c>
      <c r="C283" s="53" t="s">
        <v>309</v>
      </c>
      <c r="D283" s="54" t="str">
        <f>_xlfn.XLOOKUP(E283,Organograma!H:H,Organograma!G:G,"")</f>
        <v>ENG - Núcleo de Engenharia Clínica</v>
      </c>
      <c r="E283" s="54" t="s">
        <v>752</v>
      </c>
      <c r="F283" s="55">
        <v>46025</v>
      </c>
      <c r="G283" s="59" t="s">
        <v>192</v>
      </c>
      <c r="H283" s="55">
        <v>46173</v>
      </c>
      <c r="I283" s="56" t="s">
        <v>192</v>
      </c>
      <c r="J283" s="57">
        <v>0</v>
      </c>
      <c r="K283" s="58" t="s">
        <v>937</v>
      </c>
    </row>
    <row r="284" spans="1:11" ht="38.25">
      <c r="A284" s="52" t="s">
        <v>798</v>
      </c>
      <c r="B284" s="53" t="s">
        <v>795</v>
      </c>
      <c r="C284" s="53" t="s">
        <v>309</v>
      </c>
      <c r="D284" s="54" t="str">
        <f>_xlfn.XLOOKUP(E284,Organograma!H:H,Organograma!G:G,"")</f>
        <v>ENG - Núcleo de Engenharia Clínica</v>
      </c>
      <c r="E284" s="54" t="s">
        <v>752</v>
      </c>
      <c r="F284" s="55">
        <v>46025</v>
      </c>
      <c r="G284" s="59" t="s">
        <v>192</v>
      </c>
      <c r="H284" s="55">
        <v>46173</v>
      </c>
      <c r="I284" s="56" t="s">
        <v>192</v>
      </c>
      <c r="J284" s="57">
        <v>0</v>
      </c>
      <c r="K284" s="58" t="s">
        <v>937</v>
      </c>
    </row>
    <row r="285" spans="1:11" ht="38.25">
      <c r="A285" s="52" t="s">
        <v>799</v>
      </c>
      <c r="B285" s="53" t="s">
        <v>795</v>
      </c>
      <c r="C285" s="53" t="s">
        <v>309</v>
      </c>
      <c r="D285" s="54" t="str">
        <f>_xlfn.XLOOKUP(E285,Organograma!H:H,Organograma!G:G,"")</f>
        <v>ENG - Núcleo de Engenharia Clínica</v>
      </c>
      <c r="E285" s="54" t="s">
        <v>752</v>
      </c>
      <c r="F285" s="55">
        <v>46025</v>
      </c>
      <c r="G285" s="59" t="s">
        <v>192</v>
      </c>
      <c r="H285" s="55">
        <v>46173</v>
      </c>
      <c r="I285" s="56" t="s">
        <v>192</v>
      </c>
      <c r="J285" s="57">
        <v>0</v>
      </c>
      <c r="K285" s="58" t="s">
        <v>937</v>
      </c>
    </row>
    <row r="286" spans="1:11" ht="25.5">
      <c r="A286" s="52" t="s">
        <v>229</v>
      </c>
      <c r="B286" s="53" t="s">
        <v>225</v>
      </c>
      <c r="C286" s="54" t="s">
        <v>218</v>
      </c>
      <c r="D286" s="54" t="str">
        <f>_xlfn.XLOOKUP(E286,Organograma!H:H,Organograma!G:G,"")</f>
        <v>CA - Controle de Acesso</v>
      </c>
      <c r="E286" s="54" t="s">
        <v>230</v>
      </c>
      <c r="F286" s="55">
        <v>46026</v>
      </c>
      <c r="G286" s="59" t="s">
        <v>192</v>
      </c>
      <c r="H286" s="55">
        <v>46234</v>
      </c>
      <c r="I286" s="56" t="s">
        <v>192</v>
      </c>
      <c r="J286" s="57">
        <v>0</v>
      </c>
      <c r="K286" s="58" t="s">
        <v>937</v>
      </c>
    </row>
    <row r="287" spans="1:11" ht="38.25">
      <c r="A287" s="52" t="s">
        <v>258</v>
      </c>
      <c r="B287" s="53" t="s">
        <v>256</v>
      </c>
      <c r="C287" s="54" t="s">
        <v>218</v>
      </c>
      <c r="D287" s="54" t="str">
        <f>_xlfn.XLOOKUP(E287,Organograma!H:H,Organograma!G:G,"")</f>
        <v>CA - Controle de Acesso</v>
      </c>
      <c r="E287" s="54" t="s">
        <v>230</v>
      </c>
      <c r="F287" s="55">
        <v>46026</v>
      </c>
      <c r="G287" s="59" t="s">
        <v>192</v>
      </c>
      <c r="H287" s="55">
        <v>46326</v>
      </c>
      <c r="I287" s="56" t="s">
        <v>192</v>
      </c>
      <c r="J287" s="57">
        <v>0</v>
      </c>
      <c r="K287" s="58" t="s">
        <v>937</v>
      </c>
    </row>
    <row r="288" spans="1:11" ht="38.25">
      <c r="A288" s="52" t="s">
        <v>259</v>
      </c>
      <c r="B288" s="53" t="s">
        <v>256</v>
      </c>
      <c r="C288" s="54" t="s">
        <v>218</v>
      </c>
      <c r="D288" s="54" t="str">
        <f>_xlfn.XLOOKUP(E288,Organograma!H:H,Organograma!G:G,"")</f>
        <v>CA - Controle de Acesso</v>
      </c>
      <c r="E288" s="54" t="s">
        <v>230</v>
      </c>
      <c r="F288" s="55">
        <v>46026</v>
      </c>
      <c r="G288" s="59" t="s">
        <v>192</v>
      </c>
      <c r="H288" s="55">
        <v>46326</v>
      </c>
      <c r="I288" s="56" t="s">
        <v>192</v>
      </c>
      <c r="J288" s="57">
        <v>0</v>
      </c>
      <c r="K288" s="58" t="s">
        <v>937</v>
      </c>
    </row>
    <row r="289" spans="1:11" ht="51">
      <c r="A289" s="52" t="s">
        <v>260</v>
      </c>
      <c r="B289" s="53" t="s">
        <v>256</v>
      </c>
      <c r="C289" s="54" t="s">
        <v>218</v>
      </c>
      <c r="D289" s="54" t="str">
        <f>_xlfn.XLOOKUP(E289,Organograma!H:H,Organograma!G:G,"")</f>
        <v>CA - Controle de Acesso</v>
      </c>
      <c r="E289" s="54" t="s">
        <v>230</v>
      </c>
      <c r="F289" s="55">
        <v>46026</v>
      </c>
      <c r="G289" s="59" t="s">
        <v>192</v>
      </c>
      <c r="H289" s="55">
        <v>46326</v>
      </c>
      <c r="I289" s="56" t="s">
        <v>192</v>
      </c>
      <c r="J289" s="57">
        <v>0</v>
      </c>
      <c r="K289" s="58" t="s">
        <v>937</v>
      </c>
    </row>
    <row r="290" spans="1:11" ht="38.25">
      <c r="A290" s="52" t="s">
        <v>846</v>
      </c>
      <c r="B290" s="53" t="s">
        <v>847</v>
      </c>
      <c r="C290" s="53" t="s">
        <v>309</v>
      </c>
      <c r="D290" s="54" t="str">
        <f>_xlfn.XLOOKUP(E290,Organograma!H:H,Organograma!G:G,"")</f>
        <v>CA - Controle de Acesso</v>
      </c>
      <c r="E290" s="54" t="s">
        <v>230</v>
      </c>
      <c r="F290" s="55">
        <v>46025</v>
      </c>
      <c r="G290" s="55">
        <v>46104</v>
      </c>
      <c r="H290" s="55">
        <v>46173</v>
      </c>
      <c r="I290" s="56" t="s">
        <v>192</v>
      </c>
      <c r="J290" s="57">
        <v>0.75</v>
      </c>
      <c r="K290" s="58" t="s">
        <v>936</v>
      </c>
    </row>
    <row r="291" spans="1:11" ht="38.25">
      <c r="A291" s="52" t="s">
        <v>848</v>
      </c>
      <c r="B291" s="53" t="s">
        <v>847</v>
      </c>
      <c r="C291" s="53" t="s">
        <v>309</v>
      </c>
      <c r="D291" s="54" t="str">
        <f>_xlfn.XLOOKUP(E291,Organograma!H:H,Organograma!G:G,"")</f>
        <v>CA - Controle de Acesso</v>
      </c>
      <c r="E291" s="54" t="s">
        <v>230</v>
      </c>
      <c r="F291" s="55">
        <v>46025</v>
      </c>
      <c r="G291" s="55">
        <v>46106</v>
      </c>
      <c r="H291" s="55">
        <v>46173</v>
      </c>
      <c r="I291" s="56" t="s">
        <v>192</v>
      </c>
      <c r="J291" s="57">
        <v>0.5</v>
      </c>
      <c r="K291" s="58" t="s">
        <v>936</v>
      </c>
    </row>
    <row r="292" spans="1:11" ht="51">
      <c r="A292" s="52" t="s">
        <v>849</v>
      </c>
      <c r="B292" s="53" t="s">
        <v>847</v>
      </c>
      <c r="C292" s="53" t="s">
        <v>309</v>
      </c>
      <c r="D292" s="54" t="str">
        <f>_xlfn.XLOOKUP(E292,Organograma!H:H,Organograma!G:G,"")</f>
        <v>CA - Controle de Acesso</v>
      </c>
      <c r="E292" s="54" t="s">
        <v>230</v>
      </c>
      <c r="F292" s="55">
        <v>46025</v>
      </c>
      <c r="G292" s="55">
        <v>46104</v>
      </c>
      <c r="H292" s="55">
        <v>46173</v>
      </c>
      <c r="I292" s="56" t="s">
        <v>192</v>
      </c>
      <c r="J292" s="57">
        <v>0.75</v>
      </c>
      <c r="K292" s="58" t="s">
        <v>936</v>
      </c>
    </row>
    <row r="293" spans="1:11" ht="51">
      <c r="A293" s="52" t="s">
        <v>850</v>
      </c>
      <c r="B293" s="53" t="s">
        <v>847</v>
      </c>
      <c r="C293" s="53" t="s">
        <v>309</v>
      </c>
      <c r="D293" s="54" t="str">
        <f>_xlfn.XLOOKUP(E293,Organograma!H:H,Organograma!G:G,"")</f>
        <v>CA - Controle de Acesso</v>
      </c>
      <c r="E293" s="54" t="s">
        <v>230</v>
      </c>
      <c r="F293" s="55">
        <v>46025</v>
      </c>
      <c r="G293" s="55">
        <v>46104</v>
      </c>
      <c r="H293" s="55">
        <v>46173</v>
      </c>
      <c r="I293" s="56" t="s">
        <v>192</v>
      </c>
      <c r="J293" s="57">
        <v>0.75</v>
      </c>
      <c r="K293" s="58" t="s">
        <v>936</v>
      </c>
    </row>
    <row r="294" spans="1:11" ht="51">
      <c r="A294" s="52" t="s">
        <v>851</v>
      </c>
      <c r="B294" s="53" t="s">
        <v>847</v>
      </c>
      <c r="C294" s="53" t="s">
        <v>309</v>
      </c>
      <c r="D294" s="54" t="str">
        <f>_xlfn.XLOOKUP(E294,Organograma!H:H,Organograma!G:G,"")</f>
        <v>CA - Controle de Acesso</v>
      </c>
      <c r="E294" s="54" t="s">
        <v>230</v>
      </c>
      <c r="F294" s="55">
        <v>46025</v>
      </c>
      <c r="G294" s="55">
        <v>46104</v>
      </c>
      <c r="H294" s="55">
        <v>46173</v>
      </c>
      <c r="I294" s="56" t="s">
        <v>192</v>
      </c>
      <c r="J294" s="57">
        <v>0.25</v>
      </c>
      <c r="K294" s="58" t="s">
        <v>936</v>
      </c>
    </row>
    <row r="295" spans="1:11" ht="51">
      <c r="A295" s="52" t="s">
        <v>852</v>
      </c>
      <c r="B295" s="53" t="s">
        <v>847</v>
      </c>
      <c r="C295" s="53" t="s">
        <v>309</v>
      </c>
      <c r="D295" s="54" t="str">
        <f>_xlfn.XLOOKUP(E295,Organograma!H:H,Organograma!G:G,"")</f>
        <v>CA - Controle de Acesso</v>
      </c>
      <c r="E295" s="54" t="s">
        <v>230</v>
      </c>
      <c r="F295" s="55">
        <v>46025</v>
      </c>
      <c r="G295" s="55">
        <v>46104</v>
      </c>
      <c r="H295" s="55">
        <v>46173</v>
      </c>
      <c r="I295" s="56" t="s">
        <v>192</v>
      </c>
      <c r="J295" s="57">
        <v>0.25</v>
      </c>
      <c r="K295" s="58" t="s">
        <v>936</v>
      </c>
    </row>
    <row r="296" spans="1:11" ht="38.25">
      <c r="A296" s="52" t="s">
        <v>255</v>
      </c>
      <c r="B296" s="53" t="s">
        <v>256</v>
      </c>
      <c r="C296" s="54" t="s">
        <v>218</v>
      </c>
      <c r="D296" s="54" t="str">
        <f>_xlfn.XLOOKUP(E296,Organograma!H:H,Organograma!G:G,"")</f>
        <v>Diretoria Técnica</v>
      </c>
      <c r="E296" s="54" t="s">
        <v>257</v>
      </c>
      <c r="F296" s="55">
        <v>46026</v>
      </c>
      <c r="G296" s="59" t="s">
        <v>192</v>
      </c>
      <c r="H296" s="55">
        <v>46326</v>
      </c>
      <c r="I296" s="56" t="s">
        <v>192</v>
      </c>
      <c r="J296" s="57">
        <v>0</v>
      </c>
      <c r="K296" s="58" t="s">
        <v>937</v>
      </c>
    </row>
    <row r="297" spans="1:11" ht="38.25">
      <c r="A297" s="52" t="s">
        <v>261</v>
      </c>
      <c r="B297" s="53" t="s">
        <v>256</v>
      </c>
      <c r="C297" s="54" t="s">
        <v>218</v>
      </c>
      <c r="D297" s="54" t="str">
        <f>_xlfn.XLOOKUP(E297,Organograma!H:H,Organograma!G:G,"")</f>
        <v>Diretoria Técnica</v>
      </c>
      <c r="E297" s="54" t="s">
        <v>257</v>
      </c>
      <c r="F297" s="55">
        <v>46026</v>
      </c>
      <c r="G297" s="59" t="s">
        <v>192</v>
      </c>
      <c r="H297" s="55">
        <v>46326</v>
      </c>
      <c r="I297" s="56" t="s">
        <v>192</v>
      </c>
      <c r="J297" s="57">
        <v>0</v>
      </c>
      <c r="K297" s="58" t="s">
        <v>937</v>
      </c>
    </row>
    <row r="298" spans="1:11" ht="51">
      <c r="A298" s="52" t="s">
        <v>282</v>
      </c>
      <c r="B298" s="53" t="s">
        <v>283</v>
      </c>
      <c r="C298" s="54" t="s">
        <v>218</v>
      </c>
      <c r="D298" s="54" t="str">
        <f>_xlfn.XLOOKUP(E298,Organograma!H:H,Organograma!G:G,"")</f>
        <v>Diretoria Técnica</v>
      </c>
      <c r="E298" s="54" t="s">
        <v>257</v>
      </c>
      <c r="F298" s="55">
        <v>46026</v>
      </c>
      <c r="G298" s="59" t="s">
        <v>192</v>
      </c>
      <c r="H298" s="55">
        <v>46234</v>
      </c>
      <c r="I298" s="56" t="s">
        <v>192</v>
      </c>
      <c r="J298" s="57">
        <v>0</v>
      </c>
      <c r="K298" s="58" t="s">
        <v>937</v>
      </c>
    </row>
    <row r="299" spans="1:11" ht="51">
      <c r="A299" s="52" t="s">
        <v>284</v>
      </c>
      <c r="B299" s="53" t="s">
        <v>283</v>
      </c>
      <c r="C299" s="54" t="s">
        <v>218</v>
      </c>
      <c r="D299" s="54" t="str">
        <f>_xlfn.XLOOKUP(E299,Organograma!H:H,Organograma!G:G,"")</f>
        <v>Diretoria Técnica</v>
      </c>
      <c r="E299" s="54" t="s">
        <v>257</v>
      </c>
      <c r="F299" s="55">
        <v>46026</v>
      </c>
      <c r="G299" s="59" t="s">
        <v>192</v>
      </c>
      <c r="H299" s="55">
        <v>46234</v>
      </c>
      <c r="I299" s="56" t="s">
        <v>192</v>
      </c>
      <c r="J299" s="57">
        <v>0</v>
      </c>
      <c r="K299" s="58" t="s">
        <v>937</v>
      </c>
    </row>
    <row r="300" spans="1:11" ht="51">
      <c r="A300" s="52" t="s">
        <v>285</v>
      </c>
      <c r="B300" s="53" t="s">
        <v>283</v>
      </c>
      <c r="C300" s="54" t="s">
        <v>218</v>
      </c>
      <c r="D300" s="54" t="str">
        <f>_xlfn.XLOOKUP(E300,Organograma!H:H,Organograma!G:G,"")</f>
        <v>Diretoria Técnica</v>
      </c>
      <c r="E300" s="54" t="s">
        <v>257</v>
      </c>
      <c r="F300" s="55">
        <v>46026</v>
      </c>
      <c r="G300" s="59" t="s">
        <v>192</v>
      </c>
      <c r="H300" s="55">
        <v>46234</v>
      </c>
      <c r="I300" s="56" t="s">
        <v>192</v>
      </c>
      <c r="J300" s="57">
        <v>0</v>
      </c>
      <c r="K300" s="58" t="s">
        <v>937</v>
      </c>
    </row>
    <row r="301" spans="1:11" ht="51">
      <c r="A301" s="52" t="s">
        <v>286</v>
      </c>
      <c r="B301" s="53" t="s">
        <v>283</v>
      </c>
      <c r="C301" s="54" t="s">
        <v>218</v>
      </c>
      <c r="D301" s="54" t="str">
        <f>_xlfn.XLOOKUP(E301,Organograma!H:H,Organograma!G:G,"")</f>
        <v>Diretoria Técnica</v>
      </c>
      <c r="E301" s="54" t="s">
        <v>257</v>
      </c>
      <c r="F301" s="55">
        <v>46026</v>
      </c>
      <c r="G301" s="59" t="s">
        <v>192</v>
      </c>
      <c r="H301" s="55">
        <v>46234</v>
      </c>
      <c r="I301" s="56" t="s">
        <v>192</v>
      </c>
      <c r="J301" s="57">
        <v>0</v>
      </c>
      <c r="K301" s="58" t="s">
        <v>937</v>
      </c>
    </row>
    <row r="302" spans="1:11" ht="38.25">
      <c r="A302" s="52" t="s">
        <v>287</v>
      </c>
      <c r="B302" s="53" t="s">
        <v>288</v>
      </c>
      <c r="C302" s="54" t="s">
        <v>218</v>
      </c>
      <c r="D302" s="54" t="str">
        <f>_xlfn.XLOOKUP(E302,Organograma!H:H,Organograma!G:G,"")</f>
        <v>Diretoria Técnica</v>
      </c>
      <c r="E302" s="54" t="s">
        <v>257</v>
      </c>
      <c r="F302" s="55">
        <v>46026</v>
      </c>
      <c r="G302" s="55">
        <v>46177</v>
      </c>
      <c r="H302" s="55">
        <v>46234</v>
      </c>
      <c r="I302" s="61">
        <v>46177</v>
      </c>
      <c r="J302" s="57">
        <v>1</v>
      </c>
      <c r="K302" s="58" t="s">
        <v>935</v>
      </c>
    </row>
    <row r="303" spans="1:11" ht="38.25">
      <c r="A303" s="52" t="s">
        <v>289</v>
      </c>
      <c r="B303" s="53" t="s">
        <v>288</v>
      </c>
      <c r="C303" s="54" t="s">
        <v>218</v>
      </c>
      <c r="D303" s="54" t="str">
        <f>_xlfn.XLOOKUP(E303,Organograma!H:H,Organograma!G:G,"")</f>
        <v>Diretoria Técnica</v>
      </c>
      <c r="E303" s="54" t="s">
        <v>257</v>
      </c>
      <c r="F303" s="55">
        <v>46026</v>
      </c>
      <c r="G303" s="55">
        <v>46177</v>
      </c>
      <c r="H303" s="55">
        <v>46234</v>
      </c>
      <c r="I303" s="61">
        <v>46177</v>
      </c>
      <c r="J303" s="57">
        <v>1</v>
      </c>
      <c r="K303" s="58" t="s">
        <v>935</v>
      </c>
    </row>
    <row r="304" spans="1:11" ht="38.25">
      <c r="A304" s="52" t="s">
        <v>290</v>
      </c>
      <c r="B304" s="53" t="s">
        <v>288</v>
      </c>
      <c r="C304" s="54" t="s">
        <v>218</v>
      </c>
      <c r="D304" s="54" t="str">
        <f>_xlfn.XLOOKUP(E304,Organograma!H:H,Organograma!G:G,"")</f>
        <v>Diretoria Técnica</v>
      </c>
      <c r="E304" s="54" t="s">
        <v>257</v>
      </c>
      <c r="F304" s="55">
        <v>46026</v>
      </c>
      <c r="G304" s="59" t="s">
        <v>192</v>
      </c>
      <c r="H304" s="55">
        <v>46234</v>
      </c>
      <c r="I304" s="56" t="s">
        <v>192</v>
      </c>
      <c r="J304" s="57">
        <v>0</v>
      </c>
      <c r="K304" s="58" t="s">
        <v>937</v>
      </c>
    </row>
    <row r="305" spans="1:11" ht="38.25">
      <c r="A305" s="52" t="s">
        <v>291</v>
      </c>
      <c r="B305" s="53" t="s">
        <v>288</v>
      </c>
      <c r="C305" s="54" t="s">
        <v>218</v>
      </c>
      <c r="D305" s="54" t="str">
        <f>_xlfn.XLOOKUP(E305,Organograma!H:H,Organograma!G:G,"")</f>
        <v>Diretoria Técnica</v>
      </c>
      <c r="E305" s="54" t="s">
        <v>257</v>
      </c>
      <c r="F305" s="55">
        <v>46026</v>
      </c>
      <c r="G305" s="59" t="s">
        <v>192</v>
      </c>
      <c r="H305" s="55">
        <v>46234</v>
      </c>
      <c r="I305" s="56" t="s">
        <v>192</v>
      </c>
      <c r="J305" s="57">
        <v>0</v>
      </c>
      <c r="K305" s="58" t="s">
        <v>937</v>
      </c>
    </row>
    <row r="306" spans="1:11" ht="38.25">
      <c r="A306" s="52" t="s">
        <v>292</v>
      </c>
      <c r="B306" s="53" t="s">
        <v>288</v>
      </c>
      <c r="C306" s="54" t="s">
        <v>218</v>
      </c>
      <c r="D306" s="54" t="str">
        <f>_xlfn.XLOOKUP(E306,Organograma!H:H,Organograma!G:G,"")</f>
        <v>Diretoria Técnica</v>
      </c>
      <c r="E306" s="54" t="s">
        <v>257</v>
      </c>
      <c r="F306" s="55">
        <v>46026</v>
      </c>
      <c r="G306" s="59" t="s">
        <v>192</v>
      </c>
      <c r="H306" s="55">
        <v>46234</v>
      </c>
      <c r="I306" s="56" t="s">
        <v>192</v>
      </c>
      <c r="J306" s="57">
        <v>0</v>
      </c>
      <c r="K306" s="58" t="s">
        <v>937</v>
      </c>
    </row>
    <row r="307" spans="1:11" ht="38.25">
      <c r="A307" s="56" t="s">
        <v>293</v>
      </c>
      <c r="B307" s="53" t="s">
        <v>288</v>
      </c>
      <c r="C307" s="54" t="s">
        <v>218</v>
      </c>
      <c r="D307" s="54" t="str">
        <f>_xlfn.XLOOKUP(E307,Organograma!H:H,Organograma!G:G,"")</f>
        <v>Diretoria Técnica</v>
      </c>
      <c r="E307" s="54" t="s">
        <v>257</v>
      </c>
      <c r="F307" s="55">
        <v>46026</v>
      </c>
      <c r="G307" s="59" t="s">
        <v>192</v>
      </c>
      <c r="H307" s="55">
        <v>46234</v>
      </c>
      <c r="I307" s="56" t="s">
        <v>192</v>
      </c>
      <c r="J307" s="57">
        <v>0</v>
      </c>
      <c r="K307" s="58" t="s">
        <v>937</v>
      </c>
    </row>
    <row r="308" spans="1:11" ht="51">
      <c r="A308" s="52" t="s">
        <v>447</v>
      </c>
      <c r="B308" s="53" t="s">
        <v>439</v>
      </c>
      <c r="C308" s="53" t="s">
        <v>309</v>
      </c>
      <c r="D308" s="54" t="str">
        <f>_xlfn.XLOOKUP(E308,Organograma!H:H,Organograma!G:G,"")</f>
        <v>Diretoria Técnica</v>
      </c>
      <c r="E308" s="54" t="s">
        <v>257</v>
      </c>
      <c r="F308" s="55">
        <v>46025</v>
      </c>
      <c r="G308" s="55">
        <v>46108</v>
      </c>
      <c r="H308" s="55">
        <v>46173</v>
      </c>
      <c r="I308" s="56" t="s">
        <v>192</v>
      </c>
      <c r="J308" s="57">
        <v>0.25</v>
      </c>
      <c r="K308" s="58" t="s">
        <v>936</v>
      </c>
    </row>
    <row r="309" spans="1:11" ht="38.25">
      <c r="A309" s="52" t="s">
        <v>448</v>
      </c>
      <c r="B309" s="53" t="s">
        <v>439</v>
      </c>
      <c r="C309" s="53" t="s">
        <v>309</v>
      </c>
      <c r="D309" s="54" t="str">
        <f>_xlfn.XLOOKUP(E309,Organograma!H:H,Organograma!G:G,"")</f>
        <v>Diretoria Técnica</v>
      </c>
      <c r="E309" s="54" t="s">
        <v>257</v>
      </c>
      <c r="F309" s="55">
        <v>46025</v>
      </c>
      <c r="G309" s="55">
        <v>46108</v>
      </c>
      <c r="H309" s="55">
        <v>46173</v>
      </c>
      <c r="I309" s="56" t="s">
        <v>192</v>
      </c>
      <c r="J309" s="57">
        <v>0.25</v>
      </c>
      <c r="K309" s="58" t="s">
        <v>936</v>
      </c>
    </row>
    <row r="310" spans="1:11" ht="51">
      <c r="A310" s="52" t="s">
        <v>453</v>
      </c>
      <c r="B310" s="53" t="s">
        <v>439</v>
      </c>
      <c r="C310" s="53" t="s">
        <v>309</v>
      </c>
      <c r="D310" s="54" t="str">
        <f>_xlfn.XLOOKUP(E310,Organograma!H:H,Organograma!G:G,"")</f>
        <v>Diretoria Técnica</v>
      </c>
      <c r="E310" s="54" t="s">
        <v>257</v>
      </c>
      <c r="F310" s="55">
        <v>46025</v>
      </c>
      <c r="G310" s="55">
        <v>46111</v>
      </c>
      <c r="H310" s="55">
        <v>46173</v>
      </c>
      <c r="I310" s="56" t="s">
        <v>192</v>
      </c>
      <c r="J310" s="57">
        <v>0.25</v>
      </c>
      <c r="K310" s="58" t="s">
        <v>936</v>
      </c>
    </row>
    <row r="311" spans="1:11" ht="25.5">
      <c r="A311" s="52" t="s">
        <v>454</v>
      </c>
      <c r="B311" s="53" t="s">
        <v>439</v>
      </c>
      <c r="C311" s="53" t="s">
        <v>309</v>
      </c>
      <c r="D311" s="54" t="str">
        <f>_xlfn.XLOOKUP(E311,Organograma!H:H,Organograma!G:G,"")</f>
        <v>Diretoria Técnica</v>
      </c>
      <c r="E311" s="54" t="s">
        <v>257</v>
      </c>
      <c r="F311" s="55">
        <v>46025</v>
      </c>
      <c r="G311" s="55">
        <v>46111</v>
      </c>
      <c r="H311" s="55">
        <v>46173</v>
      </c>
      <c r="I311" s="56" t="s">
        <v>192</v>
      </c>
      <c r="J311" s="57">
        <v>0.25</v>
      </c>
      <c r="K311" s="58" t="s">
        <v>936</v>
      </c>
    </row>
    <row r="312" spans="1:11" ht="25.5">
      <c r="A312" s="52" t="s">
        <v>460</v>
      </c>
      <c r="B312" s="53" t="s">
        <v>439</v>
      </c>
      <c r="C312" s="53" t="s">
        <v>309</v>
      </c>
      <c r="D312" s="54" t="str">
        <f>_xlfn.XLOOKUP(E312,Organograma!H:H,Organograma!G:G,"")</f>
        <v>Diretoria Técnica</v>
      </c>
      <c r="E312" s="54" t="s">
        <v>257</v>
      </c>
      <c r="F312" s="55">
        <v>46025</v>
      </c>
      <c r="G312" s="55">
        <v>46111</v>
      </c>
      <c r="H312" s="55">
        <v>46173</v>
      </c>
      <c r="I312" s="56" t="s">
        <v>192</v>
      </c>
      <c r="J312" s="57">
        <v>0.25</v>
      </c>
      <c r="K312" s="58" t="s">
        <v>936</v>
      </c>
    </row>
    <row r="313" spans="1:11" ht="38.25">
      <c r="A313" s="52" t="s">
        <v>462</v>
      </c>
      <c r="B313" s="53" t="s">
        <v>439</v>
      </c>
      <c r="C313" s="53" t="s">
        <v>309</v>
      </c>
      <c r="D313" s="54" t="str">
        <f>_xlfn.XLOOKUP(E313,Organograma!H:H,Organograma!G:G,"")</f>
        <v>Diretoria Técnica</v>
      </c>
      <c r="E313" s="54" t="s">
        <v>257</v>
      </c>
      <c r="F313" s="55">
        <v>46025</v>
      </c>
      <c r="G313" s="55">
        <v>46111</v>
      </c>
      <c r="H313" s="55">
        <v>46173</v>
      </c>
      <c r="I313" s="56" t="s">
        <v>192</v>
      </c>
      <c r="J313" s="57">
        <v>0.25</v>
      </c>
      <c r="K313" s="58" t="s">
        <v>936</v>
      </c>
    </row>
    <row r="314" spans="1:11" ht="51">
      <c r="A314" s="52" t="s">
        <v>465</v>
      </c>
      <c r="B314" s="53" t="s">
        <v>439</v>
      </c>
      <c r="C314" s="53" t="s">
        <v>309</v>
      </c>
      <c r="D314" s="54" t="str">
        <f>_xlfn.XLOOKUP(E314,Organograma!H:H,Organograma!G:G,"")</f>
        <v>Diretoria Técnica</v>
      </c>
      <c r="E314" s="54" t="s">
        <v>257</v>
      </c>
      <c r="F314" s="55">
        <v>46025</v>
      </c>
      <c r="G314" s="55">
        <v>46111</v>
      </c>
      <c r="H314" s="55">
        <v>46173</v>
      </c>
      <c r="I314" s="56" t="s">
        <v>192</v>
      </c>
      <c r="J314" s="57">
        <v>0.25</v>
      </c>
      <c r="K314" s="58" t="s">
        <v>936</v>
      </c>
    </row>
    <row r="315" spans="1:11" ht="38.25">
      <c r="A315" s="52" t="s">
        <v>468</v>
      </c>
      <c r="B315" s="53" t="s">
        <v>439</v>
      </c>
      <c r="C315" s="53" t="s">
        <v>309</v>
      </c>
      <c r="D315" s="54" t="str">
        <f>_xlfn.XLOOKUP(E315,Organograma!H:H,Organograma!G:G,"")</f>
        <v>Diretoria Técnica</v>
      </c>
      <c r="E315" s="54" t="s">
        <v>257</v>
      </c>
      <c r="F315" s="55">
        <v>46025</v>
      </c>
      <c r="G315" s="55">
        <v>46111</v>
      </c>
      <c r="H315" s="55">
        <v>46173</v>
      </c>
      <c r="I315" s="56" t="s">
        <v>192</v>
      </c>
      <c r="J315" s="57">
        <v>0.75</v>
      </c>
      <c r="K315" s="58" t="s">
        <v>936</v>
      </c>
    </row>
    <row r="316" spans="1:11" ht="25.5">
      <c r="A316" s="52" t="s">
        <v>469</v>
      </c>
      <c r="B316" s="53" t="s">
        <v>439</v>
      </c>
      <c r="C316" s="53" t="s">
        <v>309</v>
      </c>
      <c r="D316" s="54" t="str">
        <f>_xlfn.XLOOKUP(E316,Organograma!H:H,Organograma!G:G,"")</f>
        <v>Diretoria Técnica</v>
      </c>
      <c r="E316" s="54" t="s">
        <v>257</v>
      </c>
      <c r="F316" s="55">
        <v>46025</v>
      </c>
      <c r="G316" s="55">
        <v>46111</v>
      </c>
      <c r="H316" s="55">
        <v>46173</v>
      </c>
      <c r="I316" s="56" t="s">
        <v>192</v>
      </c>
      <c r="J316" s="57">
        <v>0.25</v>
      </c>
      <c r="K316" s="58" t="s">
        <v>936</v>
      </c>
    </row>
    <row r="317" spans="1:11" ht="38.25">
      <c r="A317" s="52" t="s">
        <v>472</v>
      </c>
      <c r="B317" s="53" t="s">
        <v>439</v>
      </c>
      <c r="C317" s="53" t="s">
        <v>309</v>
      </c>
      <c r="D317" s="54" t="str">
        <f>_xlfn.XLOOKUP(E317,Organograma!H:H,Organograma!G:G,"")</f>
        <v>Diretoria Técnica</v>
      </c>
      <c r="E317" s="54" t="s">
        <v>257</v>
      </c>
      <c r="F317" s="55">
        <v>46025</v>
      </c>
      <c r="G317" s="59" t="s">
        <v>192</v>
      </c>
      <c r="H317" s="55">
        <v>46173</v>
      </c>
      <c r="I317" s="56" t="s">
        <v>192</v>
      </c>
      <c r="J317" s="57">
        <v>0</v>
      </c>
      <c r="K317" s="58" t="s">
        <v>937</v>
      </c>
    </row>
    <row r="318" spans="1:11" ht="38.25">
      <c r="A318" s="52" t="s">
        <v>474</v>
      </c>
      <c r="B318" s="53" t="s">
        <v>439</v>
      </c>
      <c r="C318" s="53" t="s">
        <v>309</v>
      </c>
      <c r="D318" s="54" t="str">
        <f>_xlfn.XLOOKUP(E318,Organograma!H:H,Organograma!G:G,"")</f>
        <v>Diretoria Técnica</v>
      </c>
      <c r="E318" s="54" t="s">
        <v>257</v>
      </c>
      <c r="F318" s="55">
        <v>46025</v>
      </c>
      <c r="G318" s="55">
        <v>46111</v>
      </c>
      <c r="H318" s="55">
        <v>46173</v>
      </c>
      <c r="I318" s="56" t="s">
        <v>192</v>
      </c>
      <c r="J318" s="57">
        <v>0.25</v>
      </c>
      <c r="K318" s="58" t="s">
        <v>936</v>
      </c>
    </row>
    <row r="319" spans="1:11" ht="51">
      <c r="A319" s="52" t="s">
        <v>483</v>
      </c>
      <c r="B319" s="53" t="s">
        <v>484</v>
      </c>
      <c r="C319" s="53" t="s">
        <v>309</v>
      </c>
      <c r="D319" s="54" t="str">
        <f>_xlfn.XLOOKUP(E319,Organograma!H:H,Organograma!G:G,"")</f>
        <v>P.S - Pronto Socorro</v>
      </c>
      <c r="E319" s="54" t="s">
        <v>485</v>
      </c>
      <c r="F319" s="55">
        <v>46025</v>
      </c>
      <c r="G319" s="55">
        <v>46104</v>
      </c>
      <c r="H319" s="55">
        <v>46173</v>
      </c>
      <c r="I319" s="56" t="s">
        <v>192</v>
      </c>
      <c r="J319" s="57">
        <v>0.25</v>
      </c>
      <c r="K319" s="58" t="s">
        <v>936</v>
      </c>
    </row>
    <row r="320" spans="1:11" ht="51">
      <c r="A320" s="52" t="s">
        <v>486</v>
      </c>
      <c r="B320" s="53" t="s">
        <v>484</v>
      </c>
      <c r="C320" s="53" t="s">
        <v>309</v>
      </c>
      <c r="D320" s="54" t="str">
        <f>_xlfn.XLOOKUP(E320,Organograma!H:H,Organograma!G:G,"")</f>
        <v>P.S - Pronto Socorro</v>
      </c>
      <c r="E320" s="54" t="s">
        <v>485</v>
      </c>
      <c r="F320" s="55">
        <v>46025</v>
      </c>
      <c r="G320" s="55">
        <v>46104</v>
      </c>
      <c r="H320" s="55">
        <v>46173</v>
      </c>
      <c r="I320" s="56" t="s">
        <v>192</v>
      </c>
      <c r="J320" s="57">
        <v>0.25</v>
      </c>
      <c r="K320" s="58" t="s">
        <v>936</v>
      </c>
    </row>
    <row r="321" spans="1:11" ht="38.25">
      <c r="A321" s="52" t="s">
        <v>487</v>
      </c>
      <c r="B321" s="53" t="s">
        <v>484</v>
      </c>
      <c r="C321" s="53" t="s">
        <v>309</v>
      </c>
      <c r="D321" s="54" t="str">
        <f>_xlfn.XLOOKUP(E321,Organograma!H:H,Organograma!G:G,"")</f>
        <v>P.S - Pronto Socorro</v>
      </c>
      <c r="E321" s="54" t="s">
        <v>485</v>
      </c>
      <c r="F321" s="55">
        <v>46025</v>
      </c>
      <c r="G321" s="55">
        <v>46104</v>
      </c>
      <c r="H321" s="55">
        <v>46173</v>
      </c>
      <c r="I321" s="56" t="s">
        <v>192</v>
      </c>
      <c r="J321" s="57">
        <v>0.25</v>
      </c>
      <c r="K321" s="58" t="s">
        <v>936</v>
      </c>
    </row>
    <row r="322" spans="1:11" ht="51">
      <c r="A322" s="52" t="s">
        <v>488</v>
      </c>
      <c r="B322" s="53" t="s">
        <v>484</v>
      </c>
      <c r="C322" s="53" t="s">
        <v>309</v>
      </c>
      <c r="D322" s="54" t="str">
        <f>_xlfn.XLOOKUP(E322,Organograma!H:H,Organograma!G:G,"")</f>
        <v>P.S - Pronto Socorro</v>
      </c>
      <c r="E322" s="54" t="s">
        <v>485</v>
      </c>
      <c r="F322" s="55">
        <v>46142</v>
      </c>
      <c r="G322" s="55">
        <v>46104</v>
      </c>
      <c r="H322" s="55">
        <v>46173</v>
      </c>
      <c r="I322" s="56" t="s">
        <v>192</v>
      </c>
      <c r="J322" s="57">
        <v>0.25</v>
      </c>
      <c r="K322" s="58" t="s">
        <v>936</v>
      </c>
    </row>
    <row r="323" spans="1:11" ht="38.25">
      <c r="A323" s="52" t="s">
        <v>489</v>
      </c>
      <c r="B323" s="53" t="s">
        <v>490</v>
      </c>
      <c r="C323" s="53" t="s">
        <v>309</v>
      </c>
      <c r="D323" s="54" t="str">
        <f>_xlfn.XLOOKUP(E323,Organograma!H:H,Organograma!G:G,"")</f>
        <v>P.S - Pronto Socorro</v>
      </c>
      <c r="E323" s="54" t="s">
        <v>485</v>
      </c>
      <c r="F323" s="55">
        <v>46025</v>
      </c>
      <c r="G323" s="55">
        <v>46105</v>
      </c>
      <c r="H323" s="55">
        <v>46173</v>
      </c>
      <c r="I323" s="56" t="s">
        <v>192</v>
      </c>
      <c r="J323" s="57">
        <v>0.25</v>
      </c>
      <c r="K323" s="58" t="s">
        <v>936</v>
      </c>
    </row>
    <row r="324" spans="1:11" ht="51">
      <c r="A324" s="52" t="s">
        <v>491</v>
      </c>
      <c r="B324" s="53" t="s">
        <v>490</v>
      </c>
      <c r="C324" s="53" t="s">
        <v>309</v>
      </c>
      <c r="D324" s="54" t="str">
        <f>_xlfn.XLOOKUP(E324,Organograma!H:H,Organograma!G:G,"")</f>
        <v>P.S - Pronto Socorro</v>
      </c>
      <c r="E324" s="54" t="s">
        <v>485</v>
      </c>
      <c r="F324" s="55">
        <v>46025</v>
      </c>
      <c r="G324" s="55">
        <v>46177</v>
      </c>
      <c r="H324" s="55">
        <v>46173</v>
      </c>
      <c r="I324" s="56" t="s">
        <v>192</v>
      </c>
      <c r="J324" s="57">
        <v>0</v>
      </c>
      <c r="K324" s="58" t="s">
        <v>937</v>
      </c>
    </row>
    <row r="325" spans="1:11" ht="51">
      <c r="A325" s="52" t="s">
        <v>492</v>
      </c>
      <c r="B325" s="53" t="s">
        <v>490</v>
      </c>
      <c r="C325" s="53" t="s">
        <v>309</v>
      </c>
      <c r="D325" s="54" t="str">
        <f>_xlfn.XLOOKUP(E325,Organograma!H:H,Organograma!G:G,"")</f>
        <v>P.S - Pronto Socorro</v>
      </c>
      <c r="E325" s="54" t="s">
        <v>485</v>
      </c>
      <c r="F325" s="55">
        <v>46025</v>
      </c>
      <c r="G325" s="55">
        <v>46104</v>
      </c>
      <c r="H325" s="55">
        <v>46173</v>
      </c>
      <c r="I325" s="56" t="s">
        <v>192</v>
      </c>
      <c r="J325" s="57">
        <v>0.25</v>
      </c>
      <c r="K325" s="58" t="s">
        <v>936</v>
      </c>
    </row>
    <row r="326" spans="1:11" ht="51">
      <c r="A326" s="52" t="s">
        <v>493</v>
      </c>
      <c r="B326" s="53" t="s">
        <v>490</v>
      </c>
      <c r="C326" s="53" t="s">
        <v>309</v>
      </c>
      <c r="D326" s="54" t="str">
        <f>_xlfn.XLOOKUP(E326,Organograma!H:H,Organograma!G:G,"")</f>
        <v>P.S - Pronto Socorro</v>
      </c>
      <c r="E326" s="54" t="s">
        <v>485</v>
      </c>
      <c r="F326" s="55">
        <v>46025</v>
      </c>
      <c r="G326" s="55">
        <v>46160</v>
      </c>
      <c r="H326" s="55">
        <v>46173</v>
      </c>
      <c r="I326" s="56" t="s">
        <v>192</v>
      </c>
      <c r="J326" s="57">
        <v>0.25</v>
      </c>
      <c r="K326" s="58" t="s">
        <v>936</v>
      </c>
    </row>
    <row r="327" spans="1:11" ht="51">
      <c r="A327" s="52" t="s">
        <v>494</v>
      </c>
      <c r="B327" s="53" t="s">
        <v>490</v>
      </c>
      <c r="C327" s="53" t="s">
        <v>309</v>
      </c>
      <c r="D327" s="54" t="str">
        <f>_xlfn.XLOOKUP(E327,Organograma!H:H,Organograma!G:G,"")</f>
        <v>P.S - Pronto Socorro</v>
      </c>
      <c r="E327" s="54" t="s">
        <v>485</v>
      </c>
      <c r="F327" s="55">
        <v>46025</v>
      </c>
      <c r="G327" s="55">
        <v>46160</v>
      </c>
      <c r="H327" s="55">
        <v>46173</v>
      </c>
      <c r="I327" s="56" t="s">
        <v>192</v>
      </c>
      <c r="J327" s="57">
        <v>0.25</v>
      </c>
      <c r="K327" s="58" t="s">
        <v>936</v>
      </c>
    </row>
    <row r="328" spans="1:11" ht="51">
      <c r="A328" s="52" t="s">
        <v>495</v>
      </c>
      <c r="B328" s="53" t="s">
        <v>490</v>
      </c>
      <c r="C328" s="53" t="s">
        <v>309</v>
      </c>
      <c r="D328" s="54" t="str">
        <f>_xlfn.XLOOKUP(E328,Organograma!H:H,Organograma!G:G,"")</f>
        <v>P.S - Pronto Socorro</v>
      </c>
      <c r="E328" s="54" t="s">
        <v>485</v>
      </c>
      <c r="F328" s="55">
        <v>46025</v>
      </c>
      <c r="G328" s="59" t="s">
        <v>192</v>
      </c>
      <c r="H328" s="55">
        <v>46173</v>
      </c>
      <c r="I328" s="56" t="s">
        <v>192</v>
      </c>
      <c r="J328" s="57">
        <v>0</v>
      </c>
      <c r="K328" s="58" t="s">
        <v>937</v>
      </c>
    </row>
    <row r="329" spans="1:11" ht="38.25">
      <c r="A329" s="52" t="s">
        <v>496</v>
      </c>
      <c r="B329" s="53" t="s">
        <v>490</v>
      </c>
      <c r="C329" s="53" t="s">
        <v>309</v>
      </c>
      <c r="D329" s="54" t="str">
        <f>_xlfn.XLOOKUP(E329,Organograma!H:H,Organograma!G:G,"")</f>
        <v>P.S - Pronto Socorro</v>
      </c>
      <c r="E329" s="54" t="s">
        <v>485</v>
      </c>
      <c r="F329" s="55">
        <v>46025</v>
      </c>
      <c r="G329" s="59" t="s">
        <v>192</v>
      </c>
      <c r="H329" s="55">
        <v>46173</v>
      </c>
      <c r="I329" s="56" t="s">
        <v>192</v>
      </c>
      <c r="J329" s="57">
        <v>0</v>
      </c>
      <c r="K329" s="58" t="s">
        <v>937</v>
      </c>
    </row>
    <row r="330" spans="1:11" ht="38.25">
      <c r="A330" s="52" t="s">
        <v>499</v>
      </c>
      <c r="B330" s="53" t="s">
        <v>500</v>
      </c>
      <c r="C330" s="53" t="s">
        <v>309</v>
      </c>
      <c r="D330" s="54" t="str">
        <f>_xlfn.XLOOKUP(E330,Organograma!H:H,Organograma!G:G,"")</f>
        <v>P.S - Pronto Socorro</v>
      </c>
      <c r="E330" s="54" t="s">
        <v>485</v>
      </c>
      <c r="F330" s="55">
        <v>46025</v>
      </c>
      <c r="G330" s="59" t="s">
        <v>192</v>
      </c>
      <c r="H330" s="55">
        <v>46173</v>
      </c>
      <c r="I330" s="56" t="s">
        <v>192</v>
      </c>
      <c r="J330" s="57">
        <v>0</v>
      </c>
      <c r="K330" s="58" t="s">
        <v>937</v>
      </c>
    </row>
    <row r="331" spans="1:11" ht="38.25">
      <c r="A331" s="52" t="s">
        <v>501</v>
      </c>
      <c r="B331" s="53" t="s">
        <v>500</v>
      </c>
      <c r="C331" s="53" t="s">
        <v>309</v>
      </c>
      <c r="D331" s="54" t="str">
        <f>_xlfn.XLOOKUP(E331,Organograma!H:H,Organograma!G:G,"")</f>
        <v>P.S - Pronto Socorro</v>
      </c>
      <c r="E331" s="54" t="s">
        <v>485</v>
      </c>
      <c r="F331" s="55">
        <v>46025</v>
      </c>
      <c r="G331" s="59" t="s">
        <v>192</v>
      </c>
      <c r="H331" s="55">
        <v>46173</v>
      </c>
      <c r="I331" s="56" t="s">
        <v>192</v>
      </c>
      <c r="J331" s="57">
        <v>0</v>
      </c>
      <c r="K331" s="58" t="s">
        <v>937</v>
      </c>
    </row>
    <row r="332" spans="1:11" ht="51">
      <c r="A332" s="52" t="s">
        <v>502</v>
      </c>
      <c r="B332" s="53" t="s">
        <v>500</v>
      </c>
      <c r="C332" s="53" t="s">
        <v>309</v>
      </c>
      <c r="D332" s="54" t="str">
        <f>_xlfn.XLOOKUP(E332,Organograma!H:H,Organograma!G:G,"")</f>
        <v>P.S - Pronto Socorro</v>
      </c>
      <c r="E332" s="54" t="s">
        <v>485</v>
      </c>
      <c r="F332" s="55">
        <v>46025</v>
      </c>
      <c r="G332" s="55">
        <v>46177</v>
      </c>
      <c r="H332" s="55">
        <v>46173</v>
      </c>
      <c r="I332" s="61">
        <v>46177</v>
      </c>
      <c r="J332" s="57">
        <v>1</v>
      </c>
      <c r="K332" s="58" t="s">
        <v>935</v>
      </c>
    </row>
    <row r="333" spans="1:11" ht="38.25">
      <c r="A333" s="52" t="s">
        <v>503</v>
      </c>
      <c r="B333" s="53" t="s">
        <v>500</v>
      </c>
      <c r="C333" s="53" t="s">
        <v>309</v>
      </c>
      <c r="D333" s="54" t="str">
        <f>_xlfn.XLOOKUP(E333,Organograma!H:H,Organograma!G:G,"")</f>
        <v>P.S - Pronto Socorro</v>
      </c>
      <c r="E333" s="54" t="s">
        <v>485</v>
      </c>
      <c r="F333" s="55">
        <v>46025</v>
      </c>
      <c r="G333" s="59" t="s">
        <v>192</v>
      </c>
      <c r="H333" s="55">
        <v>46173</v>
      </c>
      <c r="I333" s="56" t="s">
        <v>192</v>
      </c>
      <c r="J333" s="57">
        <v>0</v>
      </c>
      <c r="K333" s="58" t="s">
        <v>937</v>
      </c>
    </row>
    <row r="334" spans="1:11" ht="51">
      <c r="A334" s="52" t="s">
        <v>504</v>
      </c>
      <c r="B334" s="53" t="s">
        <v>500</v>
      </c>
      <c r="C334" s="53" t="s">
        <v>309</v>
      </c>
      <c r="D334" s="54" t="str">
        <f>_xlfn.XLOOKUP(E334,Organograma!H:H,Organograma!G:G,"")</f>
        <v>P.S - Pronto Socorro</v>
      </c>
      <c r="E334" s="54" t="s">
        <v>485</v>
      </c>
      <c r="F334" s="55">
        <v>46025</v>
      </c>
      <c r="G334" s="55">
        <v>46177</v>
      </c>
      <c r="H334" s="55">
        <v>46173</v>
      </c>
      <c r="I334" s="61">
        <v>46177</v>
      </c>
      <c r="J334" s="57">
        <v>1</v>
      </c>
      <c r="K334" s="58" t="s">
        <v>935</v>
      </c>
    </row>
    <row r="335" spans="1:11" ht="38.25">
      <c r="A335" s="52" t="s">
        <v>505</v>
      </c>
      <c r="B335" s="53" t="s">
        <v>500</v>
      </c>
      <c r="C335" s="53" t="s">
        <v>309</v>
      </c>
      <c r="D335" s="54" t="str">
        <f>_xlfn.XLOOKUP(E335,Organograma!H:H,Organograma!G:G,"")</f>
        <v>P.S - Pronto Socorro</v>
      </c>
      <c r="E335" s="54" t="s">
        <v>485</v>
      </c>
      <c r="F335" s="55">
        <v>46025</v>
      </c>
      <c r="G335" s="59" t="s">
        <v>192</v>
      </c>
      <c r="H335" s="55">
        <v>46173</v>
      </c>
      <c r="I335" s="56" t="s">
        <v>192</v>
      </c>
      <c r="J335" s="57">
        <v>0</v>
      </c>
      <c r="K335" s="58" t="s">
        <v>937</v>
      </c>
    </row>
    <row r="336" spans="1:11" ht="38.25">
      <c r="A336" s="52" t="s">
        <v>506</v>
      </c>
      <c r="B336" s="53" t="s">
        <v>500</v>
      </c>
      <c r="C336" s="53" t="s">
        <v>309</v>
      </c>
      <c r="D336" s="54" t="str">
        <f>_xlfn.XLOOKUP(E336,Organograma!H:H,Organograma!G:G,"")</f>
        <v>P.S - Pronto Socorro</v>
      </c>
      <c r="E336" s="54" t="s">
        <v>485</v>
      </c>
      <c r="F336" s="55">
        <v>46025</v>
      </c>
      <c r="G336" s="59" t="s">
        <v>192</v>
      </c>
      <c r="H336" s="55">
        <v>46173</v>
      </c>
      <c r="I336" s="56" t="s">
        <v>192</v>
      </c>
      <c r="J336" s="57">
        <v>0</v>
      </c>
      <c r="K336" s="58" t="s">
        <v>937</v>
      </c>
    </row>
    <row r="337" spans="1:11" ht="38.25">
      <c r="A337" s="52" t="s">
        <v>507</v>
      </c>
      <c r="B337" s="53" t="s">
        <v>500</v>
      </c>
      <c r="C337" s="53" t="s">
        <v>309</v>
      </c>
      <c r="D337" s="54" t="str">
        <f>_xlfn.XLOOKUP(E337,Organograma!H:H,Organograma!G:G,"")</f>
        <v>P.S - Pronto Socorro</v>
      </c>
      <c r="E337" s="54" t="s">
        <v>485</v>
      </c>
      <c r="F337" s="55">
        <v>46025</v>
      </c>
      <c r="G337" s="59" t="s">
        <v>192</v>
      </c>
      <c r="H337" s="55">
        <v>46173</v>
      </c>
      <c r="I337" s="56" t="s">
        <v>192</v>
      </c>
      <c r="J337" s="57">
        <v>0</v>
      </c>
      <c r="K337" s="58" t="s">
        <v>937</v>
      </c>
    </row>
    <row r="338" spans="1:11" ht="38.25">
      <c r="A338" s="52" t="s">
        <v>508</v>
      </c>
      <c r="B338" s="53" t="s">
        <v>500</v>
      </c>
      <c r="C338" s="53" t="s">
        <v>309</v>
      </c>
      <c r="D338" s="54" t="str">
        <f>_xlfn.XLOOKUP(E338,Organograma!H:H,Organograma!G:G,"")</f>
        <v>P.S - Pronto Socorro</v>
      </c>
      <c r="E338" s="54" t="s">
        <v>485</v>
      </c>
      <c r="F338" s="55">
        <v>46025</v>
      </c>
      <c r="G338" s="55">
        <v>46177</v>
      </c>
      <c r="H338" s="55">
        <v>46173</v>
      </c>
      <c r="I338" s="56" t="s">
        <v>192</v>
      </c>
      <c r="J338" s="57">
        <v>0.5</v>
      </c>
      <c r="K338" s="58" t="s">
        <v>936</v>
      </c>
    </row>
    <row r="339" spans="1:11" ht="51">
      <c r="A339" s="52" t="s">
        <v>509</v>
      </c>
      <c r="B339" s="53" t="s">
        <v>500</v>
      </c>
      <c r="C339" s="53" t="s">
        <v>309</v>
      </c>
      <c r="D339" s="54" t="str">
        <f>_xlfn.XLOOKUP(E339,Organograma!H:H,Organograma!G:G,"")</f>
        <v>P.S - Pronto Socorro</v>
      </c>
      <c r="E339" s="54" t="s">
        <v>485</v>
      </c>
      <c r="F339" s="55">
        <v>46025</v>
      </c>
      <c r="G339" s="55">
        <v>46177</v>
      </c>
      <c r="H339" s="55">
        <v>46173</v>
      </c>
      <c r="I339" s="61">
        <v>46177</v>
      </c>
      <c r="J339" s="57">
        <v>1</v>
      </c>
      <c r="K339" s="58" t="s">
        <v>935</v>
      </c>
    </row>
    <row r="340" spans="1:11" ht="38.25">
      <c r="A340" s="52" t="s">
        <v>510</v>
      </c>
      <c r="B340" s="53" t="s">
        <v>500</v>
      </c>
      <c r="C340" s="53" t="s">
        <v>309</v>
      </c>
      <c r="D340" s="54" t="str">
        <f>_xlfn.XLOOKUP(E340,Organograma!H:H,Organograma!G:G,"")</f>
        <v>P.S - Pronto Socorro</v>
      </c>
      <c r="E340" s="54" t="s">
        <v>485</v>
      </c>
      <c r="F340" s="55">
        <v>46025</v>
      </c>
      <c r="G340" s="59" t="s">
        <v>192</v>
      </c>
      <c r="H340" s="55">
        <v>46173</v>
      </c>
      <c r="I340" s="56" t="s">
        <v>192</v>
      </c>
      <c r="J340" s="57">
        <v>0</v>
      </c>
      <c r="K340" s="58" t="s">
        <v>937</v>
      </c>
    </row>
    <row r="341" spans="1:11" ht="51">
      <c r="A341" s="52" t="s">
        <v>511</v>
      </c>
      <c r="B341" s="53" t="s">
        <v>500</v>
      </c>
      <c r="C341" s="53" t="s">
        <v>309</v>
      </c>
      <c r="D341" s="54" t="str">
        <f>_xlfn.XLOOKUP(E341,Organograma!H:H,Organograma!G:G,"")</f>
        <v>P.S - Pronto Socorro</v>
      </c>
      <c r="E341" s="54" t="s">
        <v>485</v>
      </c>
      <c r="F341" s="55">
        <v>46025</v>
      </c>
      <c r="G341" s="55">
        <v>46104</v>
      </c>
      <c r="H341" s="55">
        <v>46173</v>
      </c>
      <c r="I341" s="56" t="s">
        <v>192</v>
      </c>
      <c r="J341" s="57">
        <v>0.25</v>
      </c>
      <c r="K341" s="58" t="s">
        <v>936</v>
      </c>
    </row>
    <row r="342" spans="1:11" ht="51">
      <c r="A342" s="52" t="s">
        <v>586</v>
      </c>
      <c r="B342" s="53" t="s">
        <v>587</v>
      </c>
      <c r="C342" s="53" t="s">
        <v>309</v>
      </c>
      <c r="D342" s="54" t="str">
        <f>_xlfn.XLOOKUP(E342,Organograma!H:H,Organograma!G:G,"")</f>
        <v>P.S - Pronto Socorro</v>
      </c>
      <c r="E342" s="54" t="s">
        <v>485</v>
      </c>
      <c r="F342" s="55">
        <v>46025</v>
      </c>
      <c r="G342" s="59" t="s">
        <v>192</v>
      </c>
      <c r="H342" s="55">
        <v>46173</v>
      </c>
      <c r="I342" s="56" t="s">
        <v>192</v>
      </c>
      <c r="J342" s="57">
        <v>0</v>
      </c>
      <c r="K342" s="58" t="s">
        <v>937</v>
      </c>
    </row>
    <row r="343" spans="1:11" ht="38.25">
      <c r="A343" s="52" t="s">
        <v>588</v>
      </c>
      <c r="B343" s="53" t="s">
        <v>587</v>
      </c>
      <c r="C343" s="53" t="s">
        <v>309</v>
      </c>
      <c r="D343" s="54" t="str">
        <f>_xlfn.XLOOKUP(E343,Organograma!H:H,Organograma!G:G,"")</f>
        <v>P.S - Pronto Socorro</v>
      </c>
      <c r="E343" s="54" t="s">
        <v>485</v>
      </c>
      <c r="F343" s="55">
        <v>46025</v>
      </c>
      <c r="G343" s="59" t="s">
        <v>192</v>
      </c>
      <c r="H343" s="55">
        <v>46173</v>
      </c>
      <c r="I343" s="56" t="s">
        <v>192</v>
      </c>
      <c r="J343" s="57">
        <v>0</v>
      </c>
      <c r="K343" s="58" t="s">
        <v>937</v>
      </c>
    </row>
    <row r="344" spans="1:11" ht="51">
      <c r="A344" s="52" t="s">
        <v>589</v>
      </c>
      <c r="B344" s="53" t="s">
        <v>587</v>
      </c>
      <c r="C344" s="53" t="s">
        <v>309</v>
      </c>
      <c r="D344" s="54" t="str">
        <f>_xlfn.XLOOKUP(E344,Organograma!H:H,Organograma!G:G,"")</f>
        <v>P.S - Pronto Socorro</v>
      </c>
      <c r="E344" s="54" t="s">
        <v>485</v>
      </c>
      <c r="F344" s="55">
        <v>46025</v>
      </c>
      <c r="G344" s="59" t="s">
        <v>192</v>
      </c>
      <c r="H344" s="55">
        <v>46173</v>
      </c>
      <c r="I344" s="56" t="s">
        <v>192</v>
      </c>
      <c r="J344" s="57">
        <v>0</v>
      </c>
      <c r="K344" s="58" t="s">
        <v>937</v>
      </c>
    </row>
    <row r="345" spans="1:11" ht="51">
      <c r="A345" s="52" t="s">
        <v>590</v>
      </c>
      <c r="B345" s="53" t="s">
        <v>587</v>
      </c>
      <c r="C345" s="53" t="s">
        <v>309</v>
      </c>
      <c r="D345" s="54" t="str">
        <f>_xlfn.XLOOKUP(E345,Organograma!H:H,Organograma!G:G,"")</f>
        <v>P.S - Pronto Socorro</v>
      </c>
      <c r="E345" s="54" t="s">
        <v>485</v>
      </c>
      <c r="F345" s="55">
        <v>46025</v>
      </c>
      <c r="G345" s="59" t="s">
        <v>192</v>
      </c>
      <c r="H345" s="55">
        <v>46173</v>
      </c>
      <c r="I345" s="56" t="s">
        <v>192</v>
      </c>
      <c r="J345" s="57">
        <v>0</v>
      </c>
      <c r="K345" s="58" t="s">
        <v>937</v>
      </c>
    </row>
    <row r="346" spans="1:11" ht="51">
      <c r="A346" s="52" t="s">
        <v>591</v>
      </c>
      <c r="B346" s="53" t="s">
        <v>587</v>
      </c>
      <c r="C346" s="53" t="s">
        <v>309</v>
      </c>
      <c r="D346" s="54" t="str">
        <f>_xlfn.XLOOKUP(E346,Organograma!H:H,Organograma!G:G,"")</f>
        <v>P.S - Pronto Socorro</v>
      </c>
      <c r="E346" s="54" t="s">
        <v>485</v>
      </c>
      <c r="F346" s="55">
        <v>46025</v>
      </c>
      <c r="G346" s="59" t="s">
        <v>192</v>
      </c>
      <c r="H346" s="55">
        <v>46173</v>
      </c>
      <c r="I346" s="56" t="s">
        <v>192</v>
      </c>
      <c r="J346" s="57">
        <v>0</v>
      </c>
      <c r="K346" s="58" t="s">
        <v>937</v>
      </c>
    </row>
    <row r="347" spans="1:11" ht="25.5">
      <c r="A347" s="52" t="s">
        <v>592</v>
      </c>
      <c r="B347" s="53" t="s">
        <v>587</v>
      </c>
      <c r="C347" s="53" t="s">
        <v>309</v>
      </c>
      <c r="D347" s="54" t="str">
        <f>_xlfn.XLOOKUP(E347,Organograma!H:H,Organograma!G:G,"")</f>
        <v>P.S - Pronto Socorro</v>
      </c>
      <c r="E347" s="54" t="s">
        <v>485</v>
      </c>
      <c r="F347" s="55">
        <v>46025</v>
      </c>
      <c r="G347" s="59" t="s">
        <v>192</v>
      </c>
      <c r="H347" s="55">
        <v>46173</v>
      </c>
      <c r="I347" s="56" t="s">
        <v>192</v>
      </c>
      <c r="J347" s="57">
        <v>0</v>
      </c>
      <c r="K347" s="58" t="s">
        <v>937</v>
      </c>
    </row>
    <row r="348" spans="1:11" ht="51">
      <c r="A348" s="52" t="s">
        <v>593</v>
      </c>
      <c r="B348" s="53" t="s">
        <v>587</v>
      </c>
      <c r="C348" s="53" t="s">
        <v>309</v>
      </c>
      <c r="D348" s="54" t="str">
        <f>_xlfn.XLOOKUP(E348,Organograma!H:H,Organograma!G:G,"")</f>
        <v>P.S - Pronto Socorro</v>
      </c>
      <c r="E348" s="54" t="s">
        <v>485</v>
      </c>
      <c r="F348" s="55">
        <v>46025</v>
      </c>
      <c r="G348" s="59" t="s">
        <v>192</v>
      </c>
      <c r="H348" s="55">
        <v>46173</v>
      </c>
      <c r="I348" s="56" t="s">
        <v>192</v>
      </c>
      <c r="J348" s="57">
        <v>0</v>
      </c>
      <c r="K348" s="58" t="s">
        <v>937</v>
      </c>
    </row>
    <row r="349" spans="1:11" ht="38.25">
      <c r="A349" s="52" t="s">
        <v>594</v>
      </c>
      <c r="B349" s="53" t="s">
        <v>587</v>
      </c>
      <c r="C349" s="53" t="s">
        <v>309</v>
      </c>
      <c r="D349" s="54" t="str">
        <f>_xlfn.XLOOKUP(E349,Organograma!H:H,Organograma!G:G,"")</f>
        <v>P.S - Pronto Socorro</v>
      </c>
      <c r="E349" s="54" t="s">
        <v>485</v>
      </c>
      <c r="F349" s="55">
        <v>46025</v>
      </c>
      <c r="G349" s="55">
        <v>46329</v>
      </c>
      <c r="H349" s="55">
        <v>46173</v>
      </c>
      <c r="I349" s="56" t="s">
        <v>192</v>
      </c>
      <c r="J349" s="57">
        <v>0.25</v>
      </c>
      <c r="K349" s="58" t="s">
        <v>936</v>
      </c>
    </row>
    <row r="350" spans="1:11" ht="38.25">
      <c r="A350" s="52" t="s">
        <v>273</v>
      </c>
      <c r="B350" s="53" t="s">
        <v>274</v>
      </c>
      <c r="C350" s="54" t="s">
        <v>218</v>
      </c>
      <c r="D350" s="54" t="str">
        <f>_xlfn.XLOOKUP(E350,Organograma!H:H,Organograma!G:G,"")</f>
        <v>APGQ - Assessoria de Planejamento e Gestão da Qualidade</v>
      </c>
      <c r="E350" s="60" t="s">
        <v>41</v>
      </c>
      <c r="F350" s="55">
        <v>46025</v>
      </c>
      <c r="G350" s="59" t="s">
        <v>192</v>
      </c>
      <c r="H350" s="55">
        <v>46203</v>
      </c>
      <c r="I350" s="56" t="s">
        <v>192</v>
      </c>
      <c r="J350" s="57">
        <v>0</v>
      </c>
      <c r="K350" s="58" t="s">
        <v>937</v>
      </c>
    </row>
    <row r="351" spans="1:11" ht="38.25">
      <c r="A351" s="52" t="s">
        <v>276</v>
      </c>
      <c r="B351" s="53" t="s">
        <v>274</v>
      </c>
      <c r="C351" s="54" t="s">
        <v>218</v>
      </c>
      <c r="D351" s="54" t="str">
        <f>_xlfn.XLOOKUP(E351,Organograma!H:H,Organograma!G:G,"")</f>
        <v>APGQ - Assessoria de Planejamento e Gestão da Qualidade</v>
      </c>
      <c r="E351" s="54" t="s">
        <v>275</v>
      </c>
      <c r="F351" s="55">
        <v>46025</v>
      </c>
      <c r="G351" s="59" t="s">
        <v>192</v>
      </c>
      <c r="H351" s="55">
        <v>46203</v>
      </c>
      <c r="I351" s="56" t="s">
        <v>192</v>
      </c>
      <c r="J351" s="57">
        <v>0</v>
      </c>
      <c r="K351" s="58" t="s">
        <v>937</v>
      </c>
    </row>
    <row r="352" spans="1:11" ht="38.25">
      <c r="A352" s="52" t="s">
        <v>277</v>
      </c>
      <c r="B352" s="53" t="s">
        <v>274</v>
      </c>
      <c r="C352" s="54" t="s">
        <v>218</v>
      </c>
      <c r="D352" s="54" t="str">
        <f>_xlfn.XLOOKUP(E352,Organograma!H:H,Organograma!G:G,"")</f>
        <v>APGQ - Assessoria de Planejamento e Gestão da Qualidade</v>
      </c>
      <c r="E352" s="54" t="s">
        <v>275</v>
      </c>
      <c r="F352" s="55">
        <v>46025</v>
      </c>
      <c r="G352" s="59" t="s">
        <v>192</v>
      </c>
      <c r="H352" s="55">
        <v>46203</v>
      </c>
      <c r="I352" s="56" t="s">
        <v>192</v>
      </c>
      <c r="J352" s="57">
        <v>0</v>
      </c>
      <c r="K352" s="58" t="s">
        <v>937</v>
      </c>
    </row>
    <row r="353" spans="1:11" ht="38.25">
      <c r="A353" s="52" t="s">
        <v>278</v>
      </c>
      <c r="B353" s="53" t="s">
        <v>274</v>
      </c>
      <c r="C353" s="54" t="s">
        <v>218</v>
      </c>
      <c r="D353" s="54" t="str">
        <f>_xlfn.XLOOKUP(E353,Organograma!H:H,Organograma!G:G,"")</f>
        <v>APGQ - Assessoria de Planejamento e Gestão da Qualidade</v>
      </c>
      <c r="E353" s="54" t="s">
        <v>275</v>
      </c>
      <c r="F353" s="55">
        <v>46025</v>
      </c>
      <c r="G353" s="59" t="s">
        <v>192</v>
      </c>
      <c r="H353" s="55">
        <v>46203</v>
      </c>
      <c r="I353" s="56" t="s">
        <v>192</v>
      </c>
      <c r="J353" s="57">
        <v>0</v>
      </c>
      <c r="K353" s="58" t="s">
        <v>937</v>
      </c>
    </row>
    <row r="354" spans="1:11" ht="38.25">
      <c r="A354" s="52" t="s">
        <v>279</v>
      </c>
      <c r="B354" s="53" t="s">
        <v>280</v>
      </c>
      <c r="C354" s="54" t="s">
        <v>218</v>
      </c>
      <c r="D354" s="54" t="str">
        <f>_xlfn.XLOOKUP(E354,Organograma!H:H,Organograma!G:G,"")</f>
        <v>APGQ - Assessoria de Planejamento e Gestão da Qualidade</v>
      </c>
      <c r="E354" s="54" t="s">
        <v>275</v>
      </c>
      <c r="F354" s="55">
        <v>46025</v>
      </c>
      <c r="G354" s="59" t="s">
        <v>192</v>
      </c>
      <c r="H354" s="55">
        <v>46203</v>
      </c>
      <c r="I354" s="56" t="s">
        <v>192</v>
      </c>
      <c r="J354" s="57">
        <v>0</v>
      </c>
      <c r="K354" s="58" t="s">
        <v>937</v>
      </c>
    </row>
    <row r="355" spans="1:11" ht="38.25">
      <c r="A355" s="52" t="s">
        <v>281</v>
      </c>
      <c r="B355" s="53" t="s">
        <v>280</v>
      </c>
      <c r="C355" s="54" t="s">
        <v>218</v>
      </c>
      <c r="D355" s="54" t="str">
        <f>_xlfn.XLOOKUP(E355,Organograma!H:H,Organograma!G:G,"")</f>
        <v>APGQ - Assessoria de Planejamento e Gestão da Qualidade</v>
      </c>
      <c r="E355" s="54" t="s">
        <v>275</v>
      </c>
      <c r="F355" s="55">
        <v>46025</v>
      </c>
      <c r="G355" s="59" t="s">
        <v>192</v>
      </c>
      <c r="H355" s="55">
        <v>46203</v>
      </c>
      <c r="I355" s="56" t="s">
        <v>192</v>
      </c>
      <c r="J355" s="57">
        <v>0</v>
      </c>
      <c r="K355" s="58" t="s">
        <v>937</v>
      </c>
    </row>
    <row r="356" spans="1:11" ht="51">
      <c r="A356" s="52" t="s">
        <v>419</v>
      </c>
      <c r="B356" s="53" t="s">
        <v>405</v>
      </c>
      <c r="C356" s="53" t="s">
        <v>309</v>
      </c>
      <c r="D356" s="54" t="str">
        <f>_xlfn.XLOOKUP(E356,Organograma!H:H,Organograma!G:G,"")</f>
        <v>APGQ - Assessoria de Planejamento e Gestão da Qualidade</v>
      </c>
      <c r="E356" s="54" t="s">
        <v>275</v>
      </c>
      <c r="F356" s="55">
        <v>46025</v>
      </c>
      <c r="G356" s="55">
        <v>46105</v>
      </c>
      <c r="H356" s="55">
        <v>46173</v>
      </c>
      <c r="I356" s="56" t="s">
        <v>192</v>
      </c>
      <c r="J356" s="57">
        <v>0.75</v>
      </c>
      <c r="K356" s="58" t="s">
        <v>936</v>
      </c>
    </row>
    <row r="357" spans="1:11" ht="51">
      <c r="A357" s="52" t="s">
        <v>561</v>
      </c>
      <c r="B357" s="53" t="s">
        <v>562</v>
      </c>
      <c r="C357" s="53" t="s">
        <v>309</v>
      </c>
      <c r="D357" s="54" t="str">
        <f>_xlfn.XLOOKUP(E357,Organograma!H:H,Organograma!G:G,"")</f>
        <v>APGQ - Assessoria de Planejamento e Gestão da Qualidade</v>
      </c>
      <c r="E357" s="54" t="s">
        <v>275</v>
      </c>
      <c r="F357" s="55">
        <v>46025</v>
      </c>
      <c r="G357" s="59" t="s">
        <v>192</v>
      </c>
      <c r="H357" s="55">
        <v>46173</v>
      </c>
      <c r="I357" s="56" t="s">
        <v>192</v>
      </c>
      <c r="J357" s="57">
        <v>0</v>
      </c>
      <c r="K357" s="58" t="s">
        <v>937</v>
      </c>
    </row>
    <row r="358" spans="1:11" ht="38.25">
      <c r="A358" s="52" t="s">
        <v>563</v>
      </c>
      <c r="B358" s="53" t="s">
        <v>562</v>
      </c>
      <c r="C358" s="53" t="s">
        <v>309</v>
      </c>
      <c r="D358" s="54" t="str">
        <f>_xlfn.XLOOKUP(E358,Organograma!H:H,Organograma!G:G,"")</f>
        <v>APGQ - Assessoria de Planejamento e Gestão da Qualidade</v>
      </c>
      <c r="E358" s="54" t="s">
        <v>275</v>
      </c>
      <c r="F358" s="55">
        <v>46025</v>
      </c>
      <c r="G358" s="59" t="s">
        <v>192</v>
      </c>
      <c r="H358" s="55">
        <v>46173</v>
      </c>
      <c r="I358" s="56" t="s">
        <v>192</v>
      </c>
      <c r="J358" s="57">
        <v>0</v>
      </c>
      <c r="K358" s="58" t="s">
        <v>937</v>
      </c>
    </row>
    <row r="359" spans="1:11" ht="38.25">
      <c r="A359" s="52" t="s">
        <v>564</v>
      </c>
      <c r="B359" s="53" t="s">
        <v>562</v>
      </c>
      <c r="C359" s="53" t="s">
        <v>309</v>
      </c>
      <c r="D359" s="54" t="str">
        <f>_xlfn.XLOOKUP(E359,Organograma!H:H,Organograma!G:G,"")</f>
        <v>APGQ - Assessoria de Planejamento e Gestão da Qualidade</v>
      </c>
      <c r="E359" s="54" t="s">
        <v>275</v>
      </c>
      <c r="F359" s="55">
        <v>46025</v>
      </c>
      <c r="G359" s="59" t="s">
        <v>192</v>
      </c>
      <c r="H359" s="55">
        <v>46173</v>
      </c>
      <c r="I359" s="56" t="s">
        <v>192</v>
      </c>
      <c r="J359" s="57">
        <v>0</v>
      </c>
      <c r="K359" s="58" t="s">
        <v>937</v>
      </c>
    </row>
    <row r="360" spans="1:11" ht="51">
      <c r="A360" s="52" t="s">
        <v>565</v>
      </c>
      <c r="B360" s="53" t="s">
        <v>562</v>
      </c>
      <c r="C360" s="53" t="s">
        <v>309</v>
      </c>
      <c r="D360" s="54" t="str">
        <f>_xlfn.XLOOKUP(E360,Organograma!H:H,Organograma!G:G,"")</f>
        <v>APGQ - Assessoria de Planejamento e Gestão da Qualidade</v>
      </c>
      <c r="E360" s="54" t="s">
        <v>275</v>
      </c>
      <c r="F360" s="55">
        <v>46025</v>
      </c>
      <c r="G360" s="59" t="s">
        <v>192</v>
      </c>
      <c r="H360" s="55">
        <v>46173</v>
      </c>
      <c r="I360" s="56" t="s">
        <v>192</v>
      </c>
      <c r="J360" s="57">
        <v>0</v>
      </c>
      <c r="K360" s="58" t="s">
        <v>937</v>
      </c>
    </row>
    <row r="361" spans="1:11" ht="38.25">
      <c r="A361" s="52" t="s">
        <v>566</v>
      </c>
      <c r="B361" s="53" t="s">
        <v>562</v>
      </c>
      <c r="C361" s="53" t="s">
        <v>309</v>
      </c>
      <c r="D361" s="54" t="str">
        <f>_xlfn.XLOOKUP(E361,Organograma!H:H,Organograma!G:G,"")</f>
        <v>APGQ - Assessoria de Planejamento e Gestão da Qualidade</v>
      </c>
      <c r="E361" s="54" t="s">
        <v>275</v>
      </c>
      <c r="F361" s="55">
        <v>46025</v>
      </c>
      <c r="G361" s="59" t="s">
        <v>192</v>
      </c>
      <c r="H361" s="55">
        <v>46173</v>
      </c>
      <c r="I361" s="56" t="s">
        <v>192</v>
      </c>
      <c r="J361" s="57">
        <v>0</v>
      </c>
      <c r="K361" s="58" t="s">
        <v>937</v>
      </c>
    </row>
    <row r="362" spans="1:11" ht="38.25">
      <c r="A362" s="52" t="s">
        <v>567</v>
      </c>
      <c r="B362" s="53" t="s">
        <v>562</v>
      </c>
      <c r="C362" s="53" t="s">
        <v>309</v>
      </c>
      <c r="D362" s="54" t="str">
        <f>_xlfn.XLOOKUP(E362,Organograma!H:H,Organograma!G:G,"")</f>
        <v>APGQ - Assessoria de Planejamento e Gestão da Qualidade</v>
      </c>
      <c r="E362" s="54" t="s">
        <v>275</v>
      </c>
      <c r="F362" s="55">
        <v>46025</v>
      </c>
      <c r="G362" s="59" t="s">
        <v>192</v>
      </c>
      <c r="H362" s="55">
        <v>46173</v>
      </c>
      <c r="I362" s="56" t="s">
        <v>192</v>
      </c>
      <c r="J362" s="57">
        <v>0</v>
      </c>
      <c r="K362" s="58" t="s">
        <v>937</v>
      </c>
    </row>
    <row r="363" spans="1:11" ht="38.25">
      <c r="A363" s="52" t="s">
        <v>568</v>
      </c>
      <c r="B363" s="53" t="s">
        <v>562</v>
      </c>
      <c r="C363" s="53" t="s">
        <v>309</v>
      </c>
      <c r="D363" s="54" t="str">
        <f>_xlfn.XLOOKUP(E363,Organograma!H:H,Organograma!G:G,"")</f>
        <v>APGQ - Assessoria de Planejamento e Gestão da Qualidade</v>
      </c>
      <c r="E363" s="54" t="s">
        <v>275</v>
      </c>
      <c r="F363" s="55">
        <v>46025</v>
      </c>
      <c r="G363" s="59" t="s">
        <v>192</v>
      </c>
      <c r="H363" s="55">
        <v>46173</v>
      </c>
      <c r="I363" s="56" t="s">
        <v>192</v>
      </c>
      <c r="J363" s="57">
        <v>0</v>
      </c>
      <c r="K363" s="58" t="s">
        <v>937</v>
      </c>
    </row>
    <row r="364" spans="1:11" ht="51">
      <c r="A364" s="52" t="s">
        <v>569</v>
      </c>
      <c r="B364" s="53" t="s">
        <v>562</v>
      </c>
      <c r="C364" s="53" t="s">
        <v>309</v>
      </c>
      <c r="D364" s="54" t="str">
        <f>_xlfn.XLOOKUP(E364,Organograma!H:H,Organograma!G:G,"")</f>
        <v>APGQ - Assessoria de Planejamento e Gestão da Qualidade</v>
      </c>
      <c r="E364" s="54" t="s">
        <v>275</v>
      </c>
      <c r="F364" s="55">
        <v>46025</v>
      </c>
      <c r="G364" s="59" t="s">
        <v>192</v>
      </c>
      <c r="H364" s="55">
        <v>46173</v>
      </c>
      <c r="I364" s="56" t="s">
        <v>192</v>
      </c>
      <c r="J364" s="57">
        <v>0</v>
      </c>
      <c r="K364" s="58" t="s">
        <v>937</v>
      </c>
    </row>
    <row r="365" spans="1:11" ht="38.25">
      <c r="A365" s="52" t="s">
        <v>570</v>
      </c>
      <c r="B365" s="53" t="s">
        <v>562</v>
      </c>
      <c r="C365" s="53" t="s">
        <v>309</v>
      </c>
      <c r="D365" s="54" t="str">
        <f>_xlfn.XLOOKUP(E365,Organograma!H:H,Organograma!G:G,"")</f>
        <v>APGQ - Assessoria de Planejamento e Gestão da Qualidade</v>
      </c>
      <c r="E365" s="54" t="s">
        <v>275</v>
      </c>
      <c r="F365" s="55">
        <v>46025</v>
      </c>
      <c r="G365" s="59" t="s">
        <v>192</v>
      </c>
      <c r="H365" s="55">
        <v>46173</v>
      </c>
      <c r="I365" s="56" t="s">
        <v>192</v>
      </c>
      <c r="J365" s="57">
        <v>0</v>
      </c>
      <c r="K365" s="58" t="s">
        <v>937</v>
      </c>
    </row>
    <row r="366" spans="1:11" ht="38.25">
      <c r="A366" s="52" t="s">
        <v>571</v>
      </c>
      <c r="B366" s="53" t="s">
        <v>562</v>
      </c>
      <c r="C366" s="53" t="s">
        <v>309</v>
      </c>
      <c r="D366" s="54" t="str">
        <f>_xlfn.XLOOKUP(E366,Organograma!H:H,Organograma!G:G,"")</f>
        <v>APGQ - Assessoria de Planejamento e Gestão da Qualidade</v>
      </c>
      <c r="E366" s="54" t="s">
        <v>275</v>
      </c>
      <c r="F366" s="55">
        <v>46025</v>
      </c>
      <c r="G366" s="59" t="s">
        <v>192</v>
      </c>
      <c r="H366" s="55">
        <v>46173</v>
      </c>
      <c r="I366" s="56" t="s">
        <v>192</v>
      </c>
      <c r="J366" s="57">
        <v>0</v>
      </c>
      <c r="K366" s="58" t="s">
        <v>937</v>
      </c>
    </row>
    <row r="367" spans="1:11" ht="38.25">
      <c r="A367" s="52" t="s">
        <v>572</v>
      </c>
      <c r="B367" s="53" t="s">
        <v>562</v>
      </c>
      <c r="C367" s="53" t="s">
        <v>309</v>
      </c>
      <c r="D367" s="54" t="str">
        <f>_xlfn.XLOOKUP(E367,Organograma!H:H,Organograma!G:G,"")</f>
        <v>APGQ - Assessoria de Planejamento e Gestão da Qualidade</v>
      </c>
      <c r="E367" s="54" t="s">
        <v>275</v>
      </c>
      <c r="F367" s="55">
        <v>46025</v>
      </c>
      <c r="G367" s="59" t="s">
        <v>192</v>
      </c>
      <c r="H367" s="55">
        <v>46173</v>
      </c>
      <c r="I367" s="56" t="s">
        <v>192</v>
      </c>
      <c r="J367" s="57">
        <v>0</v>
      </c>
      <c r="K367" s="58" t="s">
        <v>937</v>
      </c>
    </row>
    <row r="368" spans="1:11" ht="38.25">
      <c r="A368" s="52" t="s">
        <v>573</v>
      </c>
      <c r="B368" s="53" t="s">
        <v>562</v>
      </c>
      <c r="C368" s="53" t="s">
        <v>309</v>
      </c>
      <c r="D368" s="54" t="str">
        <f>_xlfn.XLOOKUP(E368,Organograma!H:H,Organograma!G:G,"")</f>
        <v>APGQ - Assessoria de Planejamento e Gestão da Qualidade</v>
      </c>
      <c r="E368" s="54" t="s">
        <v>275</v>
      </c>
      <c r="F368" s="55">
        <v>46025</v>
      </c>
      <c r="G368" s="59" t="s">
        <v>192</v>
      </c>
      <c r="H368" s="55">
        <v>46173</v>
      </c>
      <c r="I368" s="56" t="s">
        <v>192</v>
      </c>
      <c r="J368" s="57">
        <v>0</v>
      </c>
      <c r="K368" s="58" t="s">
        <v>937</v>
      </c>
    </row>
    <row r="369" spans="1:11" ht="51">
      <c r="A369" s="52" t="s">
        <v>574</v>
      </c>
      <c r="B369" s="53" t="s">
        <v>562</v>
      </c>
      <c r="C369" s="53" t="s">
        <v>309</v>
      </c>
      <c r="D369" s="54" t="str">
        <f>_xlfn.XLOOKUP(E369,Organograma!H:H,Organograma!G:G,"")</f>
        <v>APGQ - Assessoria de Planejamento e Gestão da Qualidade</v>
      </c>
      <c r="E369" s="54" t="s">
        <v>275</v>
      </c>
      <c r="F369" s="55">
        <v>46025</v>
      </c>
      <c r="G369" s="59" t="s">
        <v>192</v>
      </c>
      <c r="H369" s="55">
        <v>46173</v>
      </c>
      <c r="I369" s="56" t="s">
        <v>192</v>
      </c>
      <c r="J369" s="57">
        <v>0</v>
      </c>
      <c r="K369" s="58" t="s">
        <v>937</v>
      </c>
    </row>
    <row r="370" spans="1:11" ht="38.25">
      <c r="A370" s="52" t="s">
        <v>575</v>
      </c>
      <c r="B370" s="53" t="s">
        <v>562</v>
      </c>
      <c r="C370" s="53" t="s">
        <v>309</v>
      </c>
      <c r="D370" s="54" t="str">
        <f>_xlfn.XLOOKUP(E370,Organograma!H:H,Organograma!G:G,"")</f>
        <v>APGQ - Assessoria de Planejamento e Gestão da Qualidade</v>
      </c>
      <c r="E370" s="54" t="s">
        <v>275</v>
      </c>
      <c r="F370" s="55">
        <v>46025</v>
      </c>
      <c r="G370" s="59" t="s">
        <v>192</v>
      </c>
      <c r="H370" s="55">
        <v>46173</v>
      </c>
      <c r="I370" s="56" t="s">
        <v>192</v>
      </c>
      <c r="J370" s="57">
        <v>0</v>
      </c>
      <c r="K370" s="58" t="s">
        <v>937</v>
      </c>
    </row>
    <row r="371" spans="1:11" ht="38.25">
      <c r="A371" s="52" t="s">
        <v>576</v>
      </c>
      <c r="B371" s="53" t="s">
        <v>562</v>
      </c>
      <c r="C371" s="53" t="s">
        <v>309</v>
      </c>
      <c r="D371" s="54" t="str">
        <f>_xlfn.XLOOKUP(E371,Organograma!H:H,Organograma!G:G,"")</f>
        <v>APGQ - Assessoria de Planejamento e Gestão da Qualidade</v>
      </c>
      <c r="E371" s="54" t="s">
        <v>275</v>
      </c>
      <c r="F371" s="55">
        <v>46025</v>
      </c>
      <c r="G371" s="59" t="s">
        <v>192</v>
      </c>
      <c r="H371" s="55">
        <v>46173</v>
      </c>
      <c r="I371" s="56" t="s">
        <v>192</v>
      </c>
      <c r="J371" s="57">
        <v>0</v>
      </c>
      <c r="K371" s="58" t="s">
        <v>937</v>
      </c>
    </row>
    <row r="372" spans="1:11" ht="38.25">
      <c r="A372" s="52" t="s">
        <v>577</v>
      </c>
      <c r="B372" s="53" t="s">
        <v>578</v>
      </c>
      <c r="C372" s="53" t="s">
        <v>309</v>
      </c>
      <c r="D372" s="54" t="str">
        <f>_xlfn.XLOOKUP(E372,Organograma!H:H,Organograma!G:G,"")</f>
        <v>APGQ - Assessoria de Planejamento e Gestão da Qualidade</v>
      </c>
      <c r="E372" s="54" t="s">
        <v>275</v>
      </c>
      <c r="F372" s="55">
        <v>46025</v>
      </c>
      <c r="G372" s="59" t="s">
        <v>192</v>
      </c>
      <c r="H372" s="55">
        <v>46173</v>
      </c>
      <c r="I372" s="56" t="s">
        <v>192</v>
      </c>
      <c r="J372" s="57">
        <v>0</v>
      </c>
      <c r="K372" s="58" t="s">
        <v>937</v>
      </c>
    </row>
    <row r="373" spans="1:11" ht="38.25">
      <c r="A373" s="52" t="s">
        <v>579</v>
      </c>
      <c r="B373" s="53" t="s">
        <v>578</v>
      </c>
      <c r="C373" s="53" t="s">
        <v>309</v>
      </c>
      <c r="D373" s="54" t="str">
        <f>_xlfn.XLOOKUP(E373,Organograma!H:H,Organograma!G:G,"")</f>
        <v>APGQ - Assessoria de Planejamento e Gestão da Qualidade</v>
      </c>
      <c r="E373" s="54" t="s">
        <v>275</v>
      </c>
      <c r="F373" s="55">
        <v>46025</v>
      </c>
      <c r="G373" s="59" t="s">
        <v>192</v>
      </c>
      <c r="H373" s="55">
        <v>46173</v>
      </c>
      <c r="I373" s="56" t="s">
        <v>192</v>
      </c>
      <c r="J373" s="57">
        <v>0</v>
      </c>
      <c r="K373" s="58" t="s">
        <v>937</v>
      </c>
    </row>
    <row r="374" spans="1:11" ht="51">
      <c r="A374" s="52" t="s">
        <v>580</v>
      </c>
      <c r="B374" s="53" t="s">
        <v>578</v>
      </c>
      <c r="C374" s="53" t="s">
        <v>309</v>
      </c>
      <c r="D374" s="54" t="str">
        <f>_xlfn.XLOOKUP(E374,Organograma!H:H,Organograma!G:G,"")</f>
        <v>APGQ - Assessoria de Planejamento e Gestão da Qualidade</v>
      </c>
      <c r="E374" s="54" t="s">
        <v>275</v>
      </c>
      <c r="F374" s="55">
        <v>46025</v>
      </c>
      <c r="G374" s="59" t="s">
        <v>192</v>
      </c>
      <c r="H374" s="55">
        <v>46173</v>
      </c>
      <c r="I374" s="56" t="s">
        <v>192</v>
      </c>
      <c r="J374" s="57">
        <v>0</v>
      </c>
      <c r="K374" s="58" t="s">
        <v>937</v>
      </c>
    </row>
    <row r="375" spans="1:11" ht="51">
      <c r="A375" s="52" t="s">
        <v>581</v>
      </c>
      <c r="B375" s="53" t="s">
        <v>578</v>
      </c>
      <c r="C375" s="53" t="s">
        <v>309</v>
      </c>
      <c r="D375" s="54" t="str">
        <f>_xlfn.XLOOKUP(E375,Organograma!H:H,Organograma!G:G,"")</f>
        <v>APGQ - Assessoria de Planejamento e Gestão da Qualidade</v>
      </c>
      <c r="E375" s="54" t="s">
        <v>275</v>
      </c>
      <c r="F375" s="55">
        <v>46025</v>
      </c>
      <c r="G375" s="59" t="s">
        <v>192</v>
      </c>
      <c r="H375" s="55">
        <v>46173</v>
      </c>
      <c r="I375" s="56" t="s">
        <v>192</v>
      </c>
      <c r="J375" s="57">
        <v>0</v>
      </c>
      <c r="K375" s="58" t="s">
        <v>937</v>
      </c>
    </row>
    <row r="376" spans="1:11" ht="38.25">
      <c r="A376" s="52" t="s">
        <v>582</v>
      </c>
      <c r="B376" s="53" t="s">
        <v>578</v>
      </c>
      <c r="C376" s="53" t="s">
        <v>309</v>
      </c>
      <c r="D376" s="54" t="str">
        <f>_xlfn.XLOOKUP(E376,Organograma!H:H,Organograma!G:G,"")</f>
        <v>APGQ - Assessoria de Planejamento e Gestão da Qualidade</v>
      </c>
      <c r="E376" s="54" t="s">
        <v>275</v>
      </c>
      <c r="F376" s="55">
        <v>46025</v>
      </c>
      <c r="G376" s="59" t="s">
        <v>192</v>
      </c>
      <c r="H376" s="55">
        <v>46173</v>
      </c>
      <c r="I376" s="56" t="s">
        <v>192</v>
      </c>
      <c r="J376" s="57">
        <v>0</v>
      </c>
      <c r="K376" s="58" t="s">
        <v>937</v>
      </c>
    </row>
    <row r="377" spans="1:11" ht="51">
      <c r="A377" s="52" t="s">
        <v>583</v>
      </c>
      <c r="B377" s="53" t="s">
        <v>578</v>
      </c>
      <c r="C377" s="53" t="s">
        <v>309</v>
      </c>
      <c r="D377" s="54" t="str">
        <f>_xlfn.XLOOKUP(E377,Organograma!H:H,Organograma!G:G,"")</f>
        <v>APGQ - Assessoria de Planejamento e Gestão da Qualidade</v>
      </c>
      <c r="E377" s="54" t="s">
        <v>275</v>
      </c>
      <c r="F377" s="55">
        <v>46025</v>
      </c>
      <c r="G377" s="59" t="s">
        <v>192</v>
      </c>
      <c r="H377" s="55">
        <v>46173</v>
      </c>
      <c r="I377" s="56" t="s">
        <v>192</v>
      </c>
      <c r="J377" s="57">
        <v>0</v>
      </c>
      <c r="K377" s="58" t="s">
        <v>937</v>
      </c>
    </row>
    <row r="378" spans="1:11" ht="51">
      <c r="A378" s="52" t="s">
        <v>584</v>
      </c>
      <c r="B378" s="53" t="s">
        <v>578</v>
      </c>
      <c r="C378" s="53" t="s">
        <v>309</v>
      </c>
      <c r="D378" s="54" t="str">
        <f>_xlfn.XLOOKUP(E378,Organograma!H:H,Organograma!G:G,"")</f>
        <v>APGQ - Assessoria de Planejamento e Gestão da Qualidade</v>
      </c>
      <c r="E378" s="54" t="s">
        <v>275</v>
      </c>
      <c r="F378" s="55">
        <v>46025</v>
      </c>
      <c r="G378" s="59" t="s">
        <v>192</v>
      </c>
      <c r="H378" s="55">
        <v>46173</v>
      </c>
      <c r="I378" s="56" t="s">
        <v>192</v>
      </c>
      <c r="J378" s="57">
        <v>0</v>
      </c>
      <c r="K378" s="58" t="s">
        <v>937</v>
      </c>
    </row>
    <row r="379" spans="1:11" ht="51">
      <c r="A379" s="52" t="s">
        <v>585</v>
      </c>
      <c r="B379" s="53" t="s">
        <v>578</v>
      </c>
      <c r="C379" s="53" t="s">
        <v>309</v>
      </c>
      <c r="D379" s="54" t="str">
        <f>_xlfn.XLOOKUP(E379,Organograma!H:H,Organograma!G:G,"")</f>
        <v>APGQ - Assessoria de Planejamento e Gestão da Qualidade</v>
      </c>
      <c r="E379" s="54" t="s">
        <v>275</v>
      </c>
      <c r="F379" s="55">
        <v>46025</v>
      </c>
      <c r="G379" s="59" t="s">
        <v>192</v>
      </c>
      <c r="H379" s="55">
        <v>46173</v>
      </c>
      <c r="I379" s="56" t="s">
        <v>192</v>
      </c>
      <c r="J379" s="57">
        <v>0</v>
      </c>
      <c r="K379" s="58" t="s">
        <v>937</v>
      </c>
    </row>
    <row r="380" spans="1:11" ht="38.25">
      <c r="A380" s="52" t="s">
        <v>595</v>
      </c>
      <c r="B380" s="53" t="s">
        <v>596</v>
      </c>
      <c r="C380" s="53" t="s">
        <v>309</v>
      </c>
      <c r="D380" s="54" t="str">
        <f>_xlfn.XLOOKUP(E380,Organograma!H:H,Organograma!G:G,"")</f>
        <v>APGQ - Assessoria de Planejamento e Gestão da Qualidade</v>
      </c>
      <c r="E380" s="54" t="s">
        <v>275</v>
      </c>
      <c r="F380" s="55">
        <v>46025</v>
      </c>
      <c r="G380" s="59" t="s">
        <v>192</v>
      </c>
      <c r="H380" s="55">
        <v>46173</v>
      </c>
      <c r="I380" s="56" t="s">
        <v>192</v>
      </c>
      <c r="J380" s="57">
        <v>0</v>
      </c>
      <c r="K380" s="58" t="s">
        <v>937</v>
      </c>
    </row>
    <row r="381" spans="1:11" ht="51">
      <c r="A381" s="52" t="s">
        <v>597</v>
      </c>
      <c r="B381" s="53" t="s">
        <v>596</v>
      </c>
      <c r="C381" s="53" t="s">
        <v>309</v>
      </c>
      <c r="D381" s="54" t="str">
        <f>_xlfn.XLOOKUP(E381,Organograma!H:H,Organograma!G:G,"")</f>
        <v>APGQ - Assessoria de Planejamento e Gestão da Qualidade</v>
      </c>
      <c r="E381" s="54" t="s">
        <v>275</v>
      </c>
      <c r="F381" s="55">
        <v>46025</v>
      </c>
      <c r="G381" s="59" t="s">
        <v>192</v>
      </c>
      <c r="H381" s="55">
        <v>46173</v>
      </c>
      <c r="I381" s="56" t="s">
        <v>192</v>
      </c>
      <c r="J381" s="57">
        <v>0</v>
      </c>
      <c r="K381" s="58" t="s">
        <v>937</v>
      </c>
    </row>
    <row r="382" spans="1:11" ht="51">
      <c r="A382" s="52" t="s">
        <v>598</v>
      </c>
      <c r="B382" s="53" t="s">
        <v>596</v>
      </c>
      <c r="C382" s="53" t="s">
        <v>309</v>
      </c>
      <c r="D382" s="54" t="str">
        <f>_xlfn.XLOOKUP(E382,Organograma!H:H,Organograma!G:G,"")</f>
        <v>APGQ - Assessoria de Planejamento e Gestão da Qualidade</v>
      </c>
      <c r="E382" s="54" t="s">
        <v>275</v>
      </c>
      <c r="F382" s="55">
        <v>46025</v>
      </c>
      <c r="G382" s="59" t="s">
        <v>192</v>
      </c>
      <c r="H382" s="55">
        <v>46173</v>
      </c>
      <c r="I382" s="56" t="s">
        <v>192</v>
      </c>
      <c r="J382" s="57">
        <v>0</v>
      </c>
      <c r="K382" s="58" t="s">
        <v>937</v>
      </c>
    </row>
    <row r="383" spans="1:11" ht="38.25">
      <c r="A383" s="52" t="s">
        <v>599</v>
      </c>
      <c r="B383" s="53" t="s">
        <v>596</v>
      </c>
      <c r="C383" s="53" t="s">
        <v>309</v>
      </c>
      <c r="D383" s="54" t="str">
        <f>_xlfn.XLOOKUP(E383,Organograma!H:H,Organograma!G:G,"")</f>
        <v>APGQ - Assessoria de Planejamento e Gestão da Qualidade</v>
      </c>
      <c r="E383" s="54" t="s">
        <v>275</v>
      </c>
      <c r="F383" s="55">
        <v>46025</v>
      </c>
      <c r="G383" s="59" t="s">
        <v>192</v>
      </c>
      <c r="H383" s="55">
        <v>46173</v>
      </c>
      <c r="I383" s="56" t="s">
        <v>192</v>
      </c>
      <c r="J383" s="57">
        <v>0</v>
      </c>
      <c r="K383" s="58" t="s">
        <v>937</v>
      </c>
    </row>
    <row r="384" spans="1:11" ht="51">
      <c r="A384" s="52" t="s">
        <v>600</v>
      </c>
      <c r="B384" s="53" t="s">
        <v>596</v>
      </c>
      <c r="C384" s="53" t="s">
        <v>309</v>
      </c>
      <c r="D384" s="54" t="str">
        <f>_xlfn.XLOOKUP(E384,Organograma!H:H,Organograma!G:G,"")</f>
        <v>APGQ - Assessoria de Planejamento e Gestão da Qualidade</v>
      </c>
      <c r="E384" s="54" t="s">
        <v>275</v>
      </c>
      <c r="F384" s="55">
        <v>46025</v>
      </c>
      <c r="G384" s="59" t="s">
        <v>192</v>
      </c>
      <c r="H384" s="55">
        <v>46173</v>
      </c>
      <c r="I384" s="56" t="s">
        <v>192</v>
      </c>
      <c r="J384" s="57">
        <v>0</v>
      </c>
      <c r="K384" s="58" t="s">
        <v>937</v>
      </c>
    </row>
    <row r="385" spans="1:11" ht="51">
      <c r="A385" s="52" t="s">
        <v>601</v>
      </c>
      <c r="B385" s="53" t="s">
        <v>596</v>
      </c>
      <c r="C385" s="53" t="s">
        <v>309</v>
      </c>
      <c r="D385" s="54" t="str">
        <f>_xlfn.XLOOKUP(E385,Organograma!H:H,Organograma!G:G,"")</f>
        <v>APGQ - Assessoria de Planejamento e Gestão da Qualidade</v>
      </c>
      <c r="E385" s="54" t="s">
        <v>275</v>
      </c>
      <c r="F385" s="55">
        <v>46025</v>
      </c>
      <c r="G385" s="59" t="s">
        <v>192</v>
      </c>
      <c r="H385" s="55">
        <v>46173</v>
      </c>
      <c r="I385" s="56" t="s">
        <v>192</v>
      </c>
      <c r="J385" s="57">
        <v>0</v>
      </c>
      <c r="K385" s="58" t="s">
        <v>937</v>
      </c>
    </row>
    <row r="386" spans="1:11" ht="51">
      <c r="A386" s="52" t="s">
        <v>602</v>
      </c>
      <c r="B386" s="53" t="s">
        <v>596</v>
      </c>
      <c r="C386" s="53" t="s">
        <v>309</v>
      </c>
      <c r="D386" s="54" t="str">
        <f>_xlfn.XLOOKUP(E386,Organograma!H:H,Organograma!G:G,"")</f>
        <v>APGQ - Assessoria de Planejamento e Gestão da Qualidade</v>
      </c>
      <c r="E386" s="54" t="s">
        <v>275</v>
      </c>
      <c r="F386" s="55">
        <v>46025</v>
      </c>
      <c r="G386" s="59" t="s">
        <v>192</v>
      </c>
      <c r="H386" s="55">
        <v>46173</v>
      </c>
      <c r="I386" s="56" t="s">
        <v>192</v>
      </c>
      <c r="J386" s="57">
        <v>0</v>
      </c>
      <c r="K386" s="58" t="s">
        <v>937</v>
      </c>
    </row>
    <row r="387" spans="1:11" ht="51">
      <c r="A387" s="52" t="s">
        <v>603</v>
      </c>
      <c r="B387" s="53" t="s">
        <v>596</v>
      </c>
      <c r="C387" s="53" t="s">
        <v>309</v>
      </c>
      <c r="D387" s="54" t="str">
        <f>_xlfn.XLOOKUP(E387,Organograma!H:H,Organograma!G:G,"")</f>
        <v>APGQ - Assessoria de Planejamento e Gestão da Qualidade</v>
      </c>
      <c r="E387" s="54" t="s">
        <v>275</v>
      </c>
      <c r="F387" s="55">
        <v>46025</v>
      </c>
      <c r="G387" s="59" t="s">
        <v>192</v>
      </c>
      <c r="H387" s="55">
        <v>46173</v>
      </c>
      <c r="I387" s="56" t="s">
        <v>192</v>
      </c>
      <c r="J387" s="57">
        <v>0</v>
      </c>
      <c r="K387" s="58" t="s">
        <v>937</v>
      </c>
    </row>
    <row r="388" spans="1:11" ht="51">
      <c r="A388" s="52" t="s">
        <v>604</v>
      </c>
      <c r="B388" s="53" t="s">
        <v>596</v>
      </c>
      <c r="C388" s="53" t="s">
        <v>309</v>
      </c>
      <c r="D388" s="54" t="str">
        <f>_xlfn.XLOOKUP(E388,Organograma!H:H,Organograma!G:G,"")</f>
        <v>APGQ - Assessoria de Planejamento e Gestão da Qualidade</v>
      </c>
      <c r="E388" s="54" t="s">
        <v>275</v>
      </c>
      <c r="F388" s="55">
        <v>46025</v>
      </c>
      <c r="G388" s="59" t="s">
        <v>192</v>
      </c>
      <c r="H388" s="55">
        <v>46173</v>
      </c>
      <c r="I388" s="56" t="s">
        <v>192</v>
      </c>
      <c r="J388" s="57">
        <v>0</v>
      </c>
      <c r="K388" s="58" t="s">
        <v>937</v>
      </c>
    </row>
    <row r="389" spans="1:11" ht="38.25">
      <c r="A389" s="52" t="s">
        <v>605</v>
      </c>
      <c r="B389" s="53" t="s">
        <v>596</v>
      </c>
      <c r="C389" s="53" t="s">
        <v>309</v>
      </c>
      <c r="D389" s="54" t="str">
        <f>_xlfn.XLOOKUP(E389,Organograma!H:H,Organograma!G:G,"")</f>
        <v>APGQ - Assessoria de Planejamento e Gestão da Qualidade</v>
      </c>
      <c r="E389" s="54" t="s">
        <v>275</v>
      </c>
      <c r="F389" s="55">
        <v>46025</v>
      </c>
      <c r="G389" s="59" t="s">
        <v>192</v>
      </c>
      <c r="H389" s="55">
        <v>46173</v>
      </c>
      <c r="I389" s="56" t="s">
        <v>192</v>
      </c>
      <c r="J389" s="57">
        <v>0</v>
      </c>
      <c r="K389" s="58" t="s">
        <v>937</v>
      </c>
    </row>
    <row r="390" spans="1:11" ht="51">
      <c r="A390" s="52" t="s">
        <v>606</v>
      </c>
      <c r="B390" s="53" t="s">
        <v>596</v>
      </c>
      <c r="C390" s="53" t="s">
        <v>309</v>
      </c>
      <c r="D390" s="54" t="str">
        <f>_xlfn.XLOOKUP(E390,Organograma!H:H,Organograma!G:G,"")</f>
        <v>APGQ - Assessoria de Planejamento e Gestão da Qualidade</v>
      </c>
      <c r="E390" s="54" t="s">
        <v>275</v>
      </c>
      <c r="F390" s="55">
        <v>46025</v>
      </c>
      <c r="G390" s="59" t="s">
        <v>192</v>
      </c>
      <c r="H390" s="55">
        <v>46173</v>
      </c>
      <c r="I390" s="56" t="s">
        <v>192</v>
      </c>
      <c r="J390" s="57">
        <v>0</v>
      </c>
      <c r="K390" s="58" t="s">
        <v>937</v>
      </c>
    </row>
    <row r="391" spans="1:11" ht="51">
      <c r="A391" s="52" t="s">
        <v>607</v>
      </c>
      <c r="B391" s="53" t="s">
        <v>596</v>
      </c>
      <c r="C391" s="53" t="s">
        <v>309</v>
      </c>
      <c r="D391" s="54" t="str">
        <f>_xlfn.XLOOKUP(E391,Organograma!H:H,Organograma!G:G,"")</f>
        <v>APGQ - Assessoria de Planejamento e Gestão da Qualidade</v>
      </c>
      <c r="E391" s="54" t="s">
        <v>275</v>
      </c>
      <c r="F391" s="55">
        <v>46025</v>
      </c>
      <c r="G391" s="59" t="s">
        <v>192</v>
      </c>
      <c r="H391" s="55">
        <v>46173</v>
      </c>
      <c r="I391" s="56" t="s">
        <v>192</v>
      </c>
      <c r="J391" s="57">
        <v>0</v>
      </c>
      <c r="K391" s="58" t="s">
        <v>937</v>
      </c>
    </row>
    <row r="392" spans="1:11" ht="38.25">
      <c r="A392" s="52" t="s">
        <v>608</v>
      </c>
      <c r="B392" s="53" t="s">
        <v>596</v>
      </c>
      <c r="C392" s="53" t="s">
        <v>309</v>
      </c>
      <c r="D392" s="54" t="str">
        <f>_xlfn.XLOOKUP(E392,Organograma!H:H,Organograma!G:G,"")</f>
        <v>APGQ - Assessoria de Planejamento e Gestão da Qualidade</v>
      </c>
      <c r="E392" s="54" t="s">
        <v>275</v>
      </c>
      <c r="F392" s="55">
        <v>46025</v>
      </c>
      <c r="G392" s="59" t="s">
        <v>192</v>
      </c>
      <c r="H392" s="55">
        <v>46173</v>
      </c>
      <c r="I392" s="56" t="s">
        <v>192</v>
      </c>
      <c r="J392" s="57">
        <v>0</v>
      </c>
      <c r="K392" s="58" t="s">
        <v>937</v>
      </c>
    </row>
    <row r="393" spans="1:11" ht="51">
      <c r="A393" s="52" t="s">
        <v>609</v>
      </c>
      <c r="B393" s="53" t="s">
        <v>596</v>
      </c>
      <c r="C393" s="53" t="s">
        <v>309</v>
      </c>
      <c r="D393" s="54" t="str">
        <f>_xlfn.XLOOKUP(E393,Organograma!H:H,Organograma!G:G,"")</f>
        <v>APGQ - Assessoria de Planejamento e Gestão da Qualidade</v>
      </c>
      <c r="E393" s="54" t="s">
        <v>275</v>
      </c>
      <c r="F393" s="55">
        <v>46025</v>
      </c>
      <c r="G393" s="59" t="s">
        <v>192</v>
      </c>
      <c r="H393" s="55">
        <v>46173</v>
      </c>
      <c r="I393" s="56" t="s">
        <v>192</v>
      </c>
      <c r="J393" s="57">
        <v>0</v>
      </c>
      <c r="K393" s="58" t="s">
        <v>937</v>
      </c>
    </row>
    <row r="394" spans="1:11" ht="51">
      <c r="A394" s="52" t="s">
        <v>610</v>
      </c>
      <c r="B394" s="53" t="s">
        <v>596</v>
      </c>
      <c r="C394" s="53" t="s">
        <v>309</v>
      </c>
      <c r="D394" s="54" t="str">
        <f>_xlfn.XLOOKUP(E394,Organograma!H:H,Organograma!G:G,"")</f>
        <v>APGQ - Assessoria de Planejamento e Gestão da Qualidade</v>
      </c>
      <c r="E394" s="54" t="s">
        <v>275</v>
      </c>
      <c r="F394" s="55">
        <v>46025</v>
      </c>
      <c r="G394" s="59" t="s">
        <v>192</v>
      </c>
      <c r="H394" s="55">
        <v>46173</v>
      </c>
      <c r="I394" s="56" t="s">
        <v>192</v>
      </c>
      <c r="J394" s="57">
        <v>0</v>
      </c>
      <c r="K394" s="58" t="s">
        <v>937</v>
      </c>
    </row>
    <row r="395" spans="1:11" ht="51">
      <c r="A395" s="52" t="s">
        <v>611</v>
      </c>
      <c r="B395" s="53" t="s">
        <v>612</v>
      </c>
      <c r="C395" s="53" t="s">
        <v>309</v>
      </c>
      <c r="D395" s="54" t="str">
        <f>_xlfn.XLOOKUP(E395,Organograma!H:H,Organograma!G:G,"")</f>
        <v>APGQ - Assessoria de Planejamento e Gestão da Qualidade</v>
      </c>
      <c r="E395" s="54" t="s">
        <v>275</v>
      </c>
      <c r="F395" s="55">
        <v>46025</v>
      </c>
      <c r="G395" s="59" t="s">
        <v>192</v>
      </c>
      <c r="H395" s="55">
        <v>46173</v>
      </c>
      <c r="I395" s="56" t="s">
        <v>192</v>
      </c>
      <c r="J395" s="57">
        <v>0</v>
      </c>
      <c r="K395" s="58" t="s">
        <v>937</v>
      </c>
    </row>
    <row r="396" spans="1:11" ht="38.25">
      <c r="A396" s="52" t="s">
        <v>613</v>
      </c>
      <c r="B396" s="53" t="s">
        <v>612</v>
      </c>
      <c r="C396" s="53" t="s">
        <v>309</v>
      </c>
      <c r="D396" s="54" t="str">
        <f>_xlfn.XLOOKUP(E396,Organograma!H:H,Organograma!G:G,"")</f>
        <v>APGQ - Assessoria de Planejamento e Gestão da Qualidade</v>
      </c>
      <c r="E396" s="54" t="s">
        <v>275</v>
      </c>
      <c r="F396" s="55">
        <v>46025</v>
      </c>
      <c r="G396" s="59" t="s">
        <v>192</v>
      </c>
      <c r="H396" s="55">
        <v>46173</v>
      </c>
      <c r="I396" s="56" t="s">
        <v>192</v>
      </c>
      <c r="J396" s="57">
        <v>0</v>
      </c>
      <c r="K396" s="58" t="s">
        <v>937</v>
      </c>
    </row>
    <row r="397" spans="1:11" ht="51">
      <c r="A397" s="52" t="s">
        <v>614</v>
      </c>
      <c r="B397" s="53" t="s">
        <v>612</v>
      </c>
      <c r="C397" s="53" t="s">
        <v>309</v>
      </c>
      <c r="D397" s="54" t="str">
        <f>_xlfn.XLOOKUP(E397,Organograma!H:H,Organograma!G:G,"")</f>
        <v>APGQ - Assessoria de Planejamento e Gestão da Qualidade</v>
      </c>
      <c r="E397" s="54" t="s">
        <v>275</v>
      </c>
      <c r="F397" s="55">
        <v>46025</v>
      </c>
      <c r="G397" s="59" t="s">
        <v>192</v>
      </c>
      <c r="H397" s="55">
        <v>46173</v>
      </c>
      <c r="I397" s="56" t="s">
        <v>192</v>
      </c>
      <c r="J397" s="57">
        <v>0</v>
      </c>
      <c r="K397" s="58" t="s">
        <v>937</v>
      </c>
    </row>
    <row r="398" spans="1:11" ht="51">
      <c r="A398" s="52" t="s">
        <v>615</v>
      </c>
      <c r="B398" s="53" t="s">
        <v>612</v>
      </c>
      <c r="C398" s="53" t="s">
        <v>309</v>
      </c>
      <c r="D398" s="54" t="str">
        <f>_xlfn.XLOOKUP(E398,Organograma!H:H,Organograma!G:G,"")</f>
        <v>APGQ - Assessoria de Planejamento e Gestão da Qualidade</v>
      </c>
      <c r="E398" s="54" t="s">
        <v>275</v>
      </c>
      <c r="F398" s="55">
        <v>46025</v>
      </c>
      <c r="G398" s="59" t="s">
        <v>192</v>
      </c>
      <c r="H398" s="55">
        <v>46173</v>
      </c>
      <c r="I398" s="56" t="s">
        <v>192</v>
      </c>
      <c r="J398" s="57">
        <v>0</v>
      </c>
      <c r="K398" s="58" t="s">
        <v>937</v>
      </c>
    </row>
    <row r="399" spans="1:11" ht="38.25">
      <c r="A399" s="52" t="s">
        <v>616</v>
      </c>
      <c r="B399" s="53" t="s">
        <v>612</v>
      </c>
      <c r="C399" s="53" t="s">
        <v>309</v>
      </c>
      <c r="D399" s="54" t="str">
        <f>_xlfn.XLOOKUP(E399,Organograma!H:H,Organograma!G:G,"")</f>
        <v>APGQ - Assessoria de Planejamento e Gestão da Qualidade</v>
      </c>
      <c r="E399" s="54" t="s">
        <v>275</v>
      </c>
      <c r="F399" s="55">
        <v>46025</v>
      </c>
      <c r="G399" s="59" t="s">
        <v>192</v>
      </c>
      <c r="H399" s="55">
        <v>46173</v>
      </c>
      <c r="I399" s="56" t="s">
        <v>192</v>
      </c>
      <c r="J399" s="57">
        <v>0</v>
      </c>
      <c r="K399" s="58" t="s">
        <v>937</v>
      </c>
    </row>
    <row r="400" spans="1:11" ht="51">
      <c r="A400" s="52" t="s">
        <v>617</v>
      </c>
      <c r="B400" s="53" t="s">
        <v>612</v>
      </c>
      <c r="C400" s="53" t="s">
        <v>309</v>
      </c>
      <c r="D400" s="54" t="str">
        <f>_xlfn.XLOOKUP(E400,Organograma!H:H,Organograma!G:G,"")</f>
        <v>APGQ - Assessoria de Planejamento e Gestão da Qualidade</v>
      </c>
      <c r="E400" s="54" t="s">
        <v>275</v>
      </c>
      <c r="F400" s="55">
        <v>46025</v>
      </c>
      <c r="G400" s="59" t="s">
        <v>192</v>
      </c>
      <c r="H400" s="55">
        <v>46173</v>
      </c>
      <c r="I400" s="56" t="s">
        <v>192</v>
      </c>
      <c r="J400" s="57">
        <v>0</v>
      </c>
      <c r="K400" s="58" t="s">
        <v>937</v>
      </c>
    </row>
    <row r="401" spans="1:11" ht="38.25">
      <c r="A401" s="52" t="s">
        <v>618</v>
      </c>
      <c r="B401" s="53" t="s">
        <v>612</v>
      </c>
      <c r="C401" s="53" t="s">
        <v>309</v>
      </c>
      <c r="D401" s="54" t="str">
        <f>_xlfn.XLOOKUP(E401,Organograma!H:H,Organograma!G:G,"")</f>
        <v>APGQ - Assessoria de Planejamento e Gestão da Qualidade</v>
      </c>
      <c r="E401" s="54" t="s">
        <v>275</v>
      </c>
      <c r="F401" s="55">
        <v>46025</v>
      </c>
      <c r="G401" s="59" t="s">
        <v>192</v>
      </c>
      <c r="H401" s="55">
        <v>46173</v>
      </c>
      <c r="I401" s="56" t="s">
        <v>192</v>
      </c>
      <c r="J401" s="57">
        <v>0</v>
      </c>
      <c r="K401" s="58" t="s">
        <v>937</v>
      </c>
    </row>
    <row r="402" spans="1:11" ht="38.25">
      <c r="A402" s="52" t="s">
        <v>619</v>
      </c>
      <c r="B402" s="53" t="s">
        <v>612</v>
      </c>
      <c r="C402" s="53" t="s">
        <v>309</v>
      </c>
      <c r="D402" s="54" t="str">
        <f>_xlfn.XLOOKUP(E402,Organograma!H:H,Organograma!G:G,"")</f>
        <v>APGQ - Assessoria de Planejamento e Gestão da Qualidade</v>
      </c>
      <c r="E402" s="54" t="s">
        <v>275</v>
      </c>
      <c r="F402" s="55">
        <v>46025</v>
      </c>
      <c r="G402" s="59" t="s">
        <v>192</v>
      </c>
      <c r="H402" s="55">
        <v>46173</v>
      </c>
      <c r="I402" s="56" t="s">
        <v>192</v>
      </c>
      <c r="J402" s="57">
        <v>0</v>
      </c>
      <c r="K402" s="58" t="s">
        <v>937</v>
      </c>
    </row>
    <row r="403" spans="1:11" ht="38.25">
      <c r="A403" s="52" t="s">
        <v>620</v>
      </c>
      <c r="B403" s="53" t="s">
        <v>612</v>
      </c>
      <c r="C403" s="53" t="s">
        <v>309</v>
      </c>
      <c r="D403" s="54" t="str">
        <f>_xlfn.XLOOKUP(E403,Organograma!H:H,Organograma!G:G,"")</f>
        <v>APGQ - Assessoria de Planejamento e Gestão da Qualidade</v>
      </c>
      <c r="E403" s="54" t="s">
        <v>275</v>
      </c>
      <c r="F403" s="55">
        <v>46025</v>
      </c>
      <c r="G403" s="59" t="s">
        <v>192</v>
      </c>
      <c r="H403" s="55">
        <v>46173</v>
      </c>
      <c r="I403" s="56" t="s">
        <v>192</v>
      </c>
      <c r="J403" s="57">
        <v>0</v>
      </c>
      <c r="K403" s="58" t="s">
        <v>937</v>
      </c>
    </row>
    <row r="404" spans="1:11" ht="51">
      <c r="A404" s="52" t="s">
        <v>621</v>
      </c>
      <c r="B404" s="53" t="s">
        <v>612</v>
      </c>
      <c r="C404" s="53" t="s">
        <v>309</v>
      </c>
      <c r="D404" s="54" t="str">
        <f>_xlfn.XLOOKUP(E404,Organograma!H:H,Organograma!G:G,"")</f>
        <v>APGQ - Assessoria de Planejamento e Gestão da Qualidade</v>
      </c>
      <c r="E404" s="54" t="s">
        <v>275</v>
      </c>
      <c r="F404" s="55">
        <v>46025</v>
      </c>
      <c r="G404" s="59" t="s">
        <v>192</v>
      </c>
      <c r="H404" s="55">
        <v>46173</v>
      </c>
      <c r="I404" s="56" t="s">
        <v>192</v>
      </c>
      <c r="J404" s="57">
        <v>0</v>
      </c>
      <c r="K404" s="58" t="s">
        <v>937</v>
      </c>
    </row>
    <row r="405" spans="1:11" ht="51">
      <c r="A405" s="52" t="s">
        <v>622</v>
      </c>
      <c r="B405" s="53" t="s">
        <v>623</v>
      </c>
      <c r="C405" s="53" t="s">
        <v>309</v>
      </c>
      <c r="D405" s="54" t="str">
        <f>_xlfn.XLOOKUP(E405,Organograma!H:H,Organograma!G:G,"")</f>
        <v>APGQ - Assessoria de Planejamento e Gestão da Qualidade</v>
      </c>
      <c r="E405" s="54" t="s">
        <v>275</v>
      </c>
      <c r="F405" s="55">
        <v>46025</v>
      </c>
      <c r="G405" s="59" t="s">
        <v>192</v>
      </c>
      <c r="H405" s="55">
        <v>46173</v>
      </c>
      <c r="I405" s="56" t="s">
        <v>192</v>
      </c>
      <c r="J405" s="57">
        <v>0</v>
      </c>
      <c r="K405" s="58" t="s">
        <v>937</v>
      </c>
    </row>
    <row r="406" spans="1:11" ht="51">
      <c r="A406" s="52" t="s">
        <v>624</v>
      </c>
      <c r="B406" s="53" t="s">
        <v>623</v>
      </c>
      <c r="C406" s="53" t="s">
        <v>309</v>
      </c>
      <c r="D406" s="54" t="str">
        <f>_xlfn.XLOOKUP(E406,Organograma!H:H,Organograma!G:G,"")</f>
        <v>APGQ - Assessoria de Planejamento e Gestão da Qualidade</v>
      </c>
      <c r="E406" s="54" t="s">
        <v>275</v>
      </c>
      <c r="F406" s="55">
        <v>46025</v>
      </c>
      <c r="G406" s="59" t="s">
        <v>192</v>
      </c>
      <c r="H406" s="55">
        <v>46173</v>
      </c>
      <c r="I406" s="56" t="s">
        <v>192</v>
      </c>
      <c r="J406" s="57">
        <v>0</v>
      </c>
      <c r="K406" s="58" t="s">
        <v>937</v>
      </c>
    </row>
    <row r="407" spans="1:11" ht="51">
      <c r="A407" s="52" t="s">
        <v>625</v>
      </c>
      <c r="B407" s="53" t="s">
        <v>623</v>
      </c>
      <c r="C407" s="53" t="s">
        <v>309</v>
      </c>
      <c r="D407" s="54" t="str">
        <f>_xlfn.XLOOKUP(E407,Organograma!H:H,Organograma!G:G,"")</f>
        <v>APGQ - Assessoria de Planejamento e Gestão da Qualidade</v>
      </c>
      <c r="E407" s="54" t="s">
        <v>275</v>
      </c>
      <c r="F407" s="55">
        <v>46025</v>
      </c>
      <c r="G407" s="59" t="s">
        <v>192</v>
      </c>
      <c r="H407" s="55">
        <v>46173</v>
      </c>
      <c r="I407" s="56" t="s">
        <v>192</v>
      </c>
      <c r="J407" s="57">
        <v>0</v>
      </c>
      <c r="K407" s="58" t="s">
        <v>937</v>
      </c>
    </row>
    <row r="408" spans="1:11" ht="51">
      <c r="A408" s="52" t="s">
        <v>626</v>
      </c>
      <c r="B408" s="53" t="s">
        <v>623</v>
      </c>
      <c r="C408" s="53" t="s">
        <v>309</v>
      </c>
      <c r="D408" s="54" t="str">
        <f>_xlfn.XLOOKUP(E408,Organograma!H:H,Organograma!G:G,"")</f>
        <v>APGQ - Assessoria de Planejamento e Gestão da Qualidade</v>
      </c>
      <c r="E408" s="54" t="s">
        <v>275</v>
      </c>
      <c r="F408" s="55">
        <v>46025</v>
      </c>
      <c r="G408" s="59" t="s">
        <v>192</v>
      </c>
      <c r="H408" s="55">
        <v>46173</v>
      </c>
      <c r="I408" s="56" t="s">
        <v>192</v>
      </c>
      <c r="J408" s="57">
        <v>0</v>
      </c>
      <c r="K408" s="58" t="s">
        <v>937</v>
      </c>
    </row>
    <row r="409" spans="1:11" ht="51">
      <c r="A409" s="52" t="s">
        <v>627</v>
      </c>
      <c r="B409" s="53" t="s">
        <v>623</v>
      </c>
      <c r="C409" s="53" t="s">
        <v>309</v>
      </c>
      <c r="D409" s="54" t="str">
        <f>_xlfn.XLOOKUP(E409,Organograma!H:H,Organograma!G:G,"")</f>
        <v>APGQ - Assessoria de Planejamento e Gestão da Qualidade</v>
      </c>
      <c r="E409" s="54" t="s">
        <v>275</v>
      </c>
      <c r="F409" s="55">
        <v>46025</v>
      </c>
      <c r="G409" s="59" t="s">
        <v>192</v>
      </c>
      <c r="H409" s="55">
        <v>46173</v>
      </c>
      <c r="I409" s="56" t="s">
        <v>192</v>
      </c>
      <c r="J409" s="57">
        <v>0</v>
      </c>
      <c r="K409" s="58" t="s">
        <v>937</v>
      </c>
    </row>
    <row r="410" spans="1:11" ht="51">
      <c r="A410" s="52" t="s">
        <v>628</v>
      </c>
      <c r="B410" s="53" t="s">
        <v>623</v>
      </c>
      <c r="C410" s="53" t="s">
        <v>309</v>
      </c>
      <c r="D410" s="54" t="str">
        <f>_xlfn.XLOOKUP(E410,Organograma!H:H,Organograma!G:G,"")</f>
        <v>APGQ - Assessoria de Planejamento e Gestão da Qualidade</v>
      </c>
      <c r="E410" s="54" t="s">
        <v>275</v>
      </c>
      <c r="F410" s="55">
        <v>46025</v>
      </c>
      <c r="G410" s="59" t="s">
        <v>192</v>
      </c>
      <c r="H410" s="55">
        <v>46173</v>
      </c>
      <c r="I410" s="56" t="s">
        <v>192</v>
      </c>
      <c r="J410" s="57">
        <v>0</v>
      </c>
      <c r="K410" s="58" t="s">
        <v>937</v>
      </c>
    </row>
    <row r="411" spans="1:11" ht="38.25">
      <c r="A411" s="52" t="s">
        <v>629</v>
      </c>
      <c r="B411" s="53" t="s">
        <v>623</v>
      </c>
      <c r="C411" s="53" t="s">
        <v>309</v>
      </c>
      <c r="D411" s="54" t="str">
        <f>_xlfn.XLOOKUP(E411,Organograma!H:H,Organograma!G:G,"")</f>
        <v>APGQ - Assessoria de Planejamento e Gestão da Qualidade</v>
      </c>
      <c r="E411" s="54" t="s">
        <v>275</v>
      </c>
      <c r="F411" s="55">
        <v>46025</v>
      </c>
      <c r="G411" s="59" t="s">
        <v>192</v>
      </c>
      <c r="H411" s="55">
        <v>46173</v>
      </c>
      <c r="I411" s="56" t="s">
        <v>192</v>
      </c>
      <c r="J411" s="57">
        <v>0</v>
      </c>
      <c r="K411" s="58" t="s">
        <v>937</v>
      </c>
    </row>
    <row r="412" spans="1:11" ht="51">
      <c r="A412" s="52" t="s">
        <v>709</v>
      </c>
      <c r="B412" s="53" t="s">
        <v>710</v>
      </c>
      <c r="C412" s="53" t="s">
        <v>309</v>
      </c>
      <c r="D412" s="54" t="str">
        <f>_xlfn.XLOOKUP(E412,Organograma!H:H,Organograma!G:G,"")</f>
        <v>APGQ - Assessoria de Planejamento e Gestão da Qualidade</v>
      </c>
      <c r="E412" s="54" t="s">
        <v>275</v>
      </c>
      <c r="F412" s="55">
        <v>46025</v>
      </c>
      <c r="G412" s="59" t="s">
        <v>192</v>
      </c>
      <c r="H412" s="55">
        <v>46173</v>
      </c>
      <c r="I412" s="56" t="s">
        <v>192</v>
      </c>
      <c r="J412" s="57">
        <v>0</v>
      </c>
      <c r="K412" s="58" t="s">
        <v>937</v>
      </c>
    </row>
    <row r="413" spans="1:11" ht="38.25">
      <c r="A413" s="52" t="s">
        <v>711</v>
      </c>
      <c r="B413" s="53" t="s">
        <v>710</v>
      </c>
      <c r="C413" s="53" t="s">
        <v>309</v>
      </c>
      <c r="D413" s="54" t="str">
        <f>_xlfn.XLOOKUP(E413,Organograma!H:H,Organograma!G:G,"")</f>
        <v>APGQ - Assessoria de Planejamento e Gestão da Qualidade</v>
      </c>
      <c r="E413" s="54" t="s">
        <v>275</v>
      </c>
      <c r="F413" s="55">
        <v>46025</v>
      </c>
      <c r="G413" s="59" t="s">
        <v>192</v>
      </c>
      <c r="H413" s="55">
        <v>46173</v>
      </c>
      <c r="I413" s="56" t="s">
        <v>192</v>
      </c>
      <c r="J413" s="57">
        <v>0</v>
      </c>
      <c r="K413" s="58" t="s">
        <v>937</v>
      </c>
    </row>
    <row r="414" spans="1:11" ht="38.25">
      <c r="A414" s="52" t="s">
        <v>712</v>
      </c>
      <c r="B414" s="53" t="s">
        <v>710</v>
      </c>
      <c r="C414" s="53" t="s">
        <v>309</v>
      </c>
      <c r="D414" s="54" t="str">
        <f>_xlfn.XLOOKUP(E414,Organograma!H:H,Organograma!G:G,"")</f>
        <v>APGQ - Assessoria de Planejamento e Gestão da Qualidade</v>
      </c>
      <c r="E414" s="54" t="s">
        <v>275</v>
      </c>
      <c r="F414" s="55">
        <v>46025</v>
      </c>
      <c r="G414" s="59" t="s">
        <v>192</v>
      </c>
      <c r="H414" s="55">
        <v>46173</v>
      </c>
      <c r="I414" s="56" t="s">
        <v>192</v>
      </c>
      <c r="J414" s="57">
        <v>0</v>
      </c>
      <c r="K414" s="58" t="s">
        <v>937</v>
      </c>
    </row>
    <row r="415" spans="1:11" ht="51">
      <c r="A415" s="52" t="s">
        <v>713</v>
      </c>
      <c r="B415" s="53" t="s">
        <v>710</v>
      </c>
      <c r="C415" s="53" t="s">
        <v>309</v>
      </c>
      <c r="D415" s="54" t="str">
        <f>_xlfn.XLOOKUP(E415,Organograma!H:H,Organograma!G:G,"")</f>
        <v>APGQ - Assessoria de Planejamento e Gestão da Qualidade</v>
      </c>
      <c r="E415" s="54" t="s">
        <v>275</v>
      </c>
      <c r="F415" s="55">
        <v>46025</v>
      </c>
      <c r="G415" s="59" t="s">
        <v>192</v>
      </c>
      <c r="H415" s="55">
        <v>46173</v>
      </c>
      <c r="I415" s="56" t="s">
        <v>192</v>
      </c>
      <c r="J415" s="57">
        <v>0</v>
      </c>
      <c r="K415" s="58" t="s">
        <v>937</v>
      </c>
    </row>
    <row r="416" spans="1:11" ht="51">
      <c r="A416" s="52" t="s">
        <v>714</v>
      </c>
      <c r="B416" s="53" t="s">
        <v>710</v>
      </c>
      <c r="C416" s="53" t="s">
        <v>309</v>
      </c>
      <c r="D416" s="54" t="str">
        <f>_xlfn.XLOOKUP(E416,Organograma!H:H,Organograma!G:G,"")</f>
        <v>APGQ - Assessoria de Planejamento e Gestão da Qualidade</v>
      </c>
      <c r="E416" s="54" t="s">
        <v>275</v>
      </c>
      <c r="F416" s="55">
        <v>46025</v>
      </c>
      <c r="G416" s="59" t="s">
        <v>192</v>
      </c>
      <c r="H416" s="55">
        <v>46173</v>
      </c>
      <c r="I416" s="56" t="s">
        <v>192</v>
      </c>
      <c r="J416" s="57">
        <v>0</v>
      </c>
      <c r="K416" s="58" t="s">
        <v>937</v>
      </c>
    </row>
    <row r="417" spans="1:11" ht="51">
      <c r="A417" s="52" t="s">
        <v>715</v>
      </c>
      <c r="B417" s="53" t="s">
        <v>710</v>
      </c>
      <c r="C417" s="53" t="s">
        <v>309</v>
      </c>
      <c r="D417" s="54" t="str">
        <f>_xlfn.XLOOKUP(E417,Organograma!H:H,Organograma!G:G,"")</f>
        <v>APGQ - Assessoria de Planejamento e Gestão da Qualidade</v>
      </c>
      <c r="E417" s="54" t="s">
        <v>275</v>
      </c>
      <c r="F417" s="55">
        <v>46025</v>
      </c>
      <c r="G417" s="59" t="s">
        <v>192</v>
      </c>
      <c r="H417" s="55">
        <v>46173</v>
      </c>
      <c r="I417" s="56" t="s">
        <v>192</v>
      </c>
      <c r="J417" s="57">
        <v>0</v>
      </c>
      <c r="K417" s="58" t="s">
        <v>937</v>
      </c>
    </row>
    <row r="418" spans="1:11" ht="38.25">
      <c r="A418" s="52" t="s">
        <v>716</v>
      </c>
      <c r="B418" s="53" t="s">
        <v>710</v>
      </c>
      <c r="C418" s="53" t="s">
        <v>309</v>
      </c>
      <c r="D418" s="54" t="str">
        <f>_xlfn.XLOOKUP(E418,Organograma!H:H,Organograma!G:G,"")</f>
        <v>APGQ - Assessoria de Planejamento e Gestão da Qualidade</v>
      </c>
      <c r="E418" s="54" t="s">
        <v>275</v>
      </c>
      <c r="F418" s="55">
        <v>46025</v>
      </c>
      <c r="G418" s="59" t="s">
        <v>192</v>
      </c>
      <c r="H418" s="55">
        <v>46173</v>
      </c>
      <c r="I418" s="56" t="s">
        <v>192</v>
      </c>
      <c r="J418" s="57">
        <v>0</v>
      </c>
      <c r="K418" s="58" t="s">
        <v>937</v>
      </c>
    </row>
    <row r="419" spans="1:11" ht="51">
      <c r="A419" s="52" t="s">
        <v>717</v>
      </c>
      <c r="B419" s="53" t="s">
        <v>710</v>
      </c>
      <c r="C419" s="53" t="s">
        <v>309</v>
      </c>
      <c r="D419" s="54" t="str">
        <f>_xlfn.XLOOKUP(E419,Organograma!H:H,Organograma!G:G,"")</f>
        <v>APGQ - Assessoria de Planejamento e Gestão da Qualidade</v>
      </c>
      <c r="E419" s="54" t="s">
        <v>275</v>
      </c>
      <c r="F419" s="55">
        <v>46025</v>
      </c>
      <c r="G419" s="59" t="s">
        <v>192</v>
      </c>
      <c r="H419" s="55">
        <v>46173</v>
      </c>
      <c r="I419" s="56" t="s">
        <v>192</v>
      </c>
      <c r="J419" s="57">
        <v>0</v>
      </c>
      <c r="K419" s="58" t="s">
        <v>937</v>
      </c>
    </row>
    <row r="420" spans="1:11" ht="51">
      <c r="A420" s="52" t="s">
        <v>718</v>
      </c>
      <c r="B420" s="53" t="s">
        <v>710</v>
      </c>
      <c r="C420" s="53" t="s">
        <v>309</v>
      </c>
      <c r="D420" s="54" t="str">
        <f>_xlfn.XLOOKUP(E420,Organograma!H:H,Organograma!G:G,"")</f>
        <v>APGQ - Assessoria de Planejamento e Gestão da Qualidade</v>
      </c>
      <c r="E420" s="54" t="s">
        <v>275</v>
      </c>
      <c r="F420" s="55">
        <v>46025</v>
      </c>
      <c r="G420" s="59" t="s">
        <v>192</v>
      </c>
      <c r="H420" s="55">
        <v>46173</v>
      </c>
      <c r="I420" s="56" t="s">
        <v>192</v>
      </c>
      <c r="J420" s="57">
        <v>0</v>
      </c>
      <c r="K420" s="58" t="s">
        <v>937</v>
      </c>
    </row>
    <row r="421" spans="1:11" ht="51">
      <c r="A421" s="52" t="s">
        <v>719</v>
      </c>
      <c r="B421" s="53" t="s">
        <v>710</v>
      </c>
      <c r="C421" s="53" t="s">
        <v>309</v>
      </c>
      <c r="D421" s="54" t="str">
        <f>_xlfn.XLOOKUP(E421,Organograma!H:H,Organograma!G:G,"")</f>
        <v>APGQ - Assessoria de Planejamento e Gestão da Qualidade</v>
      </c>
      <c r="E421" s="54" t="s">
        <v>275</v>
      </c>
      <c r="F421" s="55">
        <v>46025</v>
      </c>
      <c r="G421" s="59" t="s">
        <v>192</v>
      </c>
      <c r="H421" s="55">
        <v>46173</v>
      </c>
      <c r="I421" s="56" t="s">
        <v>192</v>
      </c>
      <c r="J421" s="57">
        <v>0</v>
      </c>
      <c r="K421" s="58" t="s">
        <v>937</v>
      </c>
    </row>
    <row r="422" spans="1:11" ht="51">
      <c r="A422" s="52" t="s">
        <v>720</v>
      </c>
      <c r="B422" s="53" t="s">
        <v>710</v>
      </c>
      <c r="C422" s="53" t="s">
        <v>309</v>
      </c>
      <c r="D422" s="54" t="str">
        <f>_xlfn.XLOOKUP(E422,Organograma!H:H,Organograma!G:G,"")</f>
        <v>APGQ - Assessoria de Planejamento e Gestão da Qualidade</v>
      </c>
      <c r="E422" s="54" t="s">
        <v>275</v>
      </c>
      <c r="F422" s="55">
        <v>46025</v>
      </c>
      <c r="G422" s="59" t="s">
        <v>192</v>
      </c>
      <c r="H422" s="55">
        <v>46173</v>
      </c>
      <c r="I422" s="56" t="s">
        <v>192</v>
      </c>
      <c r="J422" s="57">
        <v>0</v>
      </c>
      <c r="K422" s="58" t="s">
        <v>937</v>
      </c>
    </row>
    <row r="423" spans="1:11" ht="51">
      <c r="A423" s="52" t="s">
        <v>721</v>
      </c>
      <c r="B423" s="53" t="s">
        <v>710</v>
      </c>
      <c r="C423" s="53" t="s">
        <v>309</v>
      </c>
      <c r="D423" s="54" t="str">
        <f>_xlfn.XLOOKUP(E423,Organograma!H:H,Organograma!G:G,"")</f>
        <v>APGQ - Assessoria de Planejamento e Gestão da Qualidade</v>
      </c>
      <c r="E423" s="54" t="s">
        <v>275</v>
      </c>
      <c r="F423" s="55">
        <v>46025</v>
      </c>
      <c r="G423" s="59" t="s">
        <v>192</v>
      </c>
      <c r="H423" s="55">
        <v>46173</v>
      </c>
      <c r="I423" s="56" t="s">
        <v>192</v>
      </c>
      <c r="J423" s="57">
        <v>0</v>
      </c>
      <c r="K423" s="58" t="s">
        <v>937</v>
      </c>
    </row>
    <row r="424" spans="1:11" ht="38.25">
      <c r="A424" s="52" t="s">
        <v>722</v>
      </c>
      <c r="B424" s="53" t="s">
        <v>710</v>
      </c>
      <c r="C424" s="53" t="s">
        <v>309</v>
      </c>
      <c r="D424" s="54" t="str">
        <f>_xlfn.XLOOKUP(E424,Organograma!H:H,Organograma!G:G,"")</f>
        <v>APGQ - Assessoria de Planejamento e Gestão da Qualidade</v>
      </c>
      <c r="E424" s="54" t="s">
        <v>275</v>
      </c>
      <c r="F424" s="55">
        <v>46025</v>
      </c>
      <c r="G424" s="59" t="s">
        <v>192</v>
      </c>
      <c r="H424" s="55">
        <v>46173</v>
      </c>
      <c r="I424" s="56" t="s">
        <v>192</v>
      </c>
      <c r="J424" s="57">
        <v>0</v>
      </c>
      <c r="K424" s="58" t="s">
        <v>937</v>
      </c>
    </row>
    <row r="425" spans="1:11" ht="38.25">
      <c r="A425" s="52" t="s">
        <v>723</v>
      </c>
      <c r="B425" s="53" t="s">
        <v>710</v>
      </c>
      <c r="C425" s="53" t="s">
        <v>309</v>
      </c>
      <c r="D425" s="54" t="str">
        <f>_xlfn.XLOOKUP(E425,Organograma!H:H,Organograma!G:G,"")</f>
        <v>APGQ - Assessoria de Planejamento e Gestão da Qualidade</v>
      </c>
      <c r="E425" s="54" t="s">
        <v>275</v>
      </c>
      <c r="F425" s="55">
        <v>46025</v>
      </c>
      <c r="G425" s="59" t="s">
        <v>192</v>
      </c>
      <c r="H425" s="55">
        <v>46173</v>
      </c>
      <c r="I425" s="56" t="s">
        <v>192</v>
      </c>
      <c r="J425" s="57">
        <v>0</v>
      </c>
      <c r="K425" s="58" t="s">
        <v>937</v>
      </c>
    </row>
    <row r="426" spans="1:11" ht="51">
      <c r="A426" s="52" t="s">
        <v>724</v>
      </c>
      <c r="B426" s="53" t="s">
        <v>710</v>
      </c>
      <c r="C426" s="53" t="s">
        <v>309</v>
      </c>
      <c r="D426" s="54" t="str">
        <f>_xlfn.XLOOKUP(E426,Organograma!H:H,Organograma!G:G,"")</f>
        <v>APGQ - Assessoria de Planejamento e Gestão da Qualidade</v>
      </c>
      <c r="E426" s="54" t="s">
        <v>275</v>
      </c>
      <c r="F426" s="55">
        <v>46025</v>
      </c>
      <c r="G426" s="59" t="s">
        <v>192</v>
      </c>
      <c r="H426" s="55">
        <v>46173</v>
      </c>
      <c r="I426" s="56" t="s">
        <v>192</v>
      </c>
      <c r="J426" s="57">
        <v>0</v>
      </c>
      <c r="K426" s="58" t="s">
        <v>937</v>
      </c>
    </row>
    <row r="427" spans="1:11" ht="51">
      <c r="A427" s="52" t="s">
        <v>725</v>
      </c>
      <c r="B427" s="53" t="s">
        <v>710</v>
      </c>
      <c r="C427" s="53" t="s">
        <v>309</v>
      </c>
      <c r="D427" s="54" t="str">
        <f>_xlfn.XLOOKUP(E427,Organograma!H:H,Organograma!G:G,"")</f>
        <v>APGQ - Assessoria de Planejamento e Gestão da Qualidade</v>
      </c>
      <c r="E427" s="54" t="s">
        <v>275</v>
      </c>
      <c r="F427" s="55">
        <v>46025</v>
      </c>
      <c r="G427" s="59" t="s">
        <v>192</v>
      </c>
      <c r="H427" s="55">
        <v>46173</v>
      </c>
      <c r="I427" s="56" t="s">
        <v>192</v>
      </c>
      <c r="J427" s="57">
        <v>0</v>
      </c>
      <c r="K427" s="58" t="s">
        <v>937</v>
      </c>
    </row>
    <row r="428" spans="1:11" ht="51">
      <c r="A428" s="52" t="s">
        <v>726</v>
      </c>
      <c r="B428" s="53" t="s">
        <v>710</v>
      </c>
      <c r="C428" s="53" t="s">
        <v>309</v>
      </c>
      <c r="D428" s="54" t="str">
        <f>_xlfn.XLOOKUP(E428,Organograma!H:H,Organograma!G:G,"")</f>
        <v>APGQ - Assessoria de Planejamento e Gestão da Qualidade</v>
      </c>
      <c r="E428" s="54" t="s">
        <v>275</v>
      </c>
      <c r="F428" s="55">
        <v>45662</v>
      </c>
      <c r="G428" s="59" t="s">
        <v>192</v>
      </c>
      <c r="H428" s="55">
        <v>46173</v>
      </c>
      <c r="I428" s="56" t="s">
        <v>192</v>
      </c>
      <c r="J428" s="57">
        <v>0</v>
      </c>
      <c r="K428" s="58" t="s">
        <v>937</v>
      </c>
    </row>
    <row r="429" spans="1:11" ht="51">
      <c r="A429" s="52" t="s">
        <v>727</v>
      </c>
      <c r="B429" s="53" t="s">
        <v>710</v>
      </c>
      <c r="C429" s="53" t="s">
        <v>309</v>
      </c>
      <c r="D429" s="54" t="str">
        <f>_xlfn.XLOOKUP(E429,Organograma!H:H,Organograma!G:G,"")</f>
        <v>APGQ - Assessoria de Planejamento e Gestão da Qualidade</v>
      </c>
      <c r="E429" s="54" t="s">
        <v>275</v>
      </c>
      <c r="F429" s="55">
        <v>46025</v>
      </c>
      <c r="G429" s="59" t="s">
        <v>192</v>
      </c>
      <c r="H429" s="55">
        <v>46173</v>
      </c>
      <c r="I429" s="56" t="s">
        <v>192</v>
      </c>
      <c r="J429" s="57">
        <v>0</v>
      </c>
      <c r="K429" s="58" t="s">
        <v>937</v>
      </c>
    </row>
    <row r="430" spans="1:11" ht="51">
      <c r="A430" s="52" t="s">
        <v>728</v>
      </c>
      <c r="B430" s="53" t="s">
        <v>710</v>
      </c>
      <c r="C430" s="53" t="s">
        <v>309</v>
      </c>
      <c r="D430" s="54" t="str">
        <f>_xlfn.XLOOKUP(E430,Organograma!H:H,Organograma!G:G,"")</f>
        <v>APGQ - Assessoria de Planejamento e Gestão da Qualidade</v>
      </c>
      <c r="E430" s="54" t="s">
        <v>275</v>
      </c>
      <c r="F430" s="55">
        <v>46025</v>
      </c>
      <c r="G430" s="59" t="s">
        <v>192</v>
      </c>
      <c r="H430" s="55">
        <v>46173</v>
      </c>
      <c r="I430" s="56" t="s">
        <v>192</v>
      </c>
      <c r="J430" s="57">
        <v>0</v>
      </c>
      <c r="K430" s="58" t="s">
        <v>937</v>
      </c>
    </row>
    <row r="431" spans="1:11" ht="38.25">
      <c r="A431" s="52" t="s">
        <v>729</v>
      </c>
      <c r="B431" s="53" t="s">
        <v>710</v>
      </c>
      <c r="C431" s="53" t="s">
        <v>309</v>
      </c>
      <c r="D431" s="54" t="str">
        <f>_xlfn.XLOOKUP(E431,Organograma!H:H,Organograma!G:G,"")</f>
        <v>APGQ - Assessoria de Planejamento e Gestão da Qualidade</v>
      </c>
      <c r="E431" s="54" t="s">
        <v>275</v>
      </c>
      <c r="F431" s="55">
        <v>46025</v>
      </c>
      <c r="G431" s="59" t="s">
        <v>192</v>
      </c>
      <c r="H431" s="55">
        <v>46173</v>
      </c>
      <c r="I431" s="56" t="s">
        <v>192</v>
      </c>
      <c r="J431" s="57">
        <v>0</v>
      </c>
      <c r="K431" s="58" t="s">
        <v>937</v>
      </c>
    </row>
    <row r="432" spans="1:11" ht="51">
      <c r="A432" s="52" t="s">
        <v>730</v>
      </c>
      <c r="B432" s="53" t="s">
        <v>710</v>
      </c>
      <c r="C432" s="53" t="s">
        <v>309</v>
      </c>
      <c r="D432" s="54" t="str">
        <f>_xlfn.XLOOKUP(E432,Organograma!H:H,Organograma!G:G,"")</f>
        <v>APGQ - Assessoria de Planejamento e Gestão da Qualidade</v>
      </c>
      <c r="E432" s="54" t="s">
        <v>275</v>
      </c>
      <c r="F432" s="55">
        <v>46025</v>
      </c>
      <c r="G432" s="59" t="s">
        <v>192</v>
      </c>
      <c r="H432" s="55">
        <v>46173</v>
      </c>
      <c r="I432" s="56" t="s">
        <v>192</v>
      </c>
      <c r="J432" s="57">
        <v>0</v>
      </c>
      <c r="K432" s="58" t="s">
        <v>937</v>
      </c>
    </row>
    <row r="433" spans="1:11" ht="51">
      <c r="A433" s="52" t="s">
        <v>731</v>
      </c>
      <c r="B433" s="53" t="s">
        <v>710</v>
      </c>
      <c r="C433" s="53" t="s">
        <v>309</v>
      </c>
      <c r="D433" s="54" t="str">
        <f>_xlfn.XLOOKUP(E433,Organograma!H:H,Organograma!G:G,"")</f>
        <v>APGQ - Assessoria de Planejamento e Gestão da Qualidade</v>
      </c>
      <c r="E433" s="54" t="s">
        <v>275</v>
      </c>
      <c r="F433" s="55">
        <v>46025</v>
      </c>
      <c r="G433" s="59" t="s">
        <v>192</v>
      </c>
      <c r="H433" s="55">
        <v>46173</v>
      </c>
      <c r="I433" s="56" t="s">
        <v>192</v>
      </c>
      <c r="J433" s="57">
        <v>0</v>
      </c>
      <c r="K433" s="58" t="s">
        <v>937</v>
      </c>
    </row>
    <row r="434" spans="1:11" ht="51">
      <c r="A434" s="52" t="s">
        <v>732</v>
      </c>
      <c r="B434" s="53" t="s">
        <v>733</v>
      </c>
      <c r="C434" s="53" t="s">
        <v>309</v>
      </c>
      <c r="D434" s="54" t="str">
        <f>_xlfn.XLOOKUP(E434,Organograma!H:H,Organograma!G:G,"")</f>
        <v>APGQ - Assessoria de Planejamento e Gestão da Qualidade</v>
      </c>
      <c r="E434" s="54" t="s">
        <v>275</v>
      </c>
      <c r="F434" s="55">
        <v>46025</v>
      </c>
      <c r="G434" s="59" t="s">
        <v>192</v>
      </c>
      <c r="H434" s="55">
        <v>46173</v>
      </c>
      <c r="I434" s="56" t="s">
        <v>192</v>
      </c>
      <c r="J434" s="57">
        <v>0</v>
      </c>
      <c r="K434" s="58" t="s">
        <v>937</v>
      </c>
    </row>
    <row r="435" spans="1:11" ht="51">
      <c r="A435" s="52" t="s">
        <v>734</v>
      </c>
      <c r="B435" s="53" t="s">
        <v>733</v>
      </c>
      <c r="C435" s="53" t="s">
        <v>309</v>
      </c>
      <c r="D435" s="54" t="str">
        <f>_xlfn.XLOOKUP(E435,Organograma!H:H,Organograma!G:G,"")</f>
        <v>APGQ - Assessoria de Planejamento e Gestão da Qualidade</v>
      </c>
      <c r="E435" s="54" t="s">
        <v>275</v>
      </c>
      <c r="F435" s="55">
        <v>46025</v>
      </c>
      <c r="G435" s="59" t="s">
        <v>192</v>
      </c>
      <c r="H435" s="55">
        <v>46173</v>
      </c>
      <c r="I435" s="56" t="s">
        <v>192</v>
      </c>
      <c r="J435" s="57">
        <v>0</v>
      </c>
      <c r="K435" s="58" t="s">
        <v>937</v>
      </c>
    </row>
    <row r="436" spans="1:11" ht="51">
      <c r="A436" s="52" t="s">
        <v>735</v>
      </c>
      <c r="B436" s="53" t="s">
        <v>733</v>
      </c>
      <c r="C436" s="53" t="s">
        <v>309</v>
      </c>
      <c r="D436" s="54" t="str">
        <f>_xlfn.XLOOKUP(E436,Organograma!H:H,Organograma!G:G,"")</f>
        <v>APGQ - Assessoria de Planejamento e Gestão da Qualidade</v>
      </c>
      <c r="E436" s="54" t="s">
        <v>275</v>
      </c>
      <c r="F436" s="55">
        <v>46025</v>
      </c>
      <c r="G436" s="59" t="s">
        <v>192</v>
      </c>
      <c r="H436" s="55">
        <v>46173</v>
      </c>
      <c r="I436" s="56" t="s">
        <v>192</v>
      </c>
      <c r="J436" s="57">
        <v>0</v>
      </c>
      <c r="K436" s="58" t="s">
        <v>937</v>
      </c>
    </row>
    <row r="437" spans="1:11" ht="38.25">
      <c r="A437" s="52" t="s">
        <v>736</v>
      </c>
      <c r="B437" s="53" t="s">
        <v>733</v>
      </c>
      <c r="C437" s="53" t="s">
        <v>309</v>
      </c>
      <c r="D437" s="54" t="str">
        <f>_xlfn.XLOOKUP(E437,Organograma!H:H,Organograma!G:G,"")</f>
        <v>APGQ - Assessoria de Planejamento e Gestão da Qualidade</v>
      </c>
      <c r="E437" s="54" t="s">
        <v>275</v>
      </c>
      <c r="F437" s="55">
        <v>46025</v>
      </c>
      <c r="G437" s="59" t="s">
        <v>192</v>
      </c>
      <c r="H437" s="55">
        <v>46173</v>
      </c>
      <c r="I437" s="56" t="s">
        <v>192</v>
      </c>
      <c r="J437" s="57">
        <v>0</v>
      </c>
      <c r="K437" s="58" t="s">
        <v>937</v>
      </c>
    </row>
    <row r="438" spans="1:11" ht="51">
      <c r="A438" s="52" t="s">
        <v>737</v>
      </c>
      <c r="B438" s="53" t="s">
        <v>733</v>
      </c>
      <c r="C438" s="53" t="s">
        <v>309</v>
      </c>
      <c r="D438" s="54" t="str">
        <f>_xlfn.XLOOKUP(E438,Organograma!H:H,Organograma!G:G,"")</f>
        <v>APGQ - Assessoria de Planejamento e Gestão da Qualidade</v>
      </c>
      <c r="E438" s="54" t="s">
        <v>275</v>
      </c>
      <c r="F438" s="55">
        <v>46025</v>
      </c>
      <c r="G438" s="59" t="s">
        <v>192</v>
      </c>
      <c r="H438" s="55">
        <v>46173</v>
      </c>
      <c r="I438" s="56" t="s">
        <v>192</v>
      </c>
      <c r="J438" s="57">
        <v>0</v>
      </c>
      <c r="K438" s="58" t="s">
        <v>937</v>
      </c>
    </row>
    <row r="439" spans="1:11" ht="38.25">
      <c r="A439" s="52" t="s">
        <v>738</v>
      </c>
      <c r="B439" s="53" t="s">
        <v>733</v>
      </c>
      <c r="C439" s="53" t="s">
        <v>309</v>
      </c>
      <c r="D439" s="54" t="str">
        <f>_xlfn.XLOOKUP(E439,Organograma!H:H,Organograma!G:G,"")</f>
        <v>APGQ - Assessoria de Planejamento e Gestão da Qualidade</v>
      </c>
      <c r="E439" s="54" t="s">
        <v>275</v>
      </c>
      <c r="F439" s="55">
        <v>46025</v>
      </c>
      <c r="G439" s="59" t="s">
        <v>192</v>
      </c>
      <c r="H439" s="55">
        <v>46173</v>
      </c>
      <c r="I439" s="56" t="s">
        <v>192</v>
      </c>
      <c r="J439" s="57">
        <v>0</v>
      </c>
      <c r="K439" s="58" t="s">
        <v>937</v>
      </c>
    </row>
    <row r="440" spans="1:11" ht="38.25">
      <c r="A440" s="52" t="s">
        <v>739</v>
      </c>
      <c r="B440" s="53" t="s">
        <v>733</v>
      </c>
      <c r="C440" s="53" t="s">
        <v>309</v>
      </c>
      <c r="D440" s="54" t="str">
        <f>_xlfn.XLOOKUP(E440,Organograma!H:H,Organograma!G:G,"")</f>
        <v>APGQ - Assessoria de Planejamento e Gestão da Qualidade</v>
      </c>
      <c r="E440" s="54" t="s">
        <v>275</v>
      </c>
      <c r="F440" s="55">
        <v>46025</v>
      </c>
      <c r="G440" s="59" t="s">
        <v>192</v>
      </c>
      <c r="H440" s="55">
        <v>46173</v>
      </c>
      <c r="I440" s="56" t="s">
        <v>192</v>
      </c>
      <c r="J440" s="57">
        <v>0</v>
      </c>
      <c r="K440" s="58" t="s">
        <v>937</v>
      </c>
    </row>
    <row r="441" spans="1:11" ht="51">
      <c r="A441" s="52" t="s">
        <v>740</v>
      </c>
      <c r="B441" s="53" t="s">
        <v>733</v>
      </c>
      <c r="C441" s="53" t="s">
        <v>309</v>
      </c>
      <c r="D441" s="54" t="str">
        <f>_xlfn.XLOOKUP(E441,Organograma!H:H,Organograma!G:G,"")</f>
        <v>APGQ - Assessoria de Planejamento e Gestão da Qualidade</v>
      </c>
      <c r="E441" s="54" t="s">
        <v>275</v>
      </c>
      <c r="F441" s="55">
        <v>46025</v>
      </c>
      <c r="G441" s="59" t="s">
        <v>192</v>
      </c>
      <c r="H441" s="55">
        <v>46173</v>
      </c>
      <c r="I441" s="56" t="s">
        <v>192</v>
      </c>
      <c r="J441" s="57">
        <v>0</v>
      </c>
      <c r="K441" s="58" t="s">
        <v>937</v>
      </c>
    </row>
    <row r="442" spans="1:11" ht="51">
      <c r="A442" s="52" t="s">
        <v>741</v>
      </c>
      <c r="B442" s="53" t="s">
        <v>733</v>
      </c>
      <c r="C442" s="53" t="s">
        <v>309</v>
      </c>
      <c r="D442" s="54" t="str">
        <f>_xlfn.XLOOKUP(E442,Organograma!H:H,Organograma!G:G,"")</f>
        <v>APGQ - Assessoria de Planejamento e Gestão da Qualidade</v>
      </c>
      <c r="E442" s="54" t="s">
        <v>275</v>
      </c>
      <c r="F442" s="55">
        <v>46025</v>
      </c>
      <c r="G442" s="59" t="s">
        <v>192</v>
      </c>
      <c r="H442" s="55">
        <v>46173</v>
      </c>
      <c r="I442" s="56" t="s">
        <v>192</v>
      </c>
      <c r="J442" s="57">
        <v>0</v>
      </c>
      <c r="K442" s="58" t="s">
        <v>937</v>
      </c>
    </row>
    <row r="443" spans="1:11" ht="51">
      <c r="A443" s="52" t="s">
        <v>742</v>
      </c>
      <c r="B443" s="53" t="s">
        <v>743</v>
      </c>
      <c r="C443" s="53" t="s">
        <v>309</v>
      </c>
      <c r="D443" s="54" t="str">
        <f>_xlfn.XLOOKUP(E443,Organograma!H:H,Organograma!G:G,"")</f>
        <v>APGQ - Assessoria de Planejamento e Gestão da Qualidade</v>
      </c>
      <c r="E443" s="54" t="s">
        <v>275</v>
      </c>
      <c r="F443" s="55">
        <v>46025</v>
      </c>
      <c r="G443" s="59" t="s">
        <v>192</v>
      </c>
      <c r="H443" s="55">
        <v>46173</v>
      </c>
      <c r="I443" s="56" t="s">
        <v>192</v>
      </c>
      <c r="J443" s="57">
        <v>0</v>
      </c>
      <c r="K443" s="58" t="s">
        <v>937</v>
      </c>
    </row>
    <row r="444" spans="1:11" ht="51">
      <c r="A444" s="52" t="s">
        <v>744</v>
      </c>
      <c r="B444" s="53" t="s">
        <v>743</v>
      </c>
      <c r="C444" s="53" t="s">
        <v>309</v>
      </c>
      <c r="D444" s="54" t="str">
        <f>_xlfn.XLOOKUP(E444,Organograma!H:H,Organograma!G:G,"")</f>
        <v>APGQ - Assessoria de Planejamento e Gestão da Qualidade</v>
      </c>
      <c r="E444" s="54" t="s">
        <v>275</v>
      </c>
      <c r="F444" s="55">
        <v>46025</v>
      </c>
      <c r="G444" s="59" t="s">
        <v>192</v>
      </c>
      <c r="H444" s="55">
        <v>46173</v>
      </c>
      <c r="I444" s="56" t="s">
        <v>192</v>
      </c>
      <c r="J444" s="57">
        <v>0</v>
      </c>
      <c r="K444" s="58" t="s">
        <v>937</v>
      </c>
    </row>
    <row r="445" spans="1:11" ht="51">
      <c r="A445" s="52" t="s">
        <v>745</v>
      </c>
      <c r="B445" s="53" t="s">
        <v>743</v>
      </c>
      <c r="C445" s="53" t="s">
        <v>309</v>
      </c>
      <c r="D445" s="54" t="str">
        <f>_xlfn.XLOOKUP(E445,Organograma!H:H,Organograma!G:G,"")</f>
        <v>APGQ - Assessoria de Planejamento e Gestão da Qualidade</v>
      </c>
      <c r="E445" s="54" t="s">
        <v>275</v>
      </c>
      <c r="F445" s="55">
        <v>46025</v>
      </c>
      <c r="G445" s="59" t="s">
        <v>192</v>
      </c>
      <c r="H445" s="55">
        <v>46173</v>
      </c>
      <c r="I445" s="56" t="s">
        <v>192</v>
      </c>
      <c r="J445" s="57">
        <v>0</v>
      </c>
      <c r="K445" s="58" t="s">
        <v>937</v>
      </c>
    </row>
    <row r="446" spans="1:11" ht="51">
      <c r="A446" s="52" t="s">
        <v>746</v>
      </c>
      <c r="B446" s="53" t="s">
        <v>743</v>
      </c>
      <c r="C446" s="53" t="s">
        <v>309</v>
      </c>
      <c r="D446" s="54" t="str">
        <f>_xlfn.XLOOKUP(E446,Organograma!H:H,Organograma!G:G,"")</f>
        <v>APGQ - Assessoria de Planejamento e Gestão da Qualidade</v>
      </c>
      <c r="E446" s="54" t="s">
        <v>275</v>
      </c>
      <c r="F446" s="55">
        <v>46025</v>
      </c>
      <c r="G446" s="59" t="s">
        <v>192</v>
      </c>
      <c r="H446" s="55">
        <v>46173</v>
      </c>
      <c r="I446" s="56" t="s">
        <v>192</v>
      </c>
      <c r="J446" s="57">
        <v>0</v>
      </c>
      <c r="K446" s="58" t="s">
        <v>937</v>
      </c>
    </row>
    <row r="447" spans="1:11" ht="51">
      <c r="A447" s="52" t="s">
        <v>747</v>
      </c>
      <c r="B447" s="53" t="s">
        <v>743</v>
      </c>
      <c r="C447" s="53" t="s">
        <v>309</v>
      </c>
      <c r="D447" s="54" t="str">
        <f>_xlfn.XLOOKUP(E447,Organograma!H:H,Organograma!G:G,"")</f>
        <v>APGQ - Assessoria de Planejamento e Gestão da Qualidade</v>
      </c>
      <c r="E447" s="54" t="s">
        <v>275</v>
      </c>
      <c r="F447" s="55">
        <v>46025</v>
      </c>
      <c r="G447" s="59" t="s">
        <v>192</v>
      </c>
      <c r="H447" s="55">
        <v>46173</v>
      </c>
      <c r="I447" s="56" t="s">
        <v>192</v>
      </c>
      <c r="J447" s="57">
        <v>0</v>
      </c>
      <c r="K447" s="58" t="s">
        <v>937</v>
      </c>
    </row>
    <row r="448" spans="1:11" ht="38.25">
      <c r="A448" s="52" t="s">
        <v>748</v>
      </c>
      <c r="B448" s="53" t="s">
        <v>743</v>
      </c>
      <c r="C448" s="53" t="s">
        <v>309</v>
      </c>
      <c r="D448" s="54" t="str">
        <f>_xlfn.XLOOKUP(E448,Organograma!H:H,Organograma!G:G,"")</f>
        <v>APGQ - Assessoria de Planejamento e Gestão da Qualidade</v>
      </c>
      <c r="E448" s="54" t="s">
        <v>275</v>
      </c>
      <c r="F448" s="55">
        <v>46025</v>
      </c>
      <c r="G448" s="59" t="s">
        <v>192</v>
      </c>
      <c r="H448" s="55">
        <v>46173</v>
      </c>
      <c r="I448" s="56" t="s">
        <v>192</v>
      </c>
      <c r="J448" s="57">
        <v>0</v>
      </c>
      <c r="K448" s="58" t="s">
        <v>937</v>
      </c>
    </row>
    <row r="449" spans="1:11" ht="38.25">
      <c r="A449" s="52" t="s">
        <v>749</v>
      </c>
      <c r="B449" s="53" t="s">
        <v>743</v>
      </c>
      <c r="C449" s="53" t="s">
        <v>309</v>
      </c>
      <c r="D449" s="54" t="str">
        <f>_xlfn.XLOOKUP(E449,Organograma!H:H,Organograma!G:G,"")</f>
        <v>APGQ - Assessoria de Planejamento e Gestão da Qualidade</v>
      </c>
      <c r="E449" s="54" t="s">
        <v>275</v>
      </c>
      <c r="F449" s="55">
        <v>46025</v>
      </c>
      <c r="G449" s="59" t="s">
        <v>192</v>
      </c>
      <c r="H449" s="55">
        <v>46173</v>
      </c>
      <c r="I449" s="56" t="s">
        <v>192</v>
      </c>
      <c r="J449" s="57">
        <v>0</v>
      </c>
      <c r="K449" s="58" t="s">
        <v>937</v>
      </c>
    </row>
    <row r="450" spans="1:11" ht="38.25">
      <c r="A450" s="52" t="s">
        <v>790</v>
      </c>
      <c r="B450" s="53" t="s">
        <v>782</v>
      </c>
      <c r="C450" s="53" t="s">
        <v>309</v>
      </c>
      <c r="D450" s="54" t="str">
        <f>_xlfn.XLOOKUP(E450,Organograma!H:H,Organograma!G:G,"")</f>
        <v>APGQ - Assessoria de Planejamento e Gestão da Qualidade</v>
      </c>
      <c r="E450" s="54" t="s">
        <v>275</v>
      </c>
      <c r="F450" s="55">
        <v>46025</v>
      </c>
      <c r="G450" s="59" t="s">
        <v>192</v>
      </c>
      <c r="H450" s="55">
        <v>46173</v>
      </c>
      <c r="I450" s="56" t="s">
        <v>192</v>
      </c>
      <c r="J450" s="57">
        <v>0</v>
      </c>
      <c r="K450" s="58" t="s">
        <v>937</v>
      </c>
    </row>
    <row r="451" spans="1:11" ht="38.25">
      <c r="A451" s="52" t="s">
        <v>791</v>
      </c>
      <c r="B451" s="53" t="s">
        <v>782</v>
      </c>
      <c r="C451" s="53" t="s">
        <v>309</v>
      </c>
      <c r="D451" s="54" t="str">
        <f>_xlfn.XLOOKUP(E451,Organograma!H:H,Organograma!G:G,"")</f>
        <v>APGQ - Assessoria de Planejamento e Gestão da Qualidade</v>
      </c>
      <c r="E451" s="54" t="s">
        <v>275</v>
      </c>
      <c r="F451" s="55">
        <v>46025</v>
      </c>
      <c r="G451" s="59" t="s">
        <v>192</v>
      </c>
      <c r="H451" s="55">
        <v>46173</v>
      </c>
      <c r="I451" s="56" t="s">
        <v>192</v>
      </c>
      <c r="J451" s="57">
        <v>0</v>
      </c>
      <c r="K451" s="58" t="s">
        <v>937</v>
      </c>
    </row>
    <row r="452" spans="1:11" ht="38.25">
      <c r="A452" s="52" t="s">
        <v>882</v>
      </c>
      <c r="B452" s="53" t="s">
        <v>883</v>
      </c>
      <c r="C452" s="53" t="s">
        <v>309</v>
      </c>
      <c r="D452" s="54" t="str">
        <f>_xlfn.XLOOKUP(E452,Organograma!H:H,Organograma!G:G,"")</f>
        <v>APGQ - Assessoria de Planejamento e Gestão da Qualidade</v>
      </c>
      <c r="E452" s="54" t="s">
        <v>275</v>
      </c>
      <c r="F452" s="55">
        <v>46025</v>
      </c>
      <c r="G452" s="59" t="s">
        <v>192</v>
      </c>
      <c r="H452" s="55">
        <v>46173</v>
      </c>
      <c r="I452" s="56" t="s">
        <v>192</v>
      </c>
      <c r="J452" s="57">
        <v>0</v>
      </c>
      <c r="K452" s="58" t="s">
        <v>937</v>
      </c>
    </row>
    <row r="453" spans="1:11" ht="38.25">
      <c r="A453" s="52" t="s">
        <v>884</v>
      </c>
      <c r="B453" s="53" t="s">
        <v>883</v>
      </c>
      <c r="C453" s="53" t="s">
        <v>309</v>
      </c>
      <c r="D453" s="54" t="str">
        <f>_xlfn.XLOOKUP(E453,Organograma!H:H,Organograma!G:G,"")</f>
        <v>APGQ - Assessoria de Planejamento e Gestão da Qualidade</v>
      </c>
      <c r="E453" s="54" t="s">
        <v>275</v>
      </c>
      <c r="F453" s="55">
        <v>46025</v>
      </c>
      <c r="G453" s="59" t="s">
        <v>192</v>
      </c>
      <c r="H453" s="55">
        <v>46173</v>
      </c>
      <c r="I453" s="56" t="s">
        <v>192</v>
      </c>
      <c r="J453" s="57">
        <v>0</v>
      </c>
      <c r="K453" s="58" t="s">
        <v>937</v>
      </c>
    </row>
    <row r="454" spans="1:11" ht="51">
      <c r="A454" s="52" t="s">
        <v>885</v>
      </c>
      <c r="B454" s="53" t="s">
        <v>883</v>
      </c>
      <c r="C454" s="53" t="s">
        <v>309</v>
      </c>
      <c r="D454" s="54" t="str">
        <f>_xlfn.XLOOKUP(E454,Organograma!H:H,Organograma!G:G,"")</f>
        <v>APGQ - Assessoria de Planejamento e Gestão da Qualidade</v>
      </c>
      <c r="E454" s="54" t="s">
        <v>275</v>
      </c>
      <c r="F454" s="55">
        <v>46025</v>
      </c>
      <c r="G454" s="59" t="s">
        <v>192</v>
      </c>
      <c r="H454" s="55">
        <v>46173</v>
      </c>
      <c r="I454" s="56" t="s">
        <v>192</v>
      </c>
      <c r="J454" s="57">
        <v>0</v>
      </c>
      <c r="K454" s="58" t="s">
        <v>937</v>
      </c>
    </row>
    <row r="455" spans="1:11" ht="51">
      <c r="A455" s="52" t="s">
        <v>886</v>
      </c>
      <c r="B455" s="53" t="s">
        <v>883</v>
      </c>
      <c r="C455" s="53" t="s">
        <v>309</v>
      </c>
      <c r="D455" s="54" t="str">
        <f>_xlfn.XLOOKUP(E455,Organograma!H:H,Organograma!G:G,"")</f>
        <v>APGQ - Assessoria de Planejamento e Gestão da Qualidade</v>
      </c>
      <c r="E455" s="54" t="s">
        <v>275</v>
      </c>
      <c r="F455" s="55">
        <v>46025</v>
      </c>
      <c r="G455" s="59" t="s">
        <v>192</v>
      </c>
      <c r="H455" s="55">
        <v>46173</v>
      </c>
      <c r="I455" s="56" t="s">
        <v>192</v>
      </c>
      <c r="J455" s="57">
        <v>0</v>
      </c>
      <c r="K455" s="58" t="s">
        <v>937</v>
      </c>
    </row>
    <row r="456" spans="1:11" ht="38.25">
      <c r="A456" s="52" t="s">
        <v>887</v>
      </c>
      <c r="B456" s="53" t="s">
        <v>883</v>
      </c>
      <c r="C456" s="53" t="s">
        <v>309</v>
      </c>
      <c r="D456" s="54" t="str">
        <f>_xlfn.XLOOKUP(E456,Organograma!H:H,Organograma!G:G,"")</f>
        <v>APGQ - Assessoria de Planejamento e Gestão da Qualidade</v>
      </c>
      <c r="E456" s="54" t="s">
        <v>275</v>
      </c>
      <c r="F456" s="55">
        <v>46025</v>
      </c>
      <c r="G456" s="59" t="s">
        <v>192</v>
      </c>
      <c r="H456" s="55">
        <v>46173</v>
      </c>
      <c r="I456" s="56" t="s">
        <v>192</v>
      </c>
      <c r="J456" s="57">
        <v>0</v>
      </c>
      <c r="K456" s="58" t="s">
        <v>937</v>
      </c>
    </row>
    <row r="457" spans="1:11" ht="38.25">
      <c r="A457" s="52" t="s">
        <v>888</v>
      </c>
      <c r="B457" s="53" t="s">
        <v>883</v>
      </c>
      <c r="C457" s="53" t="s">
        <v>309</v>
      </c>
      <c r="D457" s="54" t="str">
        <f>_xlfn.XLOOKUP(E457,Organograma!H:H,Organograma!G:G,"")</f>
        <v>APGQ - Assessoria de Planejamento e Gestão da Qualidade</v>
      </c>
      <c r="E457" s="54" t="s">
        <v>275</v>
      </c>
      <c r="F457" s="55">
        <v>46025</v>
      </c>
      <c r="G457" s="59" t="s">
        <v>192</v>
      </c>
      <c r="H457" s="55">
        <v>46173</v>
      </c>
      <c r="I457" s="56" t="s">
        <v>192</v>
      </c>
      <c r="J457" s="57">
        <v>0</v>
      </c>
      <c r="K457" s="58" t="s">
        <v>937</v>
      </c>
    </row>
    <row r="458" spans="1:11" ht="51">
      <c r="A458" s="52" t="s">
        <v>889</v>
      </c>
      <c r="B458" s="53" t="s">
        <v>883</v>
      </c>
      <c r="C458" s="53" t="s">
        <v>309</v>
      </c>
      <c r="D458" s="54" t="str">
        <f>_xlfn.XLOOKUP(E458,Organograma!H:H,Organograma!G:G,"")</f>
        <v>APGQ - Assessoria de Planejamento e Gestão da Qualidade</v>
      </c>
      <c r="E458" s="54" t="s">
        <v>275</v>
      </c>
      <c r="F458" s="55">
        <v>46025</v>
      </c>
      <c r="G458" s="59" t="s">
        <v>192</v>
      </c>
      <c r="H458" s="55">
        <v>46173</v>
      </c>
      <c r="I458" s="56" t="s">
        <v>192</v>
      </c>
      <c r="J458" s="57">
        <v>0</v>
      </c>
      <c r="K458" s="58" t="s">
        <v>937</v>
      </c>
    </row>
    <row r="459" spans="1:11" ht="38.25">
      <c r="A459" s="52" t="s">
        <v>890</v>
      </c>
      <c r="B459" s="53" t="s">
        <v>883</v>
      </c>
      <c r="C459" s="53" t="s">
        <v>309</v>
      </c>
      <c r="D459" s="54" t="str">
        <f>_xlfn.XLOOKUP(E459,Organograma!H:H,Organograma!G:G,"")</f>
        <v>APGQ - Assessoria de Planejamento e Gestão da Qualidade</v>
      </c>
      <c r="E459" s="54" t="s">
        <v>275</v>
      </c>
      <c r="F459" s="55">
        <v>46025</v>
      </c>
      <c r="G459" s="59" t="s">
        <v>192</v>
      </c>
      <c r="H459" s="55">
        <v>46173</v>
      </c>
      <c r="I459" s="56" t="s">
        <v>192</v>
      </c>
      <c r="J459" s="57">
        <v>0</v>
      </c>
      <c r="K459" s="58" t="s">
        <v>937</v>
      </c>
    </row>
    <row r="460" spans="1:11" ht="38.25">
      <c r="A460" s="52" t="s">
        <v>891</v>
      </c>
      <c r="B460" s="53" t="s">
        <v>883</v>
      </c>
      <c r="C460" s="53" t="s">
        <v>309</v>
      </c>
      <c r="D460" s="54" t="str">
        <f>_xlfn.XLOOKUP(E460,Organograma!H:H,Organograma!G:G,"")</f>
        <v>APGQ - Assessoria de Planejamento e Gestão da Qualidade</v>
      </c>
      <c r="E460" s="54" t="s">
        <v>275</v>
      </c>
      <c r="F460" s="55">
        <v>46025</v>
      </c>
      <c r="G460" s="59" t="s">
        <v>192</v>
      </c>
      <c r="H460" s="55">
        <v>46173</v>
      </c>
      <c r="I460" s="56" t="s">
        <v>192</v>
      </c>
      <c r="J460" s="57">
        <v>0</v>
      </c>
      <c r="K460" s="58" t="s">
        <v>937</v>
      </c>
    </row>
    <row r="461" spans="1:11" ht="51">
      <c r="A461" s="52" t="s">
        <v>892</v>
      </c>
      <c r="B461" s="53" t="s">
        <v>883</v>
      </c>
      <c r="C461" s="53" t="s">
        <v>309</v>
      </c>
      <c r="D461" s="54" t="str">
        <f>_xlfn.XLOOKUP(E461,Organograma!H:H,Organograma!G:G,"")</f>
        <v>APGQ - Assessoria de Planejamento e Gestão da Qualidade</v>
      </c>
      <c r="E461" s="54" t="s">
        <v>275</v>
      </c>
      <c r="F461" s="55">
        <v>46025</v>
      </c>
      <c r="G461" s="59" t="s">
        <v>192</v>
      </c>
      <c r="H461" s="55">
        <v>46173</v>
      </c>
      <c r="I461" s="56" t="s">
        <v>192</v>
      </c>
      <c r="J461" s="57">
        <v>0</v>
      </c>
      <c r="K461" s="58" t="s">
        <v>937</v>
      </c>
    </row>
    <row r="462" spans="1:11" ht="51">
      <c r="A462" s="52" t="s">
        <v>893</v>
      </c>
      <c r="B462" s="53" t="s">
        <v>883</v>
      </c>
      <c r="C462" s="53" t="s">
        <v>309</v>
      </c>
      <c r="D462" s="54" t="str">
        <f>_xlfn.XLOOKUP(E462,Organograma!H:H,Organograma!G:G,"")</f>
        <v>APGQ - Assessoria de Planejamento e Gestão da Qualidade</v>
      </c>
      <c r="E462" s="54" t="s">
        <v>275</v>
      </c>
      <c r="F462" s="55">
        <v>46025</v>
      </c>
      <c r="G462" s="59" t="s">
        <v>192</v>
      </c>
      <c r="H462" s="55">
        <v>46173</v>
      </c>
      <c r="I462" s="56" t="s">
        <v>192</v>
      </c>
      <c r="J462" s="57">
        <v>0</v>
      </c>
      <c r="K462" s="58" t="s">
        <v>937</v>
      </c>
    </row>
    <row r="463" spans="1:11" ht="51">
      <c r="A463" s="52" t="s">
        <v>894</v>
      </c>
      <c r="B463" s="53" t="s">
        <v>883</v>
      </c>
      <c r="C463" s="53" t="s">
        <v>309</v>
      </c>
      <c r="D463" s="54" t="str">
        <f>_xlfn.XLOOKUP(E463,Organograma!H:H,Organograma!G:G,"")</f>
        <v>APGQ - Assessoria de Planejamento e Gestão da Qualidade</v>
      </c>
      <c r="E463" s="54" t="s">
        <v>275</v>
      </c>
      <c r="F463" s="55">
        <v>46025</v>
      </c>
      <c r="G463" s="59" t="s">
        <v>192</v>
      </c>
      <c r="H463" s="55">
        <v>46173</v>
      </c>
      <c r="I463" s="56" t="s">
        <v>192</v>
      </c>
      <c r="J463" s="57">
        <v>0</v>
      </c>
      <c r="K463" s="58" t="s">
        <v>937</v>
      </c>
    </row>
    <row r="464" spans="1:11" ht="51">
      <c r="A464" s="52" t="s">
        <v>895</v>
      </c>
      <c r="B464" s="53" t="s">
        <v>896</v>
      </c>
      <c r="C464" s="53" t="s">
        <v>309</v>
      </c>
      <c r="D464" s="54" t="str">
        <f>_xlfn.XLOOKUP(E464,Organograma!H:H,Organograma!G:G,"")</f>
        <v>APGQ - Assessoria de Planejamento e Gestão da Qualidade</v>
      </c>
      <c r="E464" s="54" t="s">
        <v>275</v>
      </c>
      <c r="F464" s="55">
        <v>46025</v>
      </c>
      <c r="G464" s="59" t="s">
        <v>192</v>
      </c>
      <c r="H464" s="55">
        <v>46173</v>
      </c>
      <c r="I464" s="56" t="s">
        <v>192</v>
      </c>
      <c r="J464" s="57">
        <v>0</v>
      </c>
      <c r="K464" s="58" t="s">
        <v>937</v>
      </c>
    </row>
    <row r="465" spans="1:11" ht="38.25">
      <c r="A465" s="52" t="s">
        <v>897</v>
      </c>
      <c r="B465" s="53" t="s">
        <v>896</v>
      </c>
      <c r="C465" s="53" t="s">
        <v>309</v>
      </c>
      <c r="D465" s="54" t="str">
        <f>_xlfn.XLOOKUP(E465,Organograma!H:H,Organograma!G:G,"")</f>
        <v>APGQ - Assessoria de Planejamento e Gestão da Qualidade</v>
      </c>
      <c r="E465" s="54" t="s">
        <v>275</v>
      </c>
      <c r="F465" s="55">
        <v>46025</v>
      </c>
      <c r="G465" s="59" t="s">
        <v>192</v>
      </c>
      <c r="H465" s="55">
        <v>46173</v>
      </c>
      <c r="I465" s="56" t="s">
        <v>192</v>
      </c>
      <c r="J465" s="57">
        <v>0</v>
      </c>
      <c r="K465" s="58" t="s">
        <v>937</v>
      </c>
    </row>
    <row r="466" spans="1:11" ht="51">
      <c r="A466" s="52" t="s">
        <v>898</v>
      </c>
      <c r="B466" s="53" t="s">
        <v>896</v>
      </c>
      <c r="C466" s="53" t="s">
        <v>309</v>
      </c>
      <c r="D466" s="54" t="str">
        <f>_xlfn.XLOOKUP(E466,Organograma!H:H,Organograma!G:G,"")</f>
        <v>APGQ - Assessoria de Planejamento e Gestão da Qualidade</v>
      </c>
      <c r="E466" s="54" t="s">
        <v>275</v>
      </c>
      <c r="F466" s="55">
        <v>46025</v>
      </c>
      <c r="G466" s="59" t="s">
        <v>192</v>
      </c>
      <c r="H466" s="55">
        <v>46173</v>
      </c>
      <c r="I466" s="56" t="s">
        <v>192</v>
      </c>
      <c r="J466" s="57">
        <v>0</v>
      </c>
      <c r="K466" s="58" t="s">
        <v>937</v>
      </c>
    </row>
    <row r="467" spans="1:11" ht="38.25">
      <c r="A467" s="52" t="s">
        <v>899</v>
      </c>
      <c r="B467" s="53" t="s">
        <v>896</v>
      </c>
      <c r="C467" s="53" t="s">
        <v>309</v>
      </c>
      <c r="D467" s="54" t="str">
        <f>_xlfn.XLOOKUP(E467,Organograma!H:H,Organograma!G:G,"")</f>
        <v>APGQ - Assessoria de Planejamento e Gestão da Qualidade</v>
      </c>
      <c r="E467" s="54" t="s">
        <v>275</v>
      </c>
      <c r="F467" s="55">
        <v>46025</v>
      </c>
      <c r="G467" s="59" t="s">
        <v>192</v>
      </c>
      <c r="H467" s="55">
        <v>46173</v>
      </c>
      <c r="I467" s="56" t="s">
        <v>192</v>
      </c>
      <c r="J467" s="57">
        <v>0</v>
      </c>
      <c r="K467" s="58" t="s">
        <v>937</v>
      </c>
    </row>
    <row r="468" spans="1:11" ht="38.25">
      <c r="A468" s="52" t="s">
        <v>900</v>
      </c>
      <c r="B468" s="53" t="s">
        <v>896</v>
      </c>
      <c r="C468" s="53" t="s">
        <v>309</v>
      </c>
      <c r="D468" s="54" t="str">
        <f>_xlfn.XLOOKUP(E468,Organograma!H:H,Organograma!G:G,"")</f>
        <v>APGQ - Assessoria de Planejamento e Gestão da Qualidade</v>
      </c>
      <c r="E468" s="54" t="s">
        <v>275</v>
      </c>
      <c r="F468" s="55">
        <v>46025</v>
      </c>
      <c r="G468" s="59" t="s">
        <v>192</v>
      </c>
      <c r="H468" s="55">
        <v>46173</v>
      </c>
      <c r="I468" s="56" t="s">
        <v>192</v>
      </c>
      <c r="J468" s="57">
        <v>0</v>
      </c>
      <c r="K468" s="58" t="s">
        <v>937</v>
      </c>
    </row>
    <row r="469" spans="1:11" ht="51">
      <c r="A469" s="52" t="s">
        <v>901</v>
      </c>
      <c r="B469" s="53" t="s">
        <v>896</v>
      </c>
      <c r="C469" s="53" t="s">
        <v>309</v>
      </c>
      <c r="D469" s="54" t="str">
        <f>_xlfn.XLOOKUP(E469,Organograma!H:H,Organograma!G:G,"")</f>
        <v>APGQ - Assessoria de Planejamento e Gestão da Qualidade</v>
      </c>
      <c r="E469" s="54" t="s">
        <v>275</v>
      </c>
      <c r="F469" s="55">
        <v>46025</v>
      </c>
      <c r="G469" s="59" t="s">
        <v>192</v>
      </c>
      <c r="H469" s="55">
        <v>46173</v>
      </c>
      <c r="I469" s="56" t="s">
        <v>192</v>
      </c>
      <c r="J469" s="57">
        <v>0</v>
      </c>
      <c r="K469" s="58" t="s">
        <v>937</v>
      </c>
    </row>
    <row r="470" spans="1:11" ht="51">
      <c r="A470" s="52" t="s">
        <v>902</v>
      </c>
      <c r="B470" s="53" t="s">
        <v>896</v>
      </c>
      <c r="C470" s="53" t="s">
        <v>309</v>
      </c>
      <c r="D470" s="54" t="str">
        <f>_xlfn.XLOOKUP(E470,Organograma!H:H,Organograma!G:G,"")</f>
        <v>APGQ - Assessoria de Planejamento e Gestão da Qualidade</v>
      </c>
      <c r="E470" s="54" t="s">
        <v>275</v>
      </c>
      <c r="F470" s="55">
        <v>46025</v>
      </c>
      <c r="G470" s="59" t="s">
        <v>192</v>
      </c>
      <c r="H470" s="55">
        <v>46173</v>
      </c>
      <c r="I470" s="56" t="s">
        <v>192</v>
      </c>
      <c r="J470" s="57">
        <v>0</v>
      </c>
      <c r="K470" s="58" t="s">
        <v>937</v>
      </c>
    </row>
    <row r="471" spans="1:11" ht="38.25">
      <c r="A471" s="52" t="s">
        <v>903</v>
      </c>
      <c r="B471" s="53" t="s">
        <v>896</v>
      </c>
      <c r="C471" s="53" t="s">
        <v>309</v>
      </c>
      <c r="D471" s="54" t="str">
        <f>_xlfn.XLOOKUP(E471,Organograma!H:H,Organograma!G:G,"")</f>
        <v>APGQ - Assessoria de Planejamento e Gestão da Qualidade</v>
      </c>
      <c r="E471" s="54" t="s">
        <v>275</v>
      </c>
      <c r="F471" s="55">
        <v>46025</v>
      </c>
      <c r="G471" s="59" t="s">
        <v>192</v>
      </c>
      <c r="H471" s="55">
        <v>46173</v>
      </c>
      <c r="I471" s="56" t="s">
        <v>192</v>
      </c>
      <c r="J471" s="57">
        <v>0</v>
      </c>
      <c r="K471" s="58" t="s">
        <v>937</v>
      </c>
    </row>
    <row r="472" spans="1:11" ht="38.25">
      <c r="A472" s="52" t="s">
        <v>904</v>
      </c>
      <c r="B472" s="53" t="s">
        <v>905</v>
      </c>
      <c r="C472" s="53" t="s">
        <v>309</v>
      </c>
      <c r="D472" s="54" t="str">
        <f>_xlfn.XLOOKUP(E472,Organograma!H:H,Organograma!G:G,"")</f>
        <v>APGQ - Assessoria de Planejamento e Gestão da Qualidade</v>
      </c>
      <c r="E472" s="54" t="s">
        <v>275</v>
      </c>
      <c r="F472" s="55">
        <v>46025</v>
      </c>
      <c r="G472" s="59" t="s">
        <v>192</v>
      </c>
      <c r="H472" s="55">
        <v>46173</v>
      </c>
      <c r="I472" s="56" t="s">
        <v>192</v>
      </c>
      <c r="J472" s="57">
        <v>0</v>
      </c>
      <c r="K472" s="58" t="s">
        <v>937</v>
      </c>
    </row>
    <row r="473" spans="1:11" ht="51">
      <c r="A473" s="52" t="s">
        <v>906</v>
      </c>
      <c r="B473" s="53" t="s">
        <v>905</v>
      </c>
      <c r="C473" s="53" t="s">
        <v>309</v>
      </c>
      <c r="D473" s="54" t="str">
        <f>_xlfn.XLOOKUP(E473,Organograma!H:H,Organograma!G:G,"")</f>
        <v>APGQ - Assessoria de Planejamento e Gestão da Qualidade</v>
      </c>
      <c r="E473" s="54" t="s">
        <v>275</v>
      </c>
      <c r="F473" s="55">
        <v>46025</v>
      </c>
      <c r="G473" s="59" t="s">
        <v>192</v>
      </c>
      <c r="H473" s="55">
        <v>46173</v>
      </c>
      <c r="I473" s="56" t="s">
        <v>192</v>
      </c>
      <c r="J473" s="57">
        <v>0</v>
      </c>
      <c r="K473" s="58" t="s">
        <v>937</v>
      </c>
    </row>
    <row r="474" spans="1:11" ht="51">
      <c r="A474" s="52" t="s">
        <v>907</v>
      </c>
      <c r="B474" s="53" t="s">
        <v>905</v>
      </c>
      <c r="C474" s="53" t="s">
        <v>309</v>
      </c>
      <c r="D474" s="54" t="str">
        <f>_xlfn.XLOOKUP(E474,Organograma!H:H,Organograma!G:G,"")</f>
        <v>APGQ - Assessoria de Planejamento e Gestão da Qualidade</v>
      </c>
      <c r="E474" s="54" t="s">
        <v>275</v>
      </c>
      <c r="F474" s="55">
        <v>46025</v>
      </c>
      <c r="G474" s="59" t="s">
        <v>192</v>
      </c>
      <c r="H474" s="55">
        <v>46173</v>
      </c>
      <c r="I474" s="56" t="s">
        <v>192</v>
      </c>
      <c r="J474" s="57">
        <v>0</v>
      </c>
      <c r="K474" s="58" t="s">
        <v>937</v>
      </c>
    </row>
    <row r="475" spans="1:11" ht="38.25">
      <c r="A475" s="52" t="s">
        <v>908</v>
      </c>
      <c r="B475" s="53" t="s">
        <v>905</v>
      </c>
      <c r="C475" s="53" t="s">
        <v>309</v>
      </c>
      <c r="D475" s="54" t="str">
        <f>_xlfn.XLOOKUP(E475,Organograma!H:H,Organograma!G:G,"")</f>
        <v>APGQ - Assessoria de Planejamento e Gestão da Qualidade</v>
      </c>
      <c r="E475" s="54" t="s">
        <v>275</v>
      </c>
      <c r="F475" s="55">
        <v>46025</v>
      </c>
      <c r="G475" s="59" t="s">
        <v>192</v>
      </c>
      <c r="H475" s="55">
        <v>46173</v>
      </c>
      <c r="I475" s="56" t="s">
        <v>192</v>
      </c>
      <c r="J475" s="57">
        <v>0</v>
      </c>
      <c r="K475" s="58" t="s">
        <v>937</v>
      </c>
    </row>
    <row r="476" spans="1:11" ht="38.25">
      <c r="A476" s="52" t="s">
        <v>909</v>
      </c>
      <c r="B476" s="53" t="s">
        <v>905</v>
      </c>
      <c r="C476" s="53" t="s">
        <v>309</v>
      </c>
      <c r="D476" s="54" t="str">
        <f>_xlfn.XLOOKUP(E476,Organograma!H:H,Organograma!G:G,"")</f>
        <v>APGQ - Assessoria de Planejamento e Gestão da Qualidade</v>
      </c>
      <c r="E476" s="54" t="s">
        <v>275</v>
      </c>
      <c r="F476" s="55">
        <v>46025</v>
      </c>
      <c r="G476" s="59" t="s">
        <v>192</v>
      </c>
      <c r="H476" s="55">
        <v>46173</v>
      </c>
      <c r="I476" s="56" t="s">
        <v>192</v>
      </c>
      <c r="J476" s="57">
        <v>0</v>
      </c>
      <c r="K476" s="58" t="s">
        <v>937</v>
      </c>
    </row>
    <row r="477" spans="1:11" ht="51">
      <c r="A477" s="52" t="s">
        <v>809</v>
      </c>
      <c r="B477" s="53" t="s">
        <v>810</v>
      </c>
      <c r="C477" s="53" t="s">
        <v>309</v>
      </c>
      <c r="D477" s="54" t="str">
        <f>_xlfn.XLOOKUP(E477,Organograma!H:H,Organograma!G:G,"")</f>
        <v>FAR - Farmácia</v>
      </c>
      <c r="E477" s="54" t="s">
        <v>811</v>
      </c>
      <c r="F477" s="55">
        <v>46025</v>
      </c>
      <c r="G477" s="55">
        <v>46106</v>
      </c>
      <c r="H477" s="55">
        <v>46173</v>
      </c>
      <c r="I477" s="56" t="s">
        <v>192</v>
      </c>
      <c r="J477" s="57">
        <v>0.5</v>
      </c>
      <c r="K477" s="58" t="s">
        <v>936</v>
      </c>
    </row>
    <row r="478" spans="1:11" ht="51">
      <c r="A478" s="52" t="s">
        <v>812</v>
      </c>
      <c r="B478" s="53" t="s">
        <v>810</v>
      </c>
      <c r="C478" s="53" t="s">
        <v>309</v>
      </c>
      <c r="D478" s="54" t="str">
        <f>_xlfn.XLOOKUP(E478,Organograma!H:H,Organograma!G:G,"")</f>
        <v>FAR - Farmácia</v>
      </c>
      <c r="E478" s="54" t="s">
        <v>811</v>
      </c>
      <c r="F478" s="55">
        <v>46025</v>
      </c>
      <c r="G478" s="59" t="s">
        <v>192</v>
      </c>
      <c r="H478" s="55">
        <v>46173</v>
      </c>
      <c r="I478" s="56" t="s">
        <v>192</v>
      </c>
      <c r="J478" s="57">
        <v>0</v>
      </c>
      <c r="K478" s="58" t="s">
        <v>937</v>
      </c>
    </row>
    <row r="479" spans="1:11" ht="38.25">
      <c r="A479" s="52" t="s">
        <v>813</v>
      </c>
      <c r="B479" s="53" t="s">
        <v>810</v>
      </c>
      <c r="C479" s="53" t="s">
        <v>309</v>
      </c>
      <c r="D479" s="54" t="str">
        <f>_xlfn.XLOOKUP(E479,Organograma!H:H,Organograma!G:G,"")</f>
        <v>FAR - Farmácia</v>
      </c>
      <c r="E479" s="54" t="s">
        <v>811</v>
      </c>
      <c r="F479" s="55">
        <v>46025</v>
      </c>
      <c r="G479" s="55">
        <v>46105</v>
      </c>
      <c r="H479" s="55">
        <v>46173</v>
      </c>
      <c r="I479" s="61">
        <v>46105</v>
      </c>
      <c r="J479" s="57">
        <v>1</v>
      </c>
      <c r="K479" s="58" t="s">
        <v>935</v>
      </c>
    </row>
    <row r="480" spans="1:11" ht="51">
      <c r="A480" s="52" t="s">
        <v>814</v>
      </c>
      <c r="B480" s="53" t="s">
        <v>810</v>
      </c>
      <c r="C480" s="53" t="s">
        <v>309</v>
      </c>
      <c r="D480" s="54" t="str">
        <f>_xlfn.XLOOKUP(E480,Organograma!H:H,Organograma!G:G,"")</f>
        <v>FAR - Farmácia</v>
      </c>
      <c r="E480" s="54" t="s">
        <v>811</v>
      </c>
      <c r="F480" s="55">
        <v>46025</v>
      </c>
      <c r="G480" s="55">
        <v>46106</v>
      </c>
      <c r="H480" s="55">
        <v>46173</v>
      </c>
      <c r="I480" s="56" t="s">
        <v>192</v>
      </c>
      <c r="J480" s="57">
        <v>0.5</v>
      </c>
      <c r="K480" s="58" t="s">
        <v>936</v>
      </c>
    </row>
    <row r="481" spans="1:11" ht="51">
      <c r="A481" s="52" t="s">
        <v>815</v>
      </c>
      <c r="B481" s="53" t="s">
        <v>810</v>
      </c>
      <c r="C481" s="53" t="s">
        <v>309</v>
      </c>
      <c r="D481" s="54" t="str">
        <f>_xlfn.XLOOKUP(E481,Organograma!H:H,Organograma!G:G,"")</f>
        <v>FAR - Farmácia</v>
      </c>
      <c r="E481" s="54" t="s">
        <v>811</v>
      </c>
      <c r="F481" s="55">
        <v>46025</v>
      </c>
      <c r="G481" s="59" t="s">
        <v>192</v>
      </c>
      <c r="H481" s="55">
        <v>46173</v>
      </c>
      <c r="I481" s="56" t="s">
        <v>192</v>
      </c>
      <c r="J481" s="57">
        <v>0</v>
      </c>
      <c r="K481" s="58" t="s">
        <v>937</v>
      </c>
    </row>
    <row r="482" spans="1:11" ht="38.25">
      <c r="A482" s="52" t="s">
        <v>816</v>
      </c>
      <c r="B482" s="53" t="s">
        <v>810</v>
      </c>
      <c r="C482" s="53" t="s">
        <v>309</v>
      </c>
      <c r="D482" s="54" t="str">
        <f>_xlfn.XLOOKUP(E482,Organograma!H:H,Organograma!G:G,"")</f>
        <v>FAR - Farmácia</v>
      </c>
      <c r="E482" s="54" t="s">
        <v>811</v>
      </c>
      <c r="F482" s="55">
        <v>46025</v>
      </c>
      <c r="G482" s="59" t="s">
        <v>192</v>
      </c>
      <c r="H482" s="55">
        <v>46173</v>
      </c>
      <c r="I482" s="56" t="s">
        <v>192</v>
      </c>
      <c r="J482" s="57">
        <v>0</v>
      </c>
      <c r="K482" s="58" t="s">
        <v>937</v>
      </c>
    </row>
    <row r="483" spans="1:11" ht="51">
      <c r="A483" s="52" t="s">
        <v>817</v>
      </c>
      <c r="B483" s="53" t="s">
        <v>810</v>
      </c>
      <c r="C483" s="53" t="s">
        <v>309</v>
      </c>
      <c r="D483" s="54" t="str">
        <f>_xlfn.XLOOKUP(E483,Organograma!H:H,Organograma!G:G,"")</f>
        <v>FAR - Farmácia</v>
      </c>
      <c r="E483" s="54" t="s">
        <v>811</v>
      </c>
      <c r="F483" s="55">
        <v>46025</v>
      </c>
      <c r="G483" s="55">
        <v>46106</v>
      </c>
      <c r="H483" s="55">
        <v>46173</v>
      </c>
      <c r="I483" s="56" t="s">
        <v>192</v>
      </c>
      <c r="J483" s="57">
        <v>0.25</v>
      </c>
      <c r="K483" s="58" t="s">
        <v>936</v>
      </c>
    </row>
    <row r="484" spans="1:11" ht="51">
      <c r="A484" s="52" t="s">
        <v>818</v>
      </c>
      <c r="B484" s="53" t="s">
        <v>810</v>
      </c>
      <c r="C484" s="53" t="s">
        <v>309</v>
      </c>
      <c r="D484" s="54" t="str">
        <f>_xlfn.XLOOKUP(E484,Organograma!H:H,Organograma!G:G,"")</f>
        <v>FAR - Farmácia</v>
      </c>
      <c r="E484" s="54" t="s">
        <v>811</v>
      </c>
      <c r="F484" s="55">
        <v>46025</v>
      </c>
      <c r="G484" s="59" t="s">
        <v>192</v>
      </c>
      <c r="H484" s="55">
        <v>46173</v>
      </c>
      <c r="I484" s="56" t="s">
        <v>192</v>
      </c>
      <c r="J484" s="57">
        <v>0</v>
      </c>
      <c r="K484" s="58" t="s">
        <v>937</v>
      </c>
    </row>
    <row r="485" spans="1:11" ht="51">
      <c r="A485" s="52" t="s">
        <v>819</v>
      </c>
      <c r="B485" s="53" t="s">
        <v>810</v>
      </c>
      <c r="C485" s="53" t="s">
        <v>309</v>
      </c>
      <c r="D485" s="54" t="str">
        <f>_xlfn.XLOOKUP(E485,Organograma!H:H,Organograma!G:G,"")</f>
        <v>FAR - Farmácia</v>
      </c>
      <c r="E485" s="54" t="s">
        <v>811</v>
      </c>
      <c r="F485" s="55">
        <v>46025</v>
      </c>
      <c r="G485" s="55">
        <v>46126</v>
      </c>
      <c r="H485" s="55">
        <v>46173</v>
      </c>
      <c r="I485" s="56" t="s">
        <v>192</v>
      </c>
      <c r="J485" s="57">
        <v>0.5</v>
      </c>
      <c r="K485" s="58" t="s">
        <v>936</v>
      </c>
    </row>
    <row r="486" spans="1:11" ht="51">
      <c r="A486" s="52" t="s">
        <v>820</v>
      </c>
      <c r="B486" s="53" t="s">
        <v>810</v>
      </c>
      <c r="C486" s="53" t="s">
        <v>309</v>
      </c>
      <c r="D486" s="54" t="str">
        <f>_xlfn.XLOOKUP(E486,Organograma!H:H,Organograma!G:G,"")</f>
        <v>FAR - Farmácia</v>
      </c>
      <c r="E486" s="54" t="s">
        <v>811</v>
      </c>
      <c r="F486" s="55">
        <v>46025</v>
      </c>
      <c r="G486" s="55">
        <v>46126</v>
      </c>
      <c r="H486" s="55">
        <v>46173</v>
      </c>
      <c r="I486" s="56" t="s">
        <v>192</v>
      </c>
      <c r="J486" s="57">
        <v>0.5</v>
      </c>
      <c r="K486" s="58" t="s">
        <v>936</v>
      </c>
    </row>
    <row r="487" spans="1:11" ht="51">
      <c r="A487" s="52" t="s">
        <v>821</v>
      </c>
      <c r="B487" s="53" t="s">
        <v>810</v>
      </c>
      <c r="C487" s="53" t="s">
        <v>309</v>
      </c>
      <c r="D487" s="54" t="str">
        <f>_xlfn.XLOOKUP(E487,Organograma!H:H,Organograma!G:G,"")</f>
        <v>FAR - Farmácia</v>
      </c>
      <c r="E487" s="54" t="s">
        <v>811</v>
      </c>
      <c r="F487" s="55">
        <v>46052</v>
      </c>
      <c r="G487" s="55">
        <v>46126</v>
      </c>
      <c r="H487" s="55">
        <v>46173</v>
      </c>
      <c r="I487" s="56" t="s">
        <v>192</v>
      </c>
      <c r="J487" s="57">
        <v>0.5</v>
      </c>
      <c r="K487" s="58" t="s">
        <v>936</v>
      </c>
    </row>
    <row r="488" spans="1:11" ht="51">
      <c r="A488" s="52" t="s">
        <v>822</v>
      </c>
      <c r="B488" s="53" t="s">
        <v>810</v>
      </c>
      <c r="C488" s="53" t="s">
        <v>309</v>
      </c>
      <c r="D488" s="54" t="str">
        <f>_xlfn.XLOOKUP(E488,Organograma!H:H,Organograma!G:G,"")</f>
        <v>FAR - Farmácia</v>
      </c>
      <c r="E488" s="54" t="s">
        <v>811</v>
      </c>
      <c r="F488" s="55">
        <v>46052</v>
      </c>
      <c r="G488" s="59" t="s">
        <v>192</v>
      </c>
      <c r="H488" s="55">
        <v>46173</v>
      </c>
      <c r="I488" s="56" t="s">
        <v>192</v>
      </c>
      <c r="J488" s="57">
        <v>0</v>
      </c>
      <c r="K488" s="58" t="s">
        <v>937</v>
      </c>
    </row>
    <row r="489" spans="1:11" ht="38.25">
      <c r="A489" s="52" t="s">
        <v>241</v>
      </c>
      <c r="B489" s="53" t="s">
        <v>242</v>
      </c>
      <c r="C489" s="54" t="s">
        <v>218</v>
      </c>
      <c r="D489" s="54" t="str">
        <f>_xlfn.XLOOKUP(E489,Organograma!H:H,Organograma!G:G,"")</f>
        <v>Assessoria da Diretoria Geral</v>
      </c>
      <c r="E489" s="54" t="s">
        <v>243</v>
      </c>
      <c r="F489" s="55">
        <v>46026</v>
      </c>
      <c r="G489" s="59" t="s">
        <v>192</v>
      </c>
      <c r="H489" s="55">
        <v>46326</v>
      </c>
      <c r="I489" s="56" t="s">
        <v>192</v>
      </c>
      <c r="J489" s="57">
        <v>0</v>
      </c>
      <c r="K489" s="58" t="s">
        <v>937</v>
      </c>
    </row>
    <row r="490" spans="1:11" ht="25.5">
      <c r="A490" s="52" t="s">
        <v>245</v>
      </c>
      <c r="B490" s="53" t="s">
        <v>242</v>
      </c>
      <c r="C490" s="54" t="s">
        <v>218</v>
      </c>
      <c r="D490" s="54" t="str">
        <f>_xlfn.XLOOKUP(E490,Organograma!H:H,Organograma!G:G,"")</f>
        <v>Assessoria da Diretoria Geral</v>
      </c>
      <c r="E490" s="60" t="s">
        <v>933</v>
      </c>
      <c r="F490" s="55">
        <v>46026</v>
      </c>
      <c r="G490" s="59" t="s">
        <v>192</v>
      </c>
      <c r="H490" s="55">
        <v>46173</v>
      </c>
      <c r="I490" s="56" t="s">
        <v>192</v>
      </c>
      <c r="J490" s="57">
        <v>0</v>
      </c>
      <c r="K490" s="58" t="s">
        <v>937</v>
      </c>
    </row>
    <row r="491" spans="1:11" ht="25.5">
      <c r="A491" s="52" t="s">
        <v>246</v>
      </c>
      <c r="B491" s="53" t="s">
        <v>242</v>
      </c>
      <c r="C491" s="54" t="s">
        <v>218</v>
      </c>
      <c r="D491" s="54" t="str">
        <f>_xlfn.XLOOKUP(E491,Organograma!H:H,Organograma!G:G,"")</f>
        <v>Assessoria da Diretoria Geral</v>
      </c>
      <c r="E491" s="54" t="s">
        <v>243</v>
      </c>
      <c r="F491" s="55">
        <v>46026</v>
      </c>
      <c r="G491" s="59" t="s">
        <v>192</v>
      </c>
      <c r="H491" s="55">
        <v>46326</v>
      </c>
      <c r="I491" s="56" t="s">
        <v>192</v>
      </c>
      <c r="J491" s="57">
        <v>0</v>
      </c>
      <c r="K491" s="58" t="s">
        <v>937</v>
      </c>
    </row>
    <row r="492" spans="1:11" ht="25.5">
      <c r="A492" s="52" t="s">
        <v>247</v>
      </c>
      <c r="B492" s="53" t="s">
        <v>242</v>
      </c>
      <c r="C492" s="54" t="s">
        <v>218</v>
      </c>
      <c r="D492" s="54" t="str">
        <f>_xlfn.XLOOKUP(E492,Organograma!H:H,Organograma!G:G,"")</f>
        <v>Assessoria da Diretoria Geral</v>
      </c>
      <c r="E492" s="54" t="s">
        <v>243</v>
      </c>
      <c r="F492" s="55">
        <v>46026</v>
      </c>
      <c r="G492" s="59" t="s">
        <v>192</v>
      </c>
      <c r="H492" s="55">
        <v>46326</v>
      </c>
      <c r="I492" s="56" t="s">
        <v>192</v>
      </c>
      <c r="J492" s="57">
        <v>0</v>
      </c>
      <c r="K492" s="58" t="s">
        <v>937</v>
      </c>
    </row>
    <row r="493" spans="1:11" ht="38.25">
      <c r="A493" s="52" t="s">
        <v>302</v>
      </c>
      <c r="B493" s="53" t="s">
        <v>301</v>
      </c>
      <c r="C493" s="54" t="s">
        <v>218</v>
      </c>
      <c r="D493" s="54" t="str">
        <f>_xlfn.XLOOKUP(E493,Organograma!H:H,Organograma!G:G,"")</f>
        <v>Assessoria da Diretoria Geral</v>
      </c>
      <c r="E493" s="54" t="s">
        <v>243</v>
      </c>
      <c r="F493" s="55">
        <v>46025</v>
      </c>
      <c r="G493" s="59" t="s">
        <v>192</v>
      </c>
      <c r="H493" s="55">
        <v>46203</v>
      </c>
      <c r="I493" s="56" t="s">
        <v>192</v>
      </c>
      <c r="J493" s="57">
        <v>0</v>
      </c>
      <c r="K493" s="58" t="s">
        <v>937</v>
      </c>
    </row>
    <row r="494" spans="1:11" ht="25.5">
      <c r="A494" s="52" t="s">
        <v>237</v>
      </c>
      <c r="B494" s="54" t="s">
        <v>236</v>
      </c>
      <c r="C494" s="54" t="s">
        <v>218</v>
      </c>
      <c r="D494" s="54" t="str">
        <f>_xlfn.XLOOKUP(E494,Organograma!H:H,Organograma!G:G,"")</f>
        <v>SPAD - Setor de Provimento e Avaliação de Desempenho</v>
      </c>
      <c r="E494" s="54" t="s">
        <v>238</v>
      </c>
      <c r="F494" s="55">
        <v>46026</v>
      </c>
      <c r="G494" s="59" t="s">
        <v>192</v>
      </c>
      <c r="H494" s="55">
        <v>46234</v>
      </c>
      <c r="I494" s="56" t="s">
        <v>192</v>
      </c>
      <c r="J494" s="57">
        <v>0</v>
      </c>
      <c r="K494" s="58" t="s">
        <v>937</v>
      </c>
    </row>
    <row r="495" spans="1:11" ht="38.25">
      <c r="A495" s="52" t="s">
        <v>294</v>
      </c>
      <c r="B495" s="53" t="s">
        <v>295</v>
      </c>
      <c r="C495" s="54" t="s">
        <v>218</v>
      </c>
      <c r="D495" s="54" t="str">
        <f>_xlfn.XLOOKUP(E495,Organograma!H:H,Organograma!G:G,"")</f>
        <v>SPAD - Setor de Provimento e Avaliação de Desempenho</v>
      </c>
      <c r="E495" s="54" t="s">
        <v>238</v>
      </c>
      <c r="F495" s="55">
        <v>46025</v>
      </c>
      <c r="G495" s="59" t="s">
        <v>192</v>
      </c>
      <c r="H495" s="55">
        <v>46203</v>
      </c>
      <c r="I495" s="56" t="s">
        <v>192</v>
      </c>
      <c r="J495" s="57">
        <v>0</v>
      </c>
      <c r="K495" s="58" t="s">
        <v>937</v>
      </c>
    </row>
    <row r="496" spans="1:11" ht="38.25">
      <c r="A496" s="52" t="s">
        <v>296</v>
      </c>
      <c r="B496" s="53" t="s">
        <v>295</v>
      </c>
      <c r="C496" s="54" t="s">
        <v>218</v>
      </c>
      <c r="D496" s="54" t="str">
        <f>_xlfn.XLOOKUP(E496,Organograma!H:H,Organograma!G:G,"")</f>
        <v>SPAD - Setor de Provimento e Avaliação de Desempenho</v>
      </c>
      <c r="E496" s="54" t="s">
        <v>238</v>
      </c>
      <c r="F496" s="55">
        <v>46025</v>
      </c>
      <c r="G496" s="59" t="s">
        <v>192</v>
      </c>
      <c r="H496" s="55">
        <v>46203</v>
      </c>
      <c r="I496" s="56" t="s">
        <v>192</v>
      </c>
      <c r="J496" s="57">
        <v>0</v>
      </c>
      <c r="K496" s="58" t="s">
        <v>937</v>
      </c>
    </row>
    <row r="497" spans="1:11" ht="38.25">
      <c r="A497" s="52" t="s">
        <v>297</v>
      </c>
      <c r="B497" s="53" t="s">
        <v>295</v>
      </c>
      <c r="C497" s="54" t="s">
        <v>218</v>
      </c>
      <c r="D497" s="54" t="str">
        <f>_xlfn.XLOOKUP(E497,Organograma!H:H,Organograma!G:G,"")</f>
        <v>SPAD - Setor de Provimento e Avaliação de Desempenho</v>
      </c>
      <c r="E497" s="54" t="s">
        <v>238</v>
      </c>
      <c r="F497" s="55">
        <v>46025</v>
      </c>
      <c r="G497" s="59" t="s">
        <v>192</v>
      </c>
      <c r="H497" s="55">
        <v>46203</v>
      </c>
      <c r="I497" s="56" t="s">
        <v>192</v>
      </c>
      <c r="J497" s="57">
        <v>0</v>
      </c>
      <c r="K497" s="58" t="s">
        <v>937</v>
      </c>
    </row>
    <row r="498" spans="1:11" ht="38.25">
      <c r="A498" s="52" t="s">
        <v>298</v>
      </c>
      <c r="B498" s="53" t="s">
        <v>295</v>
      </c>
      <c r="C498" s="54" t="s">
        <v>218</v>
      </c>
      <c r="D498" s="54" t="str">
        <f>_xlfn.XLOOKUP(E498,Organograma!H:H,Organograma!G:G,"")</f>
        <v>SPAD - Setor de Provimento e Avaliação de Desempenho</v>
      </c>
      <c r="E498" s="54" t="s">
        <v>238</v>
      </c>
      <c r="F498" s="55">
        <v>46025</v>
      </c>
      <c r="G498" s="59" t="s">
        <v>192</v>
      </c>
      <c r="H498" s="55">
        <v>46203</v>
      </c>
      <c r="I498" s="56" t="s">
        <v>192</v>
      </c>
      <c r="J498" s="57">
        <v>0</v>
      </c>
      <c r="K498" s="58" t="s">
        <v>937</v>
      </c>
    </row>
    <row r="499" spans="1:11" ht="38.25">
      <c r="A499" s="52" t="s">
        <v>299</v>
      </c>
      <c r="B499" s="53" t="s">
        <v>295</v>
      </c>
      <c r="C499" s="54" t="s">
        <v>218</v>
      </c>
      <c r="D499" s="54" t="str">
        <f>_xlfn.XLOOKUP(E499,Organograma!H:H,Organograma!G:G,"")</f>
        <v>SPAD - Setor de Provimento e Avaliação de Desempenho</v>
      </c>
      <c r="E499" s="54" t="s">
        <v>238</v>
      </c>
      <c r="F499" s="55">
        <v>46025</v>
      </c>
      <c r="G499" s="59" t="s">
        <v>192</v>
      </c>
      <c r="H499" s="55">
        <v>46203</v>
      </c>
      <c r="I499" s="56" t="s">
        <v>192</v>
      </c>
      <c r="J499" s="57">
        <v>0</v>
      </c>
      <c r="K499" s="58" t="s">
        <v>937</v>
      </c>
    </row>
    <row r="500" spans="1:11" ht="38.25">
      <c r="A500" s="52" t="s">
        <v>300</v>
      </c>
      <c r="B500" s="53" t="s">
        <v>301</v>
      </c>
      <c r="C500" s="54" t="s">
        <v>218</v>
      </c>
      <c r="D500" s="54" t="str">
        <f>_xlfn.XLOOKUP(E500,Organograma!H:H,Organograma!G:G,"")</f>
        <v>SPAD - Setor de Provimento e Avaliação de Desempenho</v>
      </c>
      <c r="E500" s="54" t="s">
        <v>238</v>
      </c>
      <c r="F500" s="55">
        <v>46025</v>
      </c>
      <c r="G500" s="59" t="s">
        <v>192</v>
      </c>
      <c r="H500" s="55">
        <v>46203</v>
      </c>
      <c r="I500" s="56" t="s">
        <v>192</v>
      </c>
      <c r="J500" s="57">
        <v>0</v>
      </c>
      <c r="K500" s="58" t="s">
        <v>937</v>
      </c>
    </row>
    <row r="501" spans="1:11" ht="38.25">
      <c r="A501" s="52" t="s">
        <v>303</v>
      </c>
      <c r="B501" s="53" t="s">
        <v>301</v>
      </c>
      <c r="C501" s="54" t="s">
        <v>218</v>
      </c>
      <c r="D501" s="54" t="str">
        <f>_xlfn.XLOOKUP(E501,Organograma!H:H,Organograma!G:G,"")</f>
        <v>SPAD - Setor de Provimento e Avaliação de Desempenho</v>
      </c>
      <c r="E501" s="54" t="s">
        <v>238</v>
      </c>
      <c r="F501" s="55">
        <v>46025</v>
      </c>
      <c r="G501" s="59" t="s">
        <v>192</v>
      </c>
      <c r="H501" s="55">
        <v>46203</v>
      </c>
      <c r="I501" s="56" t="s">
        <v>192</v>
      </c>
      <c r="J501" s="57">
        <v>0</v>
      </c>
      <c r="K501" s="58" t="s">
        <v>937</v>
      </c>
    </row>
    <row r="502" spans="1:11" ht="38.25">
      <c r="A502" s="52" t="s">
        <v>304</v>
      </c>
      <c r="B502" s="53" t="s">
        <v>301</v>
      </c>
      <c r="C502" s="54" t="s">
        <v>218</v>
      </c>
      <c r="D502" s="54" t="str">
        <f>_xlfn.XLOOKUP(E502,Organograma!H:H,Organograma!G:G,"")</f>
        <v>SPAD - Setor de Provimento e Avaliação de Desempenho</v>
      </c>
      <c r="E502" s="54" t="s">
        <v>238</v>
      </c>
      <c r="F502" s="55">
        <v>46025</v>
      </c>
      <c r="G502" s="59" t="s">
        <v>192</v>
      </c>
      <c r="H502" s="55">
        <v>46203</v>
      </c>
      <c r="I502" s="56" t="s">
        <v>192</v>
      </c>
      <c r="J502" s="57">
        <v>0</v>
      </c>
      <c r="K502" s="58" t="s">
        <v>937</v>
      </c>
    </row>
    <row r="503" spans="1:11" ht="38.25">
      <c r="A503" s="52" t="s">
        <v>305</v>
      </c>
      <c r="B503" s="53" t="s">
        <v>301</v>
      </c>
      <c r="C503" s="54" t="s">
        <v>218</v>
      </c>
      <c r="D503" s="54" t="str">
        <f>_xlfn.XLOOKUP(E503,Organograma!H:H,Organograma!G:G,"")</f>
        <v>SPAD - Setor de Provimento e Avaliação de Desempenho</v>
      </c>
      <c r="E503" s="54" t="s">
        <v>238</v>
      </c>
      <c r="F503" s="55">
        <v>46025</v>
      </c>
      <c r="G503" s="55">
        <v>46117</v>
      </c>
      <c r="H503" s="55">
        <v>46203</v>
      </c>
      <c r="I503" s="61">
        <v>46117</v>
      </c>
      <c r="J503" s="57">
        <v>1</v>
      </c>
      <c r="K503" s="58" t="s">
        <v>935</v>
      </c>
    </row>
    <row r="504" spans="1:11" ht="38.25">
      <c r="A504" s="52" t="s">
        <v>306</v>
      </c>
      <c r="B504" s="53" t="s">
        <v>301</v>
      </c>
      <c r="C504" s="54" t="s">
        <v>218</v>
      </c>
      <c r="D504" s="54" t="str">
        <f>_xlfn.XLOOKUP(E504,Organograma!H:H,Organograma!G:G,"")</f>
        <v>SPAD - Setor de Provimento e Avaliação de Desempenho</v>
      </c>
      <c r="E504" s="54" t="s">
        <v>238</v>
      </c>
      <c r="F504" s="55">
        <v>46025</v>
      </c>
      <c r="G504" s="59" t="s">
        <v>192</v>
      </c>
      <c r="H504" s="55">
        <v>46203</v>
      </c>
      <c r="I504" s="56" t="s">
        <v>192</v>
      </c>
      <c r="J504" s="57">
        <v>0</v>
      </c>
      <c r="K504" s="58" t="s">
        <v>937</v>
      </c>
    </row>
    <row r="505" spans="1:11" ht="38.25">
      <c r="A505" s="52" t="s">
        <v>404</v>
      </c>
      <c r="B505" s="53" t="s">
        <v>405</v>
      </c>
      <c r="C505" s="53" t="s">
        <v>309</v>
      </c>
      <c r="D505" s="54" t="str">
        <f>_xlfn.XLOOKUP(E505,Organograma!H:H,Organograma!G:G,"")</f>
        <v>SPAD - Setor de Provimento e Avaliação de Desempenho</v>
      </c>
      <c r="E505" s="54" t="s">
        <v>238</v>
      </c>
      <c r="F505" s="55">
        <v>46025</v>
      </c>
      <c r="G505" s="55">
        <v>45779</v>
      </c>
      <c r="H505" s="55">
        <v>46173</v>
      </c>
      <c r="I505" s="56" t="s">
        <v>192</v>
      </c>
      <c r="J505" s="57">
        <v>0.75</v>
      </c>
      <c r="K505" s="58" t="s">
        <v>936</v>
      </c>
    </row>
    <row r="506" spans="1:11" ht="38.25">
      <c r="A506" s="52" t="s">
        <v>406</v>
      </c>
      <c r="B506" s="53" t="s">
        <v>405</v>
      </c>
      <c r="C506" s="53" t="s">
        <v>309</v>
      </c>
      <c r="D506" s="54" t="str">
        <f>_xlfn.XLOOKUP(E506,Organograma!H:H,Organograma!G:G,"")</f>
        <v>SPAD - Setor de Provimento e Avaliação de Desempenho</v>
      </c>
      <c r="E506" s="54" t="s">
        <v>238</v>
      </c>
      <c r="F506" s="55">
        <v>46025</v>
      </c>
      <c r="G506" s="55">
        <v>46105</v>
      </c>
      <c r="H506" s="55">
        <v>46173</v>
      </c>
      <c r="I506" s="61">
        <v>46106</v>
      </c>
      <c r="J506" s="57">
        <v>1</v>
      </c>
      <c r="K506" s="58" t="s">
        <v>935</v>
      </c>
    </row>
    <row r="507" spans="1:11" ht="51">
      <c r="A507" s="52" t="s">
        <v>407</v>
      </c>
      <c r="B507" s="53" t="s">
        <v>405</v>
      </c>
      <c r="C507" s="53" t="s">
        <v>309</v>
      </c>
      <c r="D507" s="54" t="str">
        <f>_xlfn.XLOOKUP(E507,Organograma!H:H,Organograma!G:G,"")</f>
        <v>SPAD - Setor de Provimento e Avaliação de Desempenho</v>
      </c>
      <c r="E507" s="54" t="s">
        <v>238</v>
      </c>
      <c r="F507" s="55">
        <v>46025</v>
      </c>
      <c r="G507" s="55">
        <v>46104</v>
      </c>
      <c r="H507" s="55">
        <v>46173</v>
      </c>
      <c r="I507" s="56" t="s">
        <v>192</v>
      </c>
      <c r="J507" s="57">
        <v>0.5</v>
      </c>
      <c r="K507" s="58" t="s">
        <v>936</v>
      </c>
    </row>
    <row r="508" spans="1:11" ht="51">
      <c r="A508" s="52" t="s">
        <v>408</v>
      </c>
      <c r="B508" s="53" t="s">
        <v>405</v>
      </c>
      <c r="C508" s="53" t="s">
        <v>309</v>
      </c>
      <c r="D508" s="54" t="str">
        <f>_xlfn.XLOOKUP(E508,Organograma!H:H,Organograma!G:G,"")</f>
        <v>SPAD - Setor de Provimento e Avaliação de Desempenho</v>
      </c>
      <c r="E508" s="54" t="s">
        <v>238</v>
      </c>
      <c r="F508" s="55">
        <v>46025</v>
      </c>
      <c r="G508" s="55">
        <v>46111</v>
      </c>
      <c r="H508" s="55">
        <v>46173</v>
      </c>
      <c r="I508" s="56" t="s">
        <v>192</v>
      </c>
      <c r="J508" s="57">
        <v>0.5</v>
      </c>
      <c r="K508" s="58" t="s">
        <v>936</v>
      </c>
    </row>
    <row r="509" spans="1:11" ht="51">
      <c r="A509" s="52" t="s">
        <v>409</v>
      </c>
      <c r="B509" s="53" t="s">
        <v>405</v>
      </c>
      <c r="C509" s="53" t="s">
        <v>309</v>
      </c>
      <c r="D509" s="54" t="str">
        <f>_xlfn.XLOOKUP(E509,Organograma!H:H,Organograma!G:G,"")</f>
        <v>SPAD - Setor de Provimento e Avaliação de Desempenho</v>
      </c>
      <c r="E509" s="54" t="s">
        <v>238</v>
      </c>
      <c r="F509" s="55">
        <v>46025</v>
      </c>
      <c r="G509" s="55">
        <v>46111</v>
      </c>
      <c r="H509" s="55">
        <v>46173</v>
      </c>
      <c r="I509" s="56" t="s">
        <v>192</v>
      </c>
      <c r="J509" s="57">
        <v>0.25</v>
      </c>
      <c r="K509" s="58" t="s">
        <v>936</v>
      </c>
    </row>
    <row r="510" spans="1:11" ht="51">
      <c r="A510" s="52" t="s">
        <v>410</v>
      </c>
      <c r="B510" s="53" t="s">
        <v>405</v>
      </c>
      <c r="C510" s="53" t="s">
        <v>309</v>
      </c>
      <c r="D510" s="54" t="str">
        <f>_xlfn.XLOOKUP(E510,Organograma!H:H,Organograma!G:G,"")</f>
        <v>SPAD - Setor de Provimento e Avaliação de Desempenho</v>
      </c>
      <c r="E510" s="54" t="s">
        <v>238</v>
      </c>
      <c r="F510" s="55">
        <v>46025</v>
      </c>
      <c r="G510" s="55">
        <v>46111</v>
      </c>
      <c r="H510" s="55">
        <v>46173</v>
      </c>
      <c r="I510" s="56" t="s">
        <v>192</v>
      </c>
      <c r="J510" s="57">
        <v>0.25</v>
      </c>
      <c r="K510" s="58" t="s">
        <v>936</v>
      </c>
    </row>
    <row r="511" spans="1:11" ht="38.25">
      <c r="A511" s="52" t="s">
        <v>411</v>
      </c>
      <c r="B511" s="53" t="s">
        <v>405</v>
      </c>
      <c r="C511" s="53" t="s">
        <v>309</v>
      </c>
      <c r="D511" s="54" t="str">
        <f>_xlfn.XLOOKUP(E511,Organograma!H:H,Organograma!G:G,"")</f>
        <v>SPAD - Setor de Provimento e Avaliação de Desempenho</v>
      </c>
      <c r="E511" s="54" t="s">
        <v>238</v>
      </c>
      <c r="F511" s="55">
        <v>46025</v>
      </c>
      <c r="G511" s="55">
        <v>46140</v>
      </c>
      <c r="H511" s="55">
        <v>46173</v>
      </c>
      <c r="I511" s="56" t="s">
        <v>192</v>
      </c>
      <c r="J511" s="57">
        <v>0.75</v>
      </c>
      <c r="K511" s="58" t="s">
        <v>936</v>
      </c>
    </row>
    <row r="512" spans="1:11" ht="51">
      <c r="A512" s="52" t="s">
        <v>412</v>
      </c>
      <c r="B512" s="53" t="s">
        <v>405</v>
      </c>
      <c r="C512" s="53" t="s">
        <v>309</v>
      </c>
      <c r="D512" s="54" t="str">
        <f>_xlfn.XLOOKUP(E512,Organograma!H:H,Organograma!G:G,"")</f>
        <v>SPAD - Setor de Provimento e Avaliação de Desempenho</v>
      </c>
      <c r="E512" s="54" t="s">
        <v>238</v>
      </c>
      <c r="F512" s="55">
        <v>46025</v>
      </c>
      <c r="G512" s="55">
        <v>46111</v>
      </c>
      <c r="H512" s="55">
        <v>46173</v>
      </c>
      <c r="I512" s="56" t="s">
        <v>192</v>
      </c>
      <c r="J512" s="57">
        <v>0.25</v>
      </c>
      <c r="K512" s="58" t="s">
        <v>936</v>
      </c>
    </row>
    <row r="513" spans="1:11" ht="38.25">
      <c r="A513" s="52" t="s">
        <v>413</v>
      </c>
      <c r="B513" s="53" t="s">
        <v>405</v>
      </c>
      <c r="C513" s="53" t="s">
        <v>309</v>
      </c>
      <c r="D513" s="54" t="str">
        <f>_xlfn.XLOOKUP(E513,Organograma!H:H,Organograma!G:G,"")</f>
        <v>SPAD - Setor de Provimento e Avaliação de Desempenho</v>
      </c>
      <c r="E513" s="54" t="s">
        <v>238</v>
      </c>
      <c r="F513" s="55">
        <v>46025</v>
      </c>
      <c r="G513" s="55">
        <v>46105</v>
      </c>
      <c r="H513" s="55">
        <v>46173</v>
      </c>
      <c r="I513" s="56" t="s">
        <v>192</v>
      </c>
      <c r="J513" s="57">
        <v>0.5</v>
      </c>
      <c r="K513" s="58" t="s">
        <v>936</v>
      </c>
    </row>
    <row r="514" spans="1:11" ht="38.25">
      <c r="A514" s="52" t="s">
        <v>414</v>
      </c>
      <c r="B514" s="53" t="s">
        <v>405</v>
      </c>
      <c r="C514" s="53" t="s">
        <v>309</v>
      </c>
      <c r="D514" s="54" t="str">
        <f>_xlfn.XLOOKUP(E514,Organograma!H:H,Organograma!G:G,"")</f>
        <v>SPAD - Setor de Provimento e Avaliação de Desempenho</v>
      </c>
      <c r="E514" s="54" t="s">
        <v>238</v>
      </c>
      <c r="F514" s="55">
        <v>46025</v>
      </c>
      <c r="G514" s="55">
        <v>46238</v>
      </c>
      <c r="H514" s="55">
        <v>46173</v>
      </c>
      <c r="I514" s="56" t="s">
        <v>192</v>
      </c>
      <c r="J514" s="57">
        <v>0.75</v>
      </c>
      <c r="K514" s="58" t="s">
        <v>936</v>
      </c>
    </row>
    <row r="515" spans="1:11" ht="51">
      <c r="A515" s="52" t="s">
        <v>415</v>
      </c>
      <c r="B515" s="53" t="s">
        <v>405</v>
      </c>
      <c r="C515" s="53" t="s">
        <v>309</v>
      </c>
      <c r="D515" s="54" t="str">
        <f>_xlfn.XLOOKUP(E515,Organograma!H:H,Organograma!G:G,"")</f>
        <v>SPAD - Setor de Provimento e Avaliação de Desempenho</v>
      </c>
      <c r="E515" s="54" t="s">
        <v>238</v>
      </c>
      <c r="F515" s="55">
        <v>46025</v>
      </c>
      <c r="G515" s="55">
        <v>46298</v>
      </c>
      <c r="H515" s="55">
        <v>46173</v>
      </c>
      <c r="I515" s="61">
        <v>46105</v>
      </c>
      <c r="J515" s="57">
        <v>1</v>
      </c>
      <c r="K515" s="58" t="s">
        <v>935</v>
      </c>
    </row>
    <row r="516" spans="1:11" ht="51">
      <c r="A516" s="52" t="s">
        <v>416</v>
      </c>
      <c r="B516" s="53" t="s">
        <v>405</v>
      </c>
      <c r="C516" s="53" t="s">
        <v>309</v>
      </c>
      <c r="D516" s="54" t="str">
        <f>_xlfn.XLOOKUP(E516,Organograma!H:H,Organograma!G:G,"")</f>
        <v>SPAD - Setor de Provimento e Avaliação de Desempenho</v>
      </c>
      <c r="E516" s="54" t="s">
        <v>238</v>
      </c>
      <c r="F516" s="55">
        <v>46025</v>
      </c>
      <c r="G516" s="55">
        <v>46298</v>
      </c>
      <c r="H516" s="55">
        <v>46173</v>
      </c>
      <c r="I516" s="56" t="s">
        <v>192</v>
      </c>
      <c r="J516" s="57">
        <v>0.25</v>
      </c>
      <c r="K516" s="58" t="s">
        <v>936</v>
      </c>
    </row>
    <row r="517" spans="1:11" ht="38.25">
      <c r="A517" s="52" t="s">
        <v>417</v>
      </c>
      <c r="B517" s="53" t="s">
        <v>405</v>
      </c>
      <c r="C517" s="53" t="s">
        <v>309</v>
      </c>
      <c r="D517" s="54" t="str">
        <f>_xlfn.XLOOKUP(E517,Organograma!H:H,Organograma!G:G,"")</f>
        <v>SPAD - Setor de Provimento e Avaliação de Desempenho</v>
      </c>
      <c r="E517" s="54" t="s">
        <v>238</v>
      </c>
      <c r="F517" s="55">
        <v>46025</v>
      </c>
      <c r="G517" s="55">
        <v>46238</v>
      </c>
      <c r="H517" s="55">
        <v>46173</v>
      </c>
      <c r="I517" s="56" t="s">
        <v>192</v>
      </c>
      <c r="J517" s="57">
        <v>0.25</v>
      </c>
      <c r="K517" s="58" t="s">
        <v>936</v>
      </c>
    </row>
    <row r="518" spans="1:11" ht="51">
      <c r="A518" s="52" t="s">
        <v>418</v>
      </c>
      <c r="B518" s="53" t="s">
        <v>405</v>
      </c>
      <c r="C518" s="53" t="s">
        <v>309</v>
      </c>
      <c r="D518" s="54" t="str">
        <f>_xlfn.XLOOKUP(E518,Organograma!H:H,Organograma!G:G,"")</f>
        <v>SPAD - Setor de Provimento e Avaliação de Desempenho</v>
      </c>
      <c r="E518" s="54" t="s">
        <v>238</v>
      </c>
      <c r="F518" s="55">
        <v>46025</v>
      </c>
      <c r="G518" s="55">
        <v>46238</v>
      </c>
      <c r="H518" s="55">
        <v>46173</v>
      </c>
      <c r="I518" s="61">
        <v>46178</v>
      </c>
      <c r="J518" s="57">
        <v>1</v>
      </c>
      <c r="K518" s="58" t="s">
        <v>935</v>
      </c>
    </row>
    <row r="519" spans="1:11" ht="38.25">
      <c r="A519" s="52" t="s">
        <v>420</v>
      </c>
      <c r="B519" s="53" t="s">
        <v>405</v>
      </c>
      <c r="C519" s="53" t="s">
        <v>309</v>
      </c>
      <c r="D519" s="54" t="str">
        <f>_xlfn.XLOOKUP(E519,Organograma!H:H,Organograma!G:G,"")</f>
        <v>SPAD - Setor de Provimento e Avaliação de Desempenho</v>
      </c>
      <c r="E519" s="54" t="s">
        <v>238</v>
      </c>
      <c r="F519" s="55">
        <v>46025</v>
      </c>
      <c r="G519" s="55">
        <v>46111</v>
      </c>
      <c r="H519" s="55">
        <v>46173</v>
      </c>
      <c r="I519" s="56" t="s">
        <v>192</v>
      </c>
      <c r="J519" s="57">
        <v>0.25</v>
      </c>
      <c r="K519" s="58" t="s">
        <v>936</v>
      </c>
    </row>
    <row r="520" spans="1:11" ht="51">
      <c r="A520" s="52" t="s">
        <v>421</v>
      </c>
      <c r="B520" s="53" t="s">
        <v>405</v>
      </c>
      <c r="C520" s="53" t="s">
        <v>309</v>
      </c>
      <c r="D520" s="54" t="str">
        <f>_xlfn.XLOOKUP(E520,Organograma!H:H,Organograma!G:G,"")</f>
        <v>SPAD - Setor de Provimento e Avaliação de Desempenho</v>
      </c>
      <c r="E520" s="54" t="s">
        <v>238</v>
      </c>
      <c r="F520" s="55">
        <v>46025</v>
      </c>
      <c r="G520" s="55">
        <v>46111</v>
      </c>
      <c r="H520" s="55">
        <v>46173</v>
      </c>
      <c r="I520" s="56" t="s">
        <v>192</v>
      </c>
      <c r="J520" s="57">
        <v>0.25</v>
      </c>
      <c r="K520" s="58" t="s">
        <v>936</v>
      </c>
    </row>
    <row r="521" spans="1:11" ht="51">
      <c r="A521" s="52" t="s">
        <v>422</v>
      </c>
      <c r="B521" s="53" t="s">
        <v>405</v>
      </c>
      <c r="C521" s="53" t="s">
        <v>309</v>
      </c>
      <c r="D521" s="54" t="str">
        <f>_xlfn.XLOOKUP(E521,Organograma!H:H,Organograma!G:G,"")</f>
        <v>SPAD - Setor de Provimento e Avaliação de Desempenho</v>
      </c>
      <c r="E521" s="54" t="s">
        <v>238</v>
      </c>
      <c r="F521" s="55">
        <v>46025</v>
      </c>
      <c r="G521" s="55">
        <v>46106</v>
      </c>
      <c r="H521" s="55">
        <v>46173</v>
      </c>
      <c r="I521" s="56" t="s">
        <v>192</v>
      </c>
      <c r="J521" s="57">
        <v>0.5</v>
      </c>
      <c r="K521" s="58" t="s">
        <v>936</v>
      </c>
    </row>
    <row r="522" spans="1:11" ht="38.25">
      <c r="A522" s="52" t="s">
        <v>423</v>
      </c>
      <c r="B522" s="53" t="s">
        <v>405</v>
      </c>
      <c r="C522" s="53" t="s">
        <v>309</v>
      </c>
      <c r="D522" s="54" t="str">
        <f>_xlfn.XLOOKUP(E522,Organograma!H:H,Organograma!G:G,"")</f>
        <v>SPAD - Setor de Provimento e Avaliação de Desempenho</v>
      </c>
      <c r="E522" s="54" t="s">
        <v>238</v>
      </c>
      <c r="F522" s="55">
        <v>46025</v>
      </c>
      <c r="G522" s="55">
        <v>46269</v>
      </c>
      <c r="H522" s="55">
        <v>46173</v>
      </c>
      <c r="I522" s="56" t="s">
        <v>192</v>
      </c>
      <c r="J522" s="57">
        <v>0.5</v>
      </c>
      <c r="K522" s="58" t="s">
        <v>936</v>
      </c>
    </row>
    <row r="523" spans="1:11" ht="38.25">
      <c r="A523" s="52" t="s">
        <v>424</v>
      </c>
      <c r="B523" s="53" t="s">
        <v>405</v>
      </c>
      <c r="C523" s="53" t="s">
        <v>309</v>
      </c>
      <c r="D523" s="54" t="str">
        <f>_xlfn.XLOOKUP(E523,Organograma!H:H,Organograma!G:G,"")</f>
        <v>SPAD - Setor de Provimento e Avaliação de Desempenho</v>
      </c>
      <c r="E523" s="54" t="s">
        <v>238</v>
      </c>
      <c r="F523" s="55">
        <v>46025</v>
      </c>
      <c r="G523" s="55">
        <v>46269</v>
      </c>
      <c r="H523" s="55">
        <v>46173</v>
      </c>
      <c r="I523" s="56" t="s">
        <v>192</v>
      </c>
      <c r="J523" s="57">
        <v>0.75</v>
      </c>
      <c r="K523" s="58" t="s">
        <v>936</v>
      </c>
    </row>
    <row r="524" spans="1:11" ht="51">
      <c r="A524" s="52" t="s">
        <v>425</v>
      </c>
      <c r="B524" s="53" t="s">
        <v>405</v>
      </c>
      <c r="C524" s="53" t="s">
        <v>309</v>
      </c>
      <c r="D524" s="54" t="str">
        <f>_xlfn.XLOOKUP(E524,Organograma!H:H,Organograma!G:G,"")</f>
        <v>SPAD - Setor de Provimento e Avaliação de Desempenho</v>
      </c>
      <c r="E524" s="54" t="s">
        <v>238</v>
      </c>
      <c r="F524" s="55">
        <v>46025</v>
      </c>
      <c r="G524" s="55">
        <v>46111</v>
      </c>
      <c r="H524" s="55">
        <v>46173</v>
      </c>
      <c r="I524" s="56" t="s">
        <v>192</v>
      </c>
      <c r="J524" s="57">
        <v>0.25</v>
      </c>
      <c r="K524" s="58" t="s">
        <v>936</v>
      </c>
    </row>
    <row r="525" spans="1:11" ht="38.25">
      <c r="A525" s="52" t="s">
        <v>426</v>
      </c>
      <c r="B525" s="53" t="s">
        <v>405</v>
      </c>
      <c r="C525" s="53" t="s">
        <v>309</v>
      </c>
      <c r="D525" s="54" t="str">
        <f>_xlfn.XLOOKUP(E525,Organograma!H:H,Organograma!G:G,"")</f>
        <v>SPAD - Setor de Provimento e Avaliação de Desempenho</v>
      </c>
      <c r="E525" s="54" t="s">
        <v>238</v>
      </c>
      <c r="F525" s="55">
        <v>46025</v>
      </c>
      <c r="G525" s="55">
        <v>46139</v>
      </c>
      <c r="H525" s="55">
        <v>46173</v>
      </c>
      <c r="I525" s="56" t="s">
        <v>192</v>
      </c>
      <c r="J525" s="57">
        <v>0.75</v>
      </c>
      <c r="K525" s="58" t="s">
        <v>936</v>
      </c>
    </row>
    <row r="526" spans="1:11" ht="51">
      <c r="A526" s="52" t="s">
        <v>427</v>
      </c>
      <c r="B526" s="53" t="s">
        <v>405</v>
      </c>
      <c r="C526" s="53" t="s">
        <v>309</v>
      </c>
      <c r="D526" s="54" t="str">
        <f>_xlfn.XLOOKUP(E526,Organograma!H:H,Organograma!G:G,"")</f>
        <v>SPAD - Setor de Provimento e Avaliação de Desempenho</v>
      </c>
      <c r="E526" s="54" t="s">
        <v>238</v>
      </c>
      <c r="F526" s="55">
        <v>46025</v>
      </c>
      <c r="G526" s="55">
        <v>46299</v>
      </c>
      <c r="H526" s="55">
        <v>46173</v>
      </c>
      <c r="I526" s="56" t="s">
        <v>192</v>
      </c>
      <c r="J526" s="57">
        <v>0.75</v>
      </c>
      <c r="K526" s="58" t="s">
        <v>936</v>
      </c>
    </row>
    <row r="527" spans="1:11" ht="51">
      <c r="A527" s="52" t="s">
        <v>428</v>
      </c>
      <c r="B527" s="53" t="s">
        <v>405</v>
      </c>
      <c r="C527" s="53" t="s">
        <v>309</v>
      </c>
      <c r="D527" s="54" t="str">
        <f>_xlfn.XLOOKUP(E527,Organograma!H:H,Organograma!G:G,"")</f>
        <v>SPAD - Setor de Provimento e Avaliação de Desempenho</v>
      </c>
      <c r="E527" s="54" t="s">
        <v>238</v>
      </c>
      <c r="F527" s="55">
        <v>46025</v>
      </c>
      <c r="G527" s="55">
        <v>46207</v>
      </c>
      <c r="H527" s="55">
        <v>46173</v>
      </c>
      <c r="I527" s="56" t="s">
        <v>192</v>
      </c>
      <c r="J527" s="57">
        <v>0.5</v>
      </c>
      <c r="K527" s="58" t="s">
        <v>936</v>
      </c>
    </row>
    <row r="528" spans="1:11" ht="51">
      <c r="A528" s="52" t="s">
        <v>429</v>
      </c>
      <c r="B528" s="53" t="s">
        <v>405</v>
      </c>
      <c r="C528" s="53" t="s">
        <v>309</v>
      </c>
      <c r="D528" s="54" t="str">
        <f>_xlfn.XLOOKUP(E528,Organograma!H:H,Organograma!G:G,"")</f>
        <v>SPAD - Setor de Provimento e Avaliação de Desempenho</v>
      </c>
      <c r="E528" s="54" t="s">
        <v>238</v>
      </c>
      <c r="F528" s="55">
        <v>46025</v>
      </c>
      <c r="G528" s="55">
        <v>46111</v>
      </c>
      <c r="H528" s="55">
        <v>46173</v>
      </c>
      <c r="I528" s="56" t="s">
        <v>192</v>
      </c>
      <c r="J528" s="57">
        <v>0.25</v>
      </c>
      <c r="K528" s="58" t="s">
        <v>936</v>
      </c>
    </row>
    <row r="529" spans="1:11" ht="38.25">
      <c r="A529" s="52" t="s">
        <v>430</v>
      </c>
      <c r="B529" s="53" t="s">
        <v>405</v>
      </c>
      <c r="C529" s="53" t="s">
        <v>309</v>
      </c>
      <c r="D529" s="54" t="str">
        <f>_xlfn.XLOOKUP(E529,Organograma!H:H,Organograma!G:G,"")</f>
        <v>SPAD - Setor de Provimento e Avaliação de Desempenho</v>
      </c>
      <c r="E529" s="54" t="s">
        <v>238</v>
      </c>
      <c r="F529" s="55">
        <v>46025</v>
      </c>
      <c r="G529" s="55">
        <v>46111</v>
      </c>
      <c r="H529" s="55">
        <v>46173</v>
      </c>
      <c r="I529" s="56" t="s">
        <v>192</v>
      </c>
      <c r="J529" s="57">
        <v>0.25</v>
      </c>
      <c r="K529" s="58" t="s">
        <v>936</v>
      </c>
    </row>
    <row r="530" spans="1:11" ht="51">
      <c r="A530" s="52" t="s">
        <v>431</v>
      </c>
      <c r="B530" s="53" t="s">
        <v>405</v>
      </c>
      <c r="C530" s="53" t="s">
        <v>309</v>
      </c>
      <c r="D530" s="54" t="str">
        <f>_xlfn.XLOOKUP(E530,Organograma!H:H,Organograma!G:G,"")</f>
        <v>SPAD - Setor de Provimento e Avaliação de Desempenho</v>
      </c>
      <c r="E530" s="54" t="s">
        <v>238</v>
      </c>
      <c r="F530" s="55">
        <v>46025</v>
      </c>
      <c r="G530" s="55">
        <v>46299</v>
      </c>
      <c r="H530" s="55">
        <v>46173</v>
      </c>
      <c r="I530" s="56" t="s">
        <v>192</v>
      </c>
      <c r="J530" s="57">
        <v>0.75</v>
      </c>
      <c r="K530" s="58" t="s">
        <v>936</v>
      </c>
    </row>
    <row r="531" spans="1:11" ht="51">
      <c r="A531" s="52" t="s">
        <v>432</v>
      </c>
      <c r="B531" s="53" t="s">
        <v>405</v>
      </c>
      <c r="C531" s="53" t="s">
        <v>309</v>
      </c>
      <c r="D531" s="54" t="str">
        <f>_xlfn.XLOOKUP(E531,Organograma!H:H,Organograma!G:G,"")</f>
        <v>SPAD - Setor de Provimento e Avaliação de Desempenho</v>
      </c>
      <c r="E531" s="54" t="s">
        <v>238</v>
      </c>
      <c r="F531" s="55">
        <v>46025</v>
      </c>
      <c r="G531" s="55">
        <v>46139</v>
      </c>
      <c r="H531" s="55">
        <v>46173</v>
      </c>
      <c r="I531" s="56" t="s">
        <v>192</v>
      </c>
      <c r="J531" s="57">
        <v>0.75</v>
      </c>
      <c r="K531" s="58" t="s">
        <v>936</v>
      </c>
    </row>
    <row r="532" spans="1:11" ht="51">
      <c r="A532" s="52" t="s">
        <v>433</v>
      </c>
      <c r="B532" s="53" t="s">
        <v>405</v>
      </c>
      <c r="C532" s="53" t="s">
        <v>309</v>
      </c>
      <c r="D532" s="54" t="str">
        <f>_xlfn.XLOOKUP(E532,Organograma!H:H,Organograma!G:G,"")</f>
        <v>SPAD - Setor de Provimento e Avaliação de Desempenho</v>
      </c>
      <c r="E532" s="54" t="s">
        <v>238</v>
      </c>
      <c r="F532" s="55">
        <v>46025</v>
      </c>
      <c r="G532" s="55">
        <v>46127</v>
      </c>
      <c r="H532" s="55">
        <v>46173</v>
      </c>
      <c r="I532" s="56" t="s">
        <v>192</v>
      </c>
      <c r="J532" s="57">
        <v>0.5</v>
      </c>
      <c r="K532" s="58" t="s">
        <v>936</v>
      </c>
    </row>
    <row r="533" spans="1:11" ht="25.5">
      <c r="A533" s="52" t="s">
        <v>434</v>
      </c>
      <c r="B533" s="53" t="s">
        <v>405</v>
      </c>
      <c r="C533" s="53" t="s">
        <v>309</v>
      </c>
      <c r="D533" s="54" t="str">
        <f>_xlfn.XLOOKUP(E533,Organograma!H:H,Organograma!G:G,"")</f>
        <v>SPAD - Setor de Provimento e Avaliação de Desempenho</v>
      </c>
      <c r="E533" s="54" t="s">
        <v>238</v>
      </c>
      <c r="F533" s="55">
        <v>46025</v>
      </c>
      <c r="G533" s="55">
        <v>46298</v>
      </c>
      <c r="H533" s="55">
        <v>46173</v>
      </c>
      <c r="I533" s="61">
        <v>46105</v>
      </c>
      <c r="J533" s="57">
        <v>1</v>
      </c>
      <c r="K533" s="58" t="s">
        <v>935</v>
      </c>
    </row>
    <row r="534" spans="1:11" ht="51">
      <c r="A534" s="52" t="s">
        <v>435</v>
      </c>
      <c r="B534" s="53" t="s">
        <v>405</v>
      </c>
      <c r="C534" s="53" t="s">
        <v>309</v>
      </c>
      <c r="D534" s="54" t="str">
        <f>_xlfn.XLOOKUP(E534,Organograma!H:H,Organograma!G:G,"")</f>
        <v>SPAD - Setor de Provimento e Avaliação de Desempenho</v>
      </c>
      <c r="E534" s="54" t="s">
        <v>238</v>
      </c>
      <c r="F534" s="55">
        <v>46025</v>
      </c>
      <c r="G534" s="55">
        <v>46111</v>
      </c>
      <c r="H534" s="55">
        <v>46173</v>
      </c>
      <c r="I534" s="56" t="s">
        <v>192</v>
      </c>
      <c r="J534" s="57">
        <v>0.25</v>
      </c>
      <c r="K534" s="58" t="s">
        <v>936</v>
      </c>
    </row>
    <row r="535" spans="1:11" ht="38.25">
      <c r="A535" s="52" t="s">
        <v>436</v>
      </c>
      <c r="B535" s="53" t="s">
        <v>405</v>
      </c>
      <c r="C535" s="53" t="s">
        <v>309</v>
      </c>
      <c r="D535" s="54" t="str">
        <f>_xlfn.XLOOKUP(E535,Organograma!H:H,Organograma!G:G,"")</f>
        <v>SPAD - Setor de Provimento e Avaliação de Desempenho</v>
      </c>
      <c r="E535" s="54" t="s">
        <v>238</v>
      </c>
      <c r="F535" s="55">
        <v>46025</v>
      </c>
      <c r="G535" s="55">
        <v>46111</v>
      </c>
      <c r="H535" s="55">
        <v>46173</v>
      </c>
      <c r="I535" s="56" t="s">
        <v>192</v>
      </c>
      <c r="J535" s="57">
        <v>0.25</v>
      </c>
      <c r="K535" s="58" t="s">
        <v>936</v>
      </c>
    </row>
    <row r="536" spans="1:11" ht="38.25">
      <c r="A536" s="52" t="s">
        <v>437</v>
      </c>
      <c r="B536" s="53" t="s">
        <v>405</v>
      </c>
      <c r="C536" s="53" t="s">
        <v>309</v>
      </c>
      <c r="D536" s="54" t="str">
        <f>_xlfn.XLOOKUP(E536,Organograma!H:H,Organograma!G:G,"")</f>
        <v>SPAD - Setor de Provimento e Avaliação de Desempenho</v>
      </c>
      <c r="E536" s="54" t="s">
        <v>238</v>
      </c>
      <c r="F536" s="55">
        <v>46025</v>
      </c>
      <c r="G536" s="55">
        <v>46125</v>
      </c>
      <c r="H536" s="55">
        <v>46173</v>
      </c>
      <c r="I536" s="56" t="s">
        <v>192</v>
      </c>
      <c r="J536" s="57">
        <v>0.5</v>
      </c>
      <c r="K536" s="58" t="s">
        <v>936</v>
      </c>
    </row>
    <row r="537" spans="1:11" ht="38.25">
      <c r="A537" s="52" t="s">
        <v>265</v>
      </c>
      <c r="B537" s="53" t="s">
        <v>263</v>
      </c>
      <c r="C537" s="54" t="s">
        <v>218</v>
      </c>
      <c r="D537" s="54" t="str">
        <f>_xlfn.XLOOKUP(E537,Organograma!H:H,Organograma!G:G,"")</f>
        <v>AC - Assessoria de Comunicação</v>
      </c>
      <c r="E537" s="54" t="s">
        <v>266</v>
      </c>
      <c r="F537" s="55">
        <v>46026</v>
      </c>
      <c r="G537" s="59" t="s">
        <v>192</v>
      </c>
      <c r="H537" s="55">
        <v>46326</v>
      </c>
      <c r="I537" s="56" t="s">
        <v>192</v>
      </c>
      <c r="J537" s="57">
        <v>0</v>
      </c>
      <c r="K537" s="58" t="s">
        <v>937</v>
      </c>
    </row>
    <row r="538" spans="1:11" ht="38.25">
      <c r="A538" s="52" t="s">
        <v>269</v>
      </c>
      <c r="B538" s="53" t="s">
        <v>270</v>
      </c>
      <c r="C538" s="54" t="s">
        <v>218</v>
      </c>
      <c r="D538" s="54" t="str">
        <f>_xlfn.XLOOKUP(E538,Organograma!H:H,Organograma!G:G,"")</f>
        <v>AC - Assessoria de Comunicação</v>
      </c>
      <c r="E538" s="54" t="s">
        <v>266</v>
      </c>
      <c r="F538" s="55">
        <v>46026</v>
      </c>
      <c r="G538" s="59" t="s">
        <v>192</v>
      </c>
      <c r="H538" s="55">
        <v>46392</v>
      </c>
      <c r="I538" s="56" t="s">
        <v>192</v>
      </c>
      <c r="J538" s="57">
        <v>0</v>
      </c>
      <c r="K538" s="58" t="s">
        <v>937</v>
      </c>
    </row>
    <row r="539" spans="1:11" ht="25.5">
      <c r="A539" s="52" t="s">
        <v>271</v>
      </c>
      <c r="B539" s="53" t="s">
        <v>270</v>
      </c>
      <c r="C539" s="54" t="s">
        <v>218</v>
      </c>
      <c r="D539" s="54" t="str">
        <f>_xlfn.XLOOKUP(E539,Organograma!H:H,Organograma!G:G,"")</f>
        <v>AC - Assessoria de Comunicação</v>
      </c>
      <c r="E539" s="54" t="s">
        <v>266</v>
      </c>
      <c r="F539" s="55">
        <v>46026</v>
      </c>
      <c r="G539" s="59" t="s">
        <v>192</v>
      </c>
      <c r="H539" s="55">
        <v>46391</v>
      </c>
      <c r="I539" s="56" t="s">
        <v>192</v>
      </c>
      <c r="J539" s="57">
        <v>0</v>
      </c>
      <c r="K539" s="58" t="s">
        <v>937</v>
      </c>
    </row>
    <row r="540" spans="1:11" ht="38.25">
      <c r="A540" s="52" t="s">
        <v>272</v>
      </c>
      <c r="B540" s="53" t="s">
        <v>270</v>
      </c>
      <c r="C540" s="54" t="s">
        <v>218</v>
      </c>
      <c r="D540" s="54" t="str">
        <f>_xlfn.XLOOKUP(E540,Organograma!H:H,Organograma!G:G,"")</f>
        <v>AC - Assessoria de Comunicação</v>
      </c>
      <c r="E540" s="54" t="s">
        <v>266</v>
      </c>
      <c r="F540" s="55">
        <v>46026</v>
      </c>
      <c r="G540" s="59" t="s">
        <v>192</v>
      </c>
      <c r="H540" s="55">
        <v>46391</v>
      </c>
      <c r="I540" s="56" t="s">
        <v>192</v>
      </c>
      <c r="J540" s="57">
        <v>0</v>
      </c>
      <c r="K540" s="58" t="s">
        <v>937</v>
      </c>
    </row>
    <row r="541" spans="1:11" ht="51">
      <c r="A541" s="52" t="s">
        <v>452</v>
      </c>
      <c r="B541" s="53" t="s">
        <v>439</v>
      </c>
      <c r="C541" s="53" t="s">
        <v>309</v>
      </c>
      <c r="D541" s="54" t="str">
        <f>_xlfn.XLOOKUP(E541,Organograma!H:H,Organograma!G:G,"")</f>
        <v>AC - Assessoria de Comunicação</v>
      </c>
      <c r="E541" s="54" t="s">
        <v>266</v>
      </c>
      <c r="F541" s="55">
        <v>46025</v>
      </c>
      <c r="G541" s="59" t="s">
        <v>192</v>
      </c>
      <c r="H541" s="55">
        <v>46173</v>
      </c>
      <c r="I541" s="56" t="s">
        <v>192</v>
      </c>
      <c r="J541" s="57">
        <v>0</v>
      </c>
      <c r="K541" s="58" t="s">
        <v>937</v>
      </c>
    </row>
    <row r="542" spans="1:11" ht="25.5">
      <c r="A542" s="52" t="s">
        <v>221</v>
      </c>
      <c r="B542" s="54" t="s">
        <v>217</v>
      </c>
      <c r="C542" s="54" t="s">
        <v>218</v>
      </c>
      <c r="D542" s="54" t="str">
        <f>_xlfn.XLOOKUP(E542,Organograma!H:H,Organograma!G:G,"")</f>
        <v>Diretoria Geral</v>
      </c>
      <c r="E542" s="54" t="s">
        <v>222</v>
      </c>
      <c r="F542" s="55">
        <v>46026</v>
      </c>
      <c r="G542" s="59" t="s">
        <v>192</v>
      </c>
      <c r="H542" s="55">
        <v>46326</v>
      </c>
      <c r="I542" s="56" t="s">
        <v>192</v>
      </c>
      <c r="J542" s="57">
        <v>0</v>
      </c>
      <c r="K542" s="58" t="s">
        <v>937</v>
      </c>
    </row>
    <row r="543" spans="1:11" ht="25.5">
      <c r="A543" s="52" t="s">
        <v>223</v>
      </c>
      <c r="B543" s="54" t="s">
        <v>217</v>
      </c>
      <c r="C543" s="54" t="s">
        <v>218</v>
      </c>
      <c r="D543" s="54" t="str">
        <f>_xlfn.XLOOKUP(E543,Organograma!H:H,Organograma!G:G,"")</f>
        <v>Diretoria Geral</v>
      </c>
      <c r="E543" s="54" t="s">
        <v>222</v>
      </c>
      <c r="F543" s="55">
        <v>46026</v>
      </c>
      <c r="G543" s="59" t="s">
        <v>192</v>
      </c>
      <c r="H543" s="55">
        <v>46326</v>
      </c>
      <c r="I543" s="56" t="s">
        <v>192</v>
      </c>
      <c r="J543" s="57">
        <v>0</v>
      </c>
      <c r="K543" s="58" t="s">
        <v>937</v>
      </c>
    </row>
    <row r="544" spans="1:11" ht="25.5">
      <c r="A544" s="52" t="s">
        <v>235</v>
      </c>
      <c r="B544" s="54" t="s">
        <v>236</v>
      </c>
      <c r="C544" s="54" t="s">
        <v>218</v>
      </c>
      <c r="D544" s="54" t="str">
        <f>_xlfn.XLOOKUP(E544,Organograma!H:H,Organograma!G:G,"")</f>
        <v>Diretoria Geral</v>
      </c>
      <c r="E544" s="54" t="s">
        <v>222</v>
      </c>
      <c r="F544" s="55">
        <v>46026</v>
      </c>
      <c r="G544" s="59" t="s">
        <v>192</v>
      </c>
      <c r="H544" s="55">
        <v>46234</v>
      </c>
      <c r="I544" s="56" t="s">
        <v>192</v>
      </c>
      <c r="J544" s="57">
        <v>0</v>
      </c>
      <c r="K544" s="58" t="s">
        <v>937</v>
      </c>
    </row>
    <row r="545" spans="1:11" ht="25.5">
      <c r="A545" s="52" t="s">
        <v>239</v>
      </c>
      <c r="B545" s="54" t="s">
        <v>236</v>
      </c>
      <c r="C545" s="54" t="s">
        <v>218</v>
      </c>
      <c r="D545" s="54" t="str">
        <f>_xlfn.XLOOKUP(E545,Organograma!H:H,Organograma!G:G,"")</f>
        <v>Diretoria Geral</v>
      </c>
      <c r="E545" s="54" t="s">
        <v>222</v>
      </c>
      <c r="F545" s="55">
        <v>46026</v>
      </c>
      <c r="G545" s="59" t="s">
        <v>192</v>
      </c>
      <c r="H545" s="55">
        <v>46391</v>
      </c>
      <c r="I545" s="56" t="s">
        <v>192</v>
      </c>
      <c r="J545" s="57">
        <v>0</v>
      </c>
      <c r="K545" s="58" t="s">
        <v>937</v>
      </c>
    </row>
    <row r="546" spans="1:11" ht="25.5">
      <c r="A546" s="52" t="s">
        <v>244</v>
      </c>
      <c r="B546" s="53" t="s">
        <v>242</v>
      </c>
      <c r="C546" s="54" t="s">
        <v>218</v>
      </c>
      <c r="D546" s="54" t="str">
        <f>_xlfn.XLOOKUP(E546,Organograma!H:H,Organograma!G:G,"")</f>
        <v>Diretoria Geral</v>
      </c>
      <c r="E546" s="54" t="s">
        <v>222</v>
      </c>
      <c r="F546" s="55">
        <v>46026</v>
      </c>
      <c r="G546" s="59" t="s">
        <v>192</v>
      </c>
      <c r="H546" s="55">
        <v>46392</v>
      </c>
      <c r="I546" s="56" t="s">
        <v>192</v>
      </c>
      <c r="J546" s="57">
        <v>0</v>
      </c>
      <c r="K546" s="58" t="s">
        <v>937</v>
      </c>
    </row>
    <row r="547" spans="1:11" ht="38.25">
      <c r="A547" s="52" t="s">
        <v>248</v>
      </c>
      <c r="B547" s="53" t="s">
        <v>249</v>
      </c>
      <c r="C547" s="54" t="s">
        <v>218</v>
      </c>
      <c r="D547" s="54" t="str">
        <f>_xlfn.XLOOKUP(E547,Organograma!H:H,Organograma!G:G,"")</f>
        <v>Diretoria Geral</v>
      </c>
      <c r="E547" s="54" t="s">
        <v>222</v>
      </c>
      <c r="F547" s="55">
        <v>46026</v>
      </c>
      <c r="G547" s="59" t="s">
        <v>192</v>
      </c>
      <c r="H547" s="55">
        <v>46234</v>
      </c>
      <c r="I547" s="56" t="s">
        <v>192</v>
      </c>
      <c r="J547" s="57">
        <v>0</v>
      </c>
      <c r="K547" s="58" t="s">
        <v>937</v>
      </c>
    </row>
    <row r="548" spans="1:11" ht="38.25">
      <c r="A548" s="52" t="s">
        <v>250</v>
      </c>
      <c r="B548" s="53" t="s">
        <v>249</v>
      </c>
      <c r="C548" s="54" t="s">
        <v>218</v>
      </c>
      <c r="D548" s="54" t="str">
        <f>_xlfn.XLOOKUP(E548,Organograma!H:H,Organograma!G:G,"")</f>
        <v>Diretoria Geral</v>
      </c>
      <c r="E548" s="54" t="s">
        <v>222</v>
      </c>
      <c r="F548" s="55">
        <v>46026</v>
      </c>
      <c r="G548" s="59" t="s">
        <v>192</v>
      </c>
      <c r="H548" s="55">
        <v>46234</v>
      </c>
      <c r="I548" s="56" t="s">
        <v>192</v>
      </c>
      <c r="J548" s="57">
        <v>0</v>
      </c>
      <c r="K548" s="58" t="s">
        <v>937</v>
      </c>
    </row>
    <row r="549" spans="1:11" ht="38.25">
      <c r="A549" s="52" t="s">
        <v>251</v>
      </c>
      <c r="B549" s="53" t="s">
        <v>249</v>
      </c>
      <c r="C549" s="54" t="s">
        <v>218</v>
      </c>
      <c r="D549" s="54" t="str">
        <f>_xlfn.XLOOKUP(E549,Organograma!H:H,Organograma!G:G,"")</f>
        <v>Diretoria Geral</v>
      </c>
      <c r="E549" s="54" t="s">
        <v>222</v>
      </c>
      <c r="F549" s="55">
        <v>46026</v>
      </c>
      <c r="G549" s="59" t="s">
        <v>192</v>
      </c>
      <c r="H549" s="55">
        <v>46234</v>
      </c>
      <c r="I549" s="56" t="s">
        <v>192</v>
      </c>
      <c r="J549" s="57">
        <v>0</v>
      </c>
      <c r="K549" s="58" t="s">
        <v>937</v>
      </c>
    </row>
    <row r="550" spans="1:11" ht="38.25">
      <c r="A550" s="52" t="s">
        <v>262</v>
      </c>
      <c r="B550" s="53" t="s">
        <v>263</v>
      </c>
      <c r="C550" s="54" t="s">
        <v>218</v>
      </c>
      <c r="D550" s="54" t="str">
        <f>_xlfn.XLOOKUP(E550,Organograma!H:H,Organograma!G:G,"")</f>
        <v>Diretoria Geral</v>
      </c>
      <c r="E550" s="54" t="s">
        <v>222</v>
      </c>
      <c r="F550" s="55">
        <v>46026</v>
      </c>
      <c r="G550" s="59" t="s">
        <v>192</v>
      </c>
      <c r="H550" s="55">
        <v>46234</v>
      </c>
      <c r="I550" s="56" t="s">
        <v>192</v>
      </c>
      <c r="J550" s="57">
        <v>0</v>
      </c>
      <c r="K550" s="58" t="s">
        <v>937</v>
      </c>
    </row>
    <row r="551" spans="1:11" ht="38.25">
      <c r="A551" s="52" t="s">
        <v>264</v>
      </c>
      <c r="B551" s="53" t="s">
        <v>263</v>
      </c>
      <c r="C551" s="54" t="s">
        <v>218</v>
      </c>
      <c r="D551" s="54" t="str">
        <f>_xlfn.XLOOKUP(E551,Organograma!H:H,Organograma!G:G,"")</f>
        <v>Diretoria Geral</v>
      </c>
      <c r="E551" s="54" t="s">
        <v>222</v>
      </c>
      <c r="F551" s="55">
        <v>46026</v>
      </c>
      <c r="G551" s="59" t="s">
        <v>192</v>
      </c>
      <c r="H551" s="55">
        <v>46234</v>
      </c>
      <c r="I551" s="56" t="s">
        <v>192</v>
      </c>
      <c r="J551" s="57">
        <v>0</v>
      </c>
      <c r="K551" s="58" t="s">
        <v>937</v>
      </c>
    </row>
    <row r="552" spans="1:11" ht="25.5">
      <c r="A552" s="52" t="s">
        <v>307</v>
      </c>
      <c r="B552" s="53" t="s">
        <v>308</v>
      </c>
      <c r="C552" s="53" t="s">
        <v>309</v>
      </c>
      <c r="D552" s="54" t="str">
        <f>_xlfn.XLOOKUP(E552,Organograma!H:H,Organograma!G:G,"")</f>
        <v>Diretoria Geral</v>
      </c>
      <c r="E552" s="54" t="s">
        <v>222</v>
      </c>
      <c r="F552" s="55">
        <v>46025</v>
      </c>
      <c r="G552" s="59" t="s">
        <v>192</v>
      </c>
      <c r="H552" s="55">
        <v>46173</v>
      </c>
      <c r="I552" s="56" t="s">
        <v>192</v>
      </c>
      <c r="J552" s="57">
        <v>0</v>
      </c>
      <c r="K552" s="58" t="s">
        <v>937</v>
      </c>
    </row>
    <row r="553" spans="1:11" ht="25.5">
      <c r="A553" s="52" t="s">
        <v>310</v>
      </c>
      <c r="B553" s="53" t="s">
        <v>308</v>
      </c>
      <c r="C553" s="53" t="s">
        <v>309</v>
      </c>
      <c r="D553" s="54" t="str">
        <f>_xlfn.XLOOKUP(E553,Organograma!H:H,Organograma!G:G,"")</f>
        <v>Diretoria Geral</v>
      </c>
      <c r="E553" s="54" t="s">
        <v>222</v>
      </c>
      <c r="F553" s="55">
        <v>46025</v>
      </c>
      <c r="G553" s="59" t="s">
        <v>192</v>
      </c>
      <c r="H553" s="55">
        <v>46173</v>
      </c>
      <c r="I553" s="56" t="s">
        <v>192</v>
      </c>
      <c r="J553" s="57">
        <v>0</v>
      </c>
      <c r="K553" s="58" t="s">
        <v>937</v>
      </c>
    </row>
    <row r="554" spans="1:11" ht="25.5">
      <c r="A554" s="52" t="s">
        <v>311</v>
      </c>
      <c r="B554" s="53" t="s">
        <v>308</v>
      </c>
      <c r="C554" s="53" t="s">
        <v>309</v>
      </c>
      <c r="D554" s="54" t="str">
        <f>_xlfn.XLOOKUP(E554,Organograma!H:H,Organograma!G:G,"")</f>
        <v>Diretoria Geral</v>
      </c>
      <c r="E554" s="54" t="s">
        <v>222</v>
      </c>
      <c r="F554" s="55">
        <v>46025</v>
      </c>
      <c r="G554" s="59" t="s">
        <v>192</v>
      </c>
      <c r="H554" s="55">
        <v>46173</v>
      </c>
      <c r="I554" s="56" t="s">
        <v>192</v>
      </c>
      <c r="J554" s="57">
        <v>0</v>
      </c>
      <c r="K554" s="58" t="s">
        <v>937</v>
      </c>
    </row>
    <row r="555" spans="1:11" ht="25.5">
      <c r="A555" s="52" t="s">
        <v>312</v>
      </c>
      <c r="B555" s="53" t="s">
        <v>308</v>
      </c>
      <c r="C555" s="53" t="s">
        <v>309</v>
      </c>
      <c r="D555" s="54" t="str">
        <f>_xlfn.XLOOKUP(E555,Organograma!H:H,Organograma!G:G,"")</f>
        <v>Diretoria Geral</v>
      </c>
      <c r="E555" s="54" t="s">
        <v>222</v>
      </c>
      <c r="F555" s="55">
        <v>46025</v>
      </c>
      <c r="G555" s="59" t="s">
        <v>192</v>
      </c>
      <c r="H555" s="55">
        <v>46173</v>
      </c>
      <c r="I555" s="56" t="s">
        <v>192</v>
      </c>
      <c r="J555" s="57">
        <v>0</v>
      </c>
      <c r="K555" s="58" t="s">
        <v>937</v>
      </c>
    </row>
    <row r="556" spans="1:11" ht="38.25">
      <c r="A556" s="52" t="s">
        <v>313</v>
      </c>
      <c r="B556" s="53" t="s">
        <v>308</v>
      </c>
      <c r="C556" s="53" t="s">
        <v>309</v>
      </c>
      <c r="D556" s="54" t="str">
        <f>_xlfn.XLOOKUP(E556,Organograma!H:H,Organograma!G:G,"")</f>
        <v>Diretoria Geral</v>
      </c>
      <c r="E556" s="54" t="s">
        <v>222</v>
      </c>
      <c r="F556" s="55">
        <v>46025</v>
      </c>
      <c r="G556" s="59" t="s">
        <v>192</v>
      </c>
      <c r="H556" s="55">
        <v>46173</v>
      </c>
      <c r="I556" s="56" t="s">
        <v>192</v>
      </c>
      <c r="J556" s="57">
        <v>0</v>
      </c>
      <c r="K556" s="58" t="s">
        <v>937</v>
      </c>
    </row>
    <row r="557" spans="1:11" ht="38.25">
      <c r="A557" s="52" t="s">
        <v>314</v>
      </c>
      <c r="B557" s="53" t="s">
        <v>308</v>
      </c>
      <c r="C557" s="53" t="s">
        <v>309</v>
      </c>
      <c r="D557" s="54" t="str">
        <f>_xlfn.XLOOKUP(E557,Organograma!H:H,Organograma!G:G,"")</f>
        <v>Diretoria Geral</v>
      </c>
      <c r="E557" s="54" t="s">
        <v>222</v>
      </c>
      <c r="F557" s="55">
        <v>46025</v>
      </c>
      <c r="G557" s="59" t="s">
        <v>192</v>
      </c>
      <c r="H557" s="55">
        <v>46173</v>
      </c>
      <c r="I557" s="56" t="s">
        <v>192</v>
      </c>
      <c r="J557" s="57">
        <v>0</v>
      </c>
      <c r="K557" s="58" t="s">
        <v>937</v>
      </c>
    </row>
    <row r="558" spans="1:11" ht="38.25">
      <c r="A558" s="52" t="s">
        <v>315</v>
      </c>
      <c r="B558" s="53" t="s">
        <v>308</v>
      </c>
      <c r="C558" s="53" t="s">
        <v>309</v>
      </c>
      <c r="D558" s="54" t="str">
        <f>_xlfn.XLOOKUP(E558,Organograma!H:H,Organograma!G:G,"")</f>
        <v>Diretoria Geral</v>
      </c>
      <c r="E558" s="54" t="s">
        <v>222</v>
      </c>
      <c r="F558" s="55">
        <v>46025</v>
      </c>
      <c r="G558" s="59" t="s">
        <v>192</v>
      </c>
      <c r="H558" s="55">
        <v>46173</v>
      </c>
      <c r="I558" s="56" t="s">
        <v>192</v>
      </c>
      <c r="J558" s="57">
        <v>0</v>
      </c>
      <c r="K558" s="58" t="s">
        <v>937</v>
      </c>
    </row>
    <row r="559" spans="1:11" ht="51">
      <c r="A559" s="52" t="s">
        <v>316</v>
      </c>
      <c r="B559" s="53" t="s">
        <v>308</v>
      </c>
      <c r="C559" s="53" t="s">
        <v>309</v>
      </c>
      <c r="D559" s="54" t="str">
        <f>_xlfn.XLOOKUP(E559,Organograma!H:H,Organograma!G:G,"")</f>
        <v>Diretoria Geral</v>
      </c>
      <c r="E559" s="54" t="s">
        <v>222</v>
      </c>
      <c r="F559" s="55">
        <v>46025</v>
      </c>
      <c r="G559" s="59" t="s">
        <v>192</v>
      </c>
      <c r="H559" s="55">
        <v>46173</v>
      </c>
      <c r="I559" s="56" t="s">
        <v>192</v>
      </c>
      <c r="J559" s="57">
        <v>0</v>
      </c>
      <c r="K559" s="58" t="s">
        <v>937</v>
      </c>
    </row>
    <row r="560" spans="1:11" ht="38.25">
      <c r="A560" s="52" t="s">
        <v>317</v>
      </c>
      <c r="B560" s="53" t="s">
        <v>308</v>
      </c>
      <c r="C560" s="53" t="s">
        <v>309</v>
      </c>
      <c r="D560" s="54" t="str">
        <f>_xlfn.XLOOKUP(E560,Organograma!H:H,Organograma!G:G,"")</f>
        <v>Diretoria Geral</v>
      </c>
      <c r="E560" s="54" t="s">
        <v>222</v>
      </c>
      <c r="F560" s="55">
        <v>46025</v>
      </c>
      <c r="G560" s="59" t="s">
        <v>192</v>
      </c>
      <c r="H560" s="55">
        <v>46173</v>
      </c>
      <c r="I560" s="56" t="s">
        <v>192</v>
      </c>
      <c r="J560" s="57">
        <v>0</v>
      </c>
      <c r="K560" s="58" t="s">
        <v>937</v>
      </c>
    </row>
    <row r="561" spans="1:11" ht="25.5">
      <c r="A561" s="52" t="s">
        <v>318</v>
      </c>
      <c r="B561" s="53" t="s">
        <v>308</v>
      </c>
      <c r="C561" s="53" t="s">
        <v>309</v>
      </c>
      <c r="D561" s="54" t="str">
        <f>_xlfn.XLOOKUP(E561,Organograma!H:H,Organograma!G:G,"")</f>
        <v>Diretoria Geral</v>
      </c>
      <c r="E561" s="54" t="s">
        <v>222</v>
      </c>
      <c r="F561" s="55">
        <v>46025</v>
      </c>
      <c r="G561" s="59" t="s">
        <v>192</v>
      </c>
      <c r="H561" s="55">
        <v>46173</v>
      </c>
      <c r="I561" s="56" t="s">
        <v>192</v>
      </c>
      <c r="J561" s="57">
        <v>0</v>
      </c>
      <c r="K561" s="58" t="s">
        <v>937</v>
      </c>
    </row>
    <row r="562" spans="1:11" ht="38.25">
      <c r="A562" s="52" t="s">
        <v>319</v>
      </c>
      <c r="B562" s="53" t="s">
        <v>308</v>
      </c>
      <c r="C562" s="53" t="s">
        <v>309</v>
      </c>
      <c r="D562" s="54" t="str">
        <f>_xlfn.XLOOKUP(E562,Organograma!H:H,Organograma!G:G,"")</f>
        <v>Diretoria Geral</v>
      </c>
      <c r="E562" s="54" t="s">
        <v>222</v>
      </c>
      <c r="F562" s="55">
        <v>46025</v>
      </c>
      <c r="G562" s="59" t="s">
        <v>192</v>
      </c>
      <c r="H562" s="55">
        <v>46173</v>
      </c>
      <c r="I562" s="56" t="s">
        <v>192</v>
      </c>
      <c r="J562" s="57">
        <v>0</v>
      </c>
      <c r="K562" s="58" t="s">
        <v>937</v>
      </c>
    </row>
    <row r="563" spans="1:11" ht="25.5">
      <c r="A563" s="52" t="s">
        <v>320</v>
      </c>
      <c r="B563" s="53" t="s">
        <v>308</v>
      </c>
      <c r="C563" s="53" t="s">
        <v>309</v>
      </c>
      <c r="D563" s="54" t="str">
        <f>_xlfn.XLOOKUP(E563,Organograma!H:H,Organograma!G:G,"")</f>
        <v>Diretoria Geral</v>
      </c>
      <c r="E563" s="54" t="s">
        <v>222</v>
      </c>
      <c r="F563" s="55">
        <v>46025</v>
      </c>
      <c r="G563" s="59" t="s">
        <v>192</v>
      </c>
      <c r="H563" s="55">
        <v>46173</v>
      </c>
      <c r="I563" s="56" t="s">
        <v>192</v>
      </c>
      <c r="J563" s="57">
        <v>0</v>
      </c>
      <c r="K563" s="58" t="s">
        <v>937</v>
      </c>
    </row>
    <row r="564" spans="1:11" ht="38.25">
      <c r="A564" s="52" t="s">
        <v>321</v>
      </c>
      <c r="B564" s="53" t="s">
        <v>308</v>
      </c>
      <c r="C564" s="53" t="s">
        <v>309</v>
      </c>
      <c r="D564" s="54" t="str">
        <f>_xlfn.XLOOKUP(E564,Organograma!H:H,Organograma!G:G,"")</f>
        <v>Diretoria Geral</v>
      </c>
      <c r="E564" s="54" t="s">
        <v>222</v>
      </c>
      <c r="F564" s="55">
        <v>46025</v>
      </c>
      <c r="G564" s="59" t="s">
        <v>192</v>
      </c>
      <c r="H564" s="55">
        <v>46173</v>
      </c>
      <c r="I564" s="56" t="s">
        <v>192</v>
      </c>
      <c r="J564" s="57">
        <v>0</v>
      </c>
      <c r="K564" s="58" t="s">
        <v>937</v>
      </c>
    </row>
    <row r="565" spans="1:11" ht="25.5">
      <c r="A565" s="52" t="s">
        <v>322</v>
      </c>
      <c r="B565" s="53" t="s">
        <v>308</v>
      </c>
      <c r="C565" s="53" t="s">
        <v>309</v>
      </c>
      <c r="D565" s="54" t="str">
        <f>_xlfn.XLOOKUP(E565,Organograma!H:H,Organograma!G:G,"")</f>
        <v>Diretoria Geral</v>
      </c>
      <c r="E565" s="54" t="s">
        <v>222</v>
      </c>
      <c r="F565" s="55">
        <v>46025</v>
      </c>
      <c r="G565" s="59" t="s">
        <v>192</v>
      </c>
      <c r="H565" s="55">
        <v>46173</v>
      </c>
      <c r="I565" s="56" t="s">
        <v>192</v>
      </c>
      <c r="J565" s="57">
        <v>0</v>
      </c>
      <c r="K565" s="58" t="s">
        <v>937</v>
      </c>
    </row>
    <row r="566" spans="1:11" ht="38.25">
      <c r="A566" s="52" t="s">
        <v>323</v>
      </c>
      <c r="B566" s="53" t="s">
        <v>308</v>
      </c>
      <c r="C566" s="53" t="s">
        <v>309</v>
      </c>
      <c r="D566" s="54" t="str">
        <f>_xlfn.XLOOKUP(E566,Organograma!H:H,Organograma!G:G,"")</f>
        <v>Diretoria Geral</v>
      </c>
      <c r="E566" s="54" t="s">
        <v>222</v>
      </c>
      <c r="F566" s="55">
        <v>46025</v>
      </c>
      <c r="G566" s="59" t="s">
        <v>192</v>
      </c>
      <c r="H566" s="55">
        <v>46173</v>
      </c>
      <c r="I566" s="56" t="s">
        <v>192</v>
      </c>
      <c r="J566" s="57">
        <v>0</v>
      </c>
      <c r="K566" s="58" t="s">
        <v>937</v>
      </c>
    </row>
    <row r="567" spans="1:11" ht="38.25">
      <c r="A567" s="52" t="s">
        <v>324</v>
      </c>
      <c r="B567" s="53" t="s">
        <v>308</v>
      </c>
      <c r="C567" s="53" t="s">
        <v>309</v>
      </c>
      <c r="D567" s="54" t="str">
        <f>_xlfn.XLOOKUP(E567,Organograma!H:H,Organograma!G:G,"")</f>
        <v>Diretoria Geral</v>
      </c>
      <c r="E567" s="54" t="s">
        <v>222</v>
      </c>
      <c r="F567" s="55">
        <v>46025</v>
      </c>
      <c r="G567" s="59" t="s">
        <v>192</v>
      </c>
      <c r="H567" s="55">
        <v>46173</v>
      </c>
      <c r="I567" s="56" t="s">
        <v>192</v>
      </c>
      <c r="J567" s="57">
        <v>0</v>
      </c>
      <c r="K567" s="58" t="s">
        <v>937</v>
      </c>
    </row>
    <row r="568" spans="1:11" ht="38.25">
      <c r="A568" s="52" t="s">
        <v>325</v>
      </c>
      <c r="B568" s="53" t="s">
        <v>308</v>
      </c>
      <c r="C568" s="53" t="s">
        <v>309</v>
      </c>
      <c r="D568" s="54" t="str">
        <f>_xlfn.XLOOKUP(E568,Organograma!H:H,Organograma!G:G,"")</f>
        <v>Diretoria Geral</v>
      </c>
      <c r="E568" s="54" t="s">
        <v>222</v>
      </c>
      <c r="F568" s="55">
        <v>46025</v>
      </c>
      <c r="G568" s="59" t="s">
        <v>192</v>
      </c>
      <c r="H568" s="55">
        <v>46173</v>
      </c>
      <c r="I568" s="56" t="s">
        <v>192</v>
      </c>
      <c r="J568" s="57">
        <v>0</v>
      </c>
      <c r="K568" s="58" t="s">
        <v>937</v>
      </c>
    </row>
    <row r="569" spans="1:11" ht="51">
      <c r="A569" s="52" t="s">
        <v>326</v>
      </c>
      <c r="B569" s="53" t="s">
        <v>308</v>
      </c>
      <c r="C569" s="53" t="s">
        <v>309</v>
      </c>
      <c r="D569" s="54" t="str">
        <f>_xlfn.XLOOKUP(E569,Organograma!H:H,Organograma!G:G,"")</f>
        <v>Diretoria Geral</v>
      </c>
      <c r="E569" s="54" t="s">
        <v>222</v>
      </c>
      <c r="F569" s="55">
        <v>46025</v>
      </c>
      <c r="G569" s="59" t="s">
        <v>192</v>
      </c>
      <c r="H569" s="55">
        <v>46173</v>
      </c>
      <c r="I569" s="56" t="s">
        <v>192</v>
      </c>
      <c r="J569" s="57">
        <v>0</v>
      </c>
      <c r="K569" s="58" t="s">
        <v>937</v>
      </c>
    </row>
    <row r="570" spans="1:11" ht="51">
      <c r="A570" s="52" t="s">
        <v>327</v>
      </c>
      <c r="B570" s="53" t="s">
        <v>308</v>
      </c>
      <c r="C570" s="53" t="s">
        <v>309</v>
      </c>
      <c r="D570" s="54" t="str">
        <f>_xlfn.XLOOKUP(E570,Organograma!H:H,Organograma!G:G,"")</f>
        <v>Diretoria Geral</v>
      </c>
      <c r="E570" s="54" t="s">
        <v>222</v>
      </c>
      <c r="F570" s="55">
        <v>46025</v>
      </c>
      <c r="G570" s="59" t="s">
        <v>192</v>
      </c>
      <c r="H570" s="55">
        <v>46173</v>
      </c>
      <c r="I570" s="56" t="s">
        <v>192</v>
      </c>
      <c r="J570" s="57">
        <v>0</v>
      </c>
      <c r="K570" s="58" t="s">
        <v>937</v>
      </c>
    </row>
    <row r="571" spans="1:11" ht="38.25">
      <c r="A571" s="52" t="s">
        <v>328</v>
      </c>
      <c r="B571" s="53" t="s">
        <v>308</v>
      </c>
      <c r="C571" s="53" t="s">
        <v>309</v>
      </c>
      <c r="D571" s="54" t="str">
        <f>_xlfn.XLOOKUP(E571,Organograma!H:H,Organograma!G:G,"")</f>
        <v>Diretoria Geral</v>
      </c>
      <c r="E571" s="54" t="s">
        <v>222</v>
      </c>
      <c r="F571" s="55">
        <v>46025</v>
      </c>
      <c r="G571" s="59" t="s">
        <v>192</v>
      </c>
      <c r="H571" s="55">
        <v>46173</v>
      </c>
      <c r="I571" s="56" t="s">
        <v>192</v>
      </c>
      <c r="J571" s="57">
        <v>0</v>
      </c>
      <c r="K571" s="58" t="s">
        <v>937</v>
      </c>
    </row>
    <row r="572" spans="1:11" ht="51">
      <c r="A572" s="52" t="s">
        <v>329</v>
      </c>
      <c r="B572" s="53" t="s">
        <v>308</v>
      </c>
      <c r="C572" s="53" t="s">
        <v>309</v>
      </c>
      <c r="D572" s="54" t="str">
        <f>_xlfn.XLOOKUP(E572,Organograma!H:H,Organograma!G:G,"")</f>
        <v>Diretoria Geral</v>
      </c>
      <c r="E572" s="54" t="s">
        <v>222</v>
      </c>
      <c r="F572" s="55">
        <v>46025</v>
      </c>
      <c r="G572" s="59" t="s">
        <v>192</v>
      </c>
      <c r="H572" s="55">
        <v>46173</v>
      </c>
      <c r="I572" s="56" t="s">
        <v>192</v>
      </c>
      <c r="J572" s="57">
        <v>0</v>
      </c>
      <c r="K572" s="58" t="s">
        <v>937</v>
      </c>
    </row>
    <row r="573" spans="1:11" ht="38.25">
      <c r="A573" s="52" t="s">
        <v>330</v>
      </c>
      <c r="B573" s="53" t="s">
        <v>308</v>
      </c>
      <c r="C573" s="53" t="s">
        <v>309</v>
      </c>
      <c r="D573" s="54" t="str">
        <f>_xlfn.XLOOKUP(E573,Organograma!H:H,Organograma!G:G,"")</f>
        <v>Diretoria Geral</v>
      </c>
      <c r="E573" s="54" t="s">
        <v>222</v>
      </c>
      <c r="F573" s="55">
        <v>46025</v>
      </c>
      <c r="G573" s="59" t="s">
        <v>192</v>
      </c>
      <c r="H573" s="55">
        <v>46173</v>
      </c>
      <c r="I573" s="56" t="s">
        <v>192</v>
      </c>
      <c r="J573" s="57">
        <v>0</v>
      </c>
      <c r="K573" s="58" t="s">
        <v>937</v>
      </c>
    </row>
    <row r="574" spans="1:11" ht="38.25">
      <c r="A574" s="52" t="s">
        <v>331</v>
      </c>
      <c r="B574" s="53" t="s">
        <v>308</v>
      </c>
      <c r="C574" s="53" t="s">
        <v>309</v>
      </c>
      <c r="D574" s="54" t="str">
        <f>_xlfn.XLOOKUP(E574,Organograma!H:H,Organograma!G:G,"")</f>
        <v>Diretoria Geral</v>
      </c>
      <c r="E574" s="54" t="s">
        <v>222</v>
      </c>
      <c r="F574" s="55">
        <v>46025</v>
      </c>
      <c r="G574" s="59" t="s">
        <v>192</v>
      </c>
      <c r="H574" s="55">
        <v>46173</v>
      </c>
      <c r="I574" s="56" t="s">
        <v>192</v>
      </c>
      <c r="J574" s="57">
        <v>0</v>
      </c>
      <c r="K574" s="58" t="s">
        <v>937</v>
      </c>
    </row>
    <row r="575" spans="1:11" ht="51">
      <c r="A575" s="52" t="s">
        <v>332</v>
      </c>
      <c r="B575" s="53" t="s">
        <v>308</v>
      </c>
      <c r="C575" s="53" t="s">
        <v>309</v>
      </c>
      <c r="D575" s="54" t="str">
        <f>_xlfn.XLOOKUP(E575,Organograma!H:H,Organograma!G:G,"")</f>
        <v>Diretoria Geral</v>
      </c>
      <c r="E575" s="54" t="s">
        <v>222</v>
      </c>
      <c r="F575" s="55">
        <v>46025</v>
      </c>
      <c r="G575" s="59" t="s">
        <v>192</v>
      </c>
      <c r="H575" s="55">
        <v>46173</v>
      </c>
      <c r="I575" s="56" t="s">
        <v>192</v>
      </c>
      <c r="J575" s="57">
        <v>0</v>
      </c>
      <c r="K575" s="58" t="s">
        <v>937</v>
      </c>
    </row>
    <row r="576" spans="1:11" ht="51">
      <c r="A576" s="52" t="s">
        <v>333</v>
      </c>
      <c r="B576" s="53" t="s">
        <v>308</v>
      </c>
      <c r="C576" s="53" t="s">
        <v>309</v>
      </c>
      <c r="D576" s="54" t="str">
        <f>_xlfn.XLOOKUP(E576,Organograma!H:H,Organograma!G:G,"")</f>
        <v>Diretoria Geral</v>
      </c>
      <c r="E576" s="54" t="s">
        <v>222</v>
      </c>
      <c r="F576" s="55">
        <v>46025</v>
      </c>
      <c r="G576" s="59" t="s">
        <v>192</v>
      </c>
      <c r="H576" s="55">
        <v>46173</v>
      </c>
      <c r="I576" s="56" t="s">
        <v>192</v>
      </c>
      <c r="J576" s="57">
        <v>0</v>
      </c>
      <c r="K576" s="58" t="s">
        <v>937</v>
      </c>
    </row>
    <row r="577" spans="1:11" ht="51">
      <c r="A577" s="52" t="s">
        <v>334</v>
      </c>
      <c r="B577" s="53" t="s">
        <v>308</v>
      </c>
      <c r="C577" s="53" t="s">
        <v>309</v>
      </c>
      <c r="D577" s="54" t="str">
        <f>_xlfn.XLOOKUP(E577,Organograma!H:H,Organograma!G:G,"")</f>
        <v>Diretoria Geral</v>
      </c>
      <c r="E577" s="54" t="s">
        <v>222</v>
      </c>
      <c r="F577" s="55">
        <v>46025</v>
      </c>
      <c r="G577" s="59" t="s">
        <v>192</v>
      </c>
      <c r="H577" s="55">
        <v>46173</v>
      </c>
      <c r="I577" s="56" t="s">
        <v>192</v>
      </c>
      <c r="J577" s="57">
        <v>0</v>
      </c>
      <c r="K577" s="58" t="s">
        <v>937</v>
      </c>
    </row>
    <row r="578" spans="1:11" ht="38.25">
      <c r="A578" s="52" t="s">
        <v>335</v>
      </c>
      <c r="B578" s="53" t="s">
        <v>308</v>
      </c>
      <c r="C578" s="53" t="s">
        <v>309</v>
      </c>
      <c r="D578" s="54" t="str">
        <f>_xlfn.XLOOKUP(E578,Organograma!H:H,Organograma!G:G,"")</f>
        <v>Diretoria Geral</v>
      </c>
      <c r="E578" s="54" t="s">
        <v>222</v>
      </c>
      <c r="F578" s="55">
        <v>46025</v>
      </c>
      <c r="G578" s="59" t="s">
        <v>192</v>
      </c>
      <c r="H578" s="55">
        <v>46173</v>
      </c>
      <c r="I578" s="56" t="s">
        <v>192</v>
      </c>
      <c r="J578" s="57">
        <v>0</v>
      </c>
      <c r="K578" s="58" t="s">
        <v>937</v>
      </c>
    </row>
    <row r="579" spans="1:11" ht="51">
      <c r="A579" s="52" t="s">
        <v>336</v>
      </c>
      <c r="B579" s="53" t="s">
        <v>308</v>
      </c>
      <c r="C579" s="53" t="s">
        <v>309</v>
      </c>
      <c r="D579" s="54" t="str">
        <f>_xlfn.XLOOKUP(E579,Organograma!H:H,Organograma!G:G,"")</f>
        <v>Diretoria Geral</v>
      </c>
      <c r="E579" s="54" t="s">
        <v>222</v>
      </c>
      <c r="F579" s="55">
        <v>46025</v>
      </c>
      <c r="G579" s="59" t="s">
        <v>192</v>
      </c>
      <c r="H579" s="55">
        <v>46173</v>
      </c>
      <c r="I579" s="56" t="s">
        <v>192</v>
      </c>
      <c r="J579" s="57">
        <v>0</v>
      </c>
      <c r="K579" s="58" t="s">
        <v>937</v>
      </c>
    </row>
    <row r="580" spans="1:11" ht="51">
      <c r="A580" s="52" t="s">
        <v>337</v>
      </c>
      <c r="B580" s="53" t="s">
        <v>308</v>
      </c>
      <c r="C580" s="53" t="s">
        <v>309</v>
      </c>
      <c r="D580" s="54" t="str">
        <f>_xlfn.XLOOKUP(E580,Organograma!H:H,Organograma!G:G,"")</f>
        <v>Diretoria Geral</v>
      </c>
      <c r="E580" s="54" t="s">
        <v>222</v>
      </c>
      <c r="F580" s="55">
        <v>46025</v>
      </c>
      <c r="G580" s="59" t="s">
        <v>192</v>
      </c>
      <c r="H580" s="55">
        <v>46173</v>
      </c>
      <c r="I580" s="56" t="s">
        <v>192</v>
      </c>
      <c r="J580" s="57">
        <v>0</v>
      </c>
      <c r="K580" s="58" t="s">
        <v>937</v>
      </c>
    </row>
    <row r="581" spans="1:11" ht="51">
      <c r="A581" s="52" t="s">
        <v>338</v>
      </c>
      <c r="B581" s="53" t="s">
        <v>308</v>
      </c>
      <c r="C581" s="53" t="s">
        <v>309</v>
      </c>
      <c r="D581" s="54" t="str">
        <f>_xlfn.XLOOKUP(E581,Organograma!H:H,Organograma!G:G,"")</f>
        <v>Diretoria Geral</v>
      </c>
      <c r="E581" s="54" t="s">
        <v>222</v>
      </c>
      <c r="F581" s="55">
        <v>46025</v>
      </c>
      <c r="G581" s="59" t="s">
        <v>192</v>
      </c>
      <c r="H581" s="55">
        <v>46173</v>
      </c>
      <c r="I581" s="56" t="s">
        <v>192</v>
      </c>
      <c r="J581" s="57">
        <v>0</v>
      </c>
      <c r="K581" s="58" t="s">
        <v>937</v>
      </c>
    </row>
    <row r="582" spans="1:11" ht="51">
      <c r="A582" s="52" t="s">
        <v>339</v>
      </c>
      <c r="B582" s="53" t="s">
        <v>308</v>
      </c>
      <c r="C582" s="53" t="s">
        <v>309</v>
      </c>
      <c r="D582" s="54" t="str">
        <f>_xlfn.XLOOKUP(E582,Organograma!H:H,Organograma!G:G,"")</f>
        <v>Diretoria Geral</v>
      </c>
      <c r="E582" s="54" t="s">
        <v>222</v>
      </c>
      <c r="F582" s="55">
        <v>46025</v>
      </c>
      <c r="G582" s="59" t="s">
        <v>192</v>
      </c>
      <c r="H582" s="55">
        <v>46173</v>
      </c>
      <c r="I582" s="56" t="s">
        <v>192</v>
      </c>
      <c r="J582" s="57">
        <v>0</v>
      </c>
      <c r="K582" s="58" t="s">
        <v>937</v>
      </c>
    </row>
    <row r="583" spans="1:11" ht="51">
      <c r="A583" s="52" t="s">
        <v>340</v>
      </c>
      <c r="B583" s="53" t="s">
        <v>308</v>
      </c>
      <c r="C583" s="53" t="s">
        <v>309</v>
      </c>
      <c r="D583" s="54" t="str">
        <f>_xlfn.XLOOKUP(E583,Organograma!H:H,Organograma!G:G,"")</f>
        <v>Diretoria Geral</v>
      </c>
      <c r="E583" s="54" t="s">
        <v>222</v>
      </c>
      <c r="F583" s="55">
        <v>46025</v>
      </c>
      <c r="G583" s="59" t="s">
        <v>192</v>
      </c>
      <c r="H583" s="55">
        <v>46173</v>
      </c>
      <c r="I583" s="56" t="s">
        <v>192</v>
      </c>
      <c r="J583" s="57">
        <v>0</v>
      </c>
      <c r="K583" s="58" t="s">
        <v>937</v>
      </c>
    </row>
    <row r="584" spans="1:11" ht="38.25">
      <c r="A584" s="52" t="s">
        <v>341</v>
      </c>
      <c r="B584" s="53" t="s">
        <v>308</v>
      </c>
      <c r="C584" s="53" t="s">
        <v>309</v>
      </c>
      <c r="D584" s="54" t="str">
        <f>_xlfn.XLOOKUP(E584,Organograma!H:H,Organograma!G:G,"")</f>
        <v>Diretoria Geral</v>
      </c>
      <c r="E584" s="54" t="s">
        <v>222</v>
      </c>
      <c r="F584" s="55">
        <v>46025</v>
      </c>
      <c r="G584" s="59" t="s">
        <v>192</v>
      </c>
      <c r="H584" s="55">
        <v>46173</v>
      </c>
      <c r="I584" s="56" t="s">
        <v>192</v>
      </c>
      <c r="J584" s="57">
        <v>0</v>
      </c>
      <c r="K584" s="58" t="s">
        <v>937</v>
      </c>
    </row>
    <row r="585" spans="1:11" ht="38.25">
      <c r="A585" s="52" t="s">
        <v>342</v>
      </c>
      <c r="B585" s="53" t="s">
        <v>308</v>
      </c>
      <c r="C585" s="53" t="s">
        <v>309</v>
      </c>
      <c r="D585" s="54" t="str">
        <f>_xlfn.XLOOKUP(E585,Organograma!H:H,Organograma!G:G,"")</f>
        <v>Diretoria Geral</v>
      </c>
      <c r="E585" s="54" t="s">
        <v>222</v>
      </c>
      <c r="F585" s="55">
        <v>46025</v>
      </c>
      <c r="G585" s="59" t="s">
        <v>192</v>
      </c>
      <c r="H585" s="55">
        <v>46173</v>
      </c>
      <c r="I585" s="56" t="s">
        <v>192</v>
      </c>
      <c r="J585" s="57">
        <v>0</v>
      </c>
      <c r="K585" s="58" t="s">
        <v>937</v>
      </c>
    </row>
    <row r="586" spans="1:11" ht="38.25">
      <c r="A586" s="52" t="s">
        <v>343</v>
      </c>
      <c r="B586" s="53" t="s">
        <v>308</v>
      </c>
      <c r="C586" s="53" t="s">
        <v>309</v>
      </c>
      <c r="D586" s="54" t="str">
        <f>_xlfn.XLOOKUP(E586,Organograma!H:H,Organograma!G:G,"")</f>
        <v>Diretoria Geral</v>
      </c>
      <c r="E586" s="54" t="s">
        <v>222</v>
      </c>
      <c r="F586" s="55">
        <v>46025</v>
      </c>
      <c r="G586" s="59" t="s">
        <v>192</v>
      </c>
      <c r="H586" s="55">
        <v>46173</v>
      </c>
      <c r="I586" s="56" t="s">
        <v>192</v>
      </c>
      <c r="J586" s="57">
        <v>0</v>
      </c>
      <c r="K586" s="58" t="s">
        <v>937</v>
      </c>
    </row>
    <row r="587" spans="1:11" ht="51">
      <c r="A587" s="52" t="s">
        <v>344</v>
      </c>
      <c r="B587" s="53" t="s">
        <v>308</v>
      </c>
      <c r="C587" s="53" t="s">
        <v>309</v>
      </c>
      <c r="D587" s="54" t="str">
        <f>_xlfn.XLOOKUP(E587,Organograma!H:H,Organograma!G:G,"")</f>
        <v>Diretoria Geral</v>
      </c>
      <c r="E587" s="54" t="s">
        <v>222</v>
      </c>
      <c r="F587" s="55">
        <v>46025</v>
      </c>
      <c r="G587" s="59" t="s">
        <v>192</v>
      </c>
      <c r="H587" s="55">
        <v>46173</v>
      </c>
      <c r="I587" s="56" t="s">
        <v>192</v>
      </c>
      <c r="J587" s="57">
        <v>0</v>
      </c>
      <c r="K587" s="58" t="s">
        <v>937</v>
      </c>
    </row>
    <row r="588" spans="1:11" ht="51">
      <c r="A588" s="52" t="s">
        <v>345</v>
      </c>
      <c r="B588" s="53" t="s">
        <v>308</v>
      </c>
      <c r="C588" s="53" t="s">
        <v>309</v>
      </c>
      <c r="D588" s="54" t="str">
        <f>_xlfn.XLOOKUP(E588,Organograma!H:H,Organograma!G:G,"")</f>
        <v>Diretoria Geral</v>
      </c>
      <c r="E588" s="54" t="s">
        <v>222</v>
      </c>
      <c r="F588" s="55">
        <v>46025</v>
      </c>
      <c r="G588" s="59" t="s">
        <v>192</v>
      </c>
      <c r="H588" s="55">
        <v>46173</v>
      </c>
      <c r="I588" s="56" t="s">
        <v>192</v>
      </c>
      <c r="J588" s="57">
        <v>0</v>
      </c>
      <c r="K588" s="58" t="s">
        <v>937</v>
      </c>
    </row>
    <row r="589" spans="1:11" ht="38.25">
      <c r="A589" s="52" t="s">
        <v>346</v>
      </c>
      <c r="B589" s="53" t="s">
        <v>308</v>
      </c>
      <c r="C589" s="53" t="s">
        <v>309</v>
      </c>
      <c r="D589" s="54" t="str">
        <f>_xlfn.XLOOKUP(E589,Organograma!H:H,Organograma!G:G,"")</f>
        <v>Diretoria Geral</v>
      </c>
      <c r="E589" s="54" t="s">
        <v>222</v>
      </c>
      <c r="F589" s="55">
        <v>46025</v>
      </c>
      <c r="G589" s="59" t="s">
        <v>192</v>
      </c>
      <c r="H589" s="55">
        <v>46173</v>
      </c>
      <c r="I589" s="56" t="s">
        <v>192</v>
      </c>
      <c r="J589" s="57">
        <v>0</v>
      </c>
      <c r="K589" s="58" t="s">
        <v>937</v>
      </c>
    </row>
    <row r="590" spans="1:11" ht="51">
      <c r="A590" s="52" t="s">
        <v>347</v>
      </c>
      <c r="B590" s="53" t="s">
        <v>308</v>
      </c>
      <c r="C590" s="53" t="s">
        <v>309</v>
      </c>
      <c r="D590" s="54" t="str">
        <f>_xlfn.XLOOKUP(E590,Organograma!H:H,Organograma!G:G,"")</f>
        <v>Diretoria Geral</v>
      </c>
      <c r="E590" s="54" t="s">
        <v>222</v>
      </c>
      <c r="F590" s="55">
        <v>46025</v>
      </c>
      <c r="G590" s="59" t="s">
        <v>192</v>
      </c>
      <c r="H590" s="55">
        <v>46173</v>
      </c>
      <c r="I590" s="56" t="s">
        <v>192</v>
      </c>
      <c r="J590" s="57">
        <v>0</v>
      </c>
      <c r="K590" s="58" t="s">
        <v>937</v>
      </c>
    </row>
    <row r="591" spans="1:11" ht="38.25">
      <c r="A591" s="52" t="s">
        <v>348</v>
      </c>
      <c r="B591" s="53" t="s">
        <v>308</v>
      </c>
      <c r="C591" s="53" t="s">
        <v>309</v>
      </c>
      <c r="D591" s="54" t="str">
        <f>_xlfn.XLOOKUP(E591,Organograma!H:H,Organograma!G:G,"")</f>
        <v>Diretoria Geral</v>
      </c>
      <c r="E591" s="54" t="s">
        <v>222</v>
      </c>
      <c r="F591" s="55">
        <v>46025</v>
      </c>
      <c r="G591" s="59" t="s">
        <v>192</v>
      </c>
      <c r="H591" s="55">
        <v>46173</v>
      </c>
      <c r="I591" s="56" t="s">
        <v>192</v>
      </c>
      <c r="J591" s="57">
        <v>0</v>
      </c>
      <c r="K591" s="58" t="s">
        <v>937</v>
      </c>
    </row>
    <row r="592" spans="1:11" ht="51">
      <c r="A592" s="52" t="s">
        <v>349</v>
      </c>
      <c r="B592" s="53" t="s">
        <v>308</v>
      </c>
      <c r="C592" s="53" t="s">
        <v>309</v>
      </c>
      <c r="D592" s="54" t="str">
        <f>_xlfn.XLOOKUP(E592,Organograma!H:H,Organograma!G:G,"")</f>
        <v>Diretoria Geral</v>
      </c>
      <c r="E592" s="54" t="s">
        <v>222</v>
      </c>
      <c r="F592" s="55">
        <v>46025</v>
      </c>
      <c r="G592" s="59" t="s">
        <v>192</v>
      </c>
      <c r="H592" s="55">
        <v>46173</v>
      </c>
      <c r="I592" s="56" t="s">
        <v>192</v>
      </c>
      <c r="J592" s="57">
        <v>0</v>
      </c>
      <c r="K592" s="58" t="s">
        <v>937</v>
      </c>
    </row>
    <row r="593" spans="1:11" ht="51">
      <c r="A593" s="52" t="s">
        <v>350</v>
      </c>
      <c r="B593" s="53" t="s">
        <v>308</v>
      </c>
      <c r="C593" s="53" t="s">
        <v>309</v>
      </c>
      <c r="D593" s="54" t="str">
        <f>_xlfn.XLOOKUP(E593,Organograma!H:H,Organograma!G:G,"")</f>
        <v>Diretoria Geral</v>
      </c>
      <c r="E593" s="54" t="s">
        <v>222</v>
      </c>
      <c r="F593" s="55">
        <v>46025</v>
      </c>
      <c r="G593" s="59" t="s">
        <v>192</v>
      </c>
      <c r="H593" s="55">
        <v>46173</v>
      </c>
      <c r="I593" s="56" t="s">
        <v>192</v>
      </c>
      <c r="J593" s="57">
        <v>0</v>
      </c>
      <c r="K593" s="58" t="s">
        <v>937</v>
      </c>
    </row>
    <row r="594" spans="1:11" ht="51">
      <c r="A594" s="52" t="s">
        <v>351</v>
      </c>
      <c r="B594" s="53" t="s">
        <v>308</v>
      </c>
      <c r="C594" s="53" t="s">
        <v>309</v>
      </c>
      <c r="D594" s="54" t="str">
        <f>_xlfn.XLOOKUP(E594,Organograma!H:H,Organograma!G:G,"")</f>
        <v>Diretoria Geral</v>
      </c>
      <c r="E594" s="54" t="s">
        <v>222</v>
      </c>
      <c r="F594" s="55">
        <v>46025</v>
      </c>
      <c r="G594" s="59" t="s">
        <v>192</v>
      </c>
      <c r="H594" s="55">
        <v>46173</v>
      </c>
      <c r="I594" s="56" t="s">
        <v>192</v>
      </c>
      <c r="J594" s="57">
        <v>0</v>
      </c>
      <c r="K594" s="58" t="s">
        <v>937</v>
      </c>
    </row>
    <row r="595" spans="1:11" ht="51">
      <c r="A595" s="52" t="s">
        <v>352</v>
      </c>
      <c r="B595" s="53" t="s">
        <v>308</v>
      </c>
      <c r="C595" s="53" t="s">
        <v>309</v>
      </c>
      <c r="D595" s="54" t="str">
        <f>_xlfn.XLOOKUP(E595,Organograma!H:H,Organograma!G:G,"")</f>
        <v>Diretoria Geral</v>
      </c>
      <c r="E595" s="54" t="s">
        <v>222</v>
      </c>
      <c r="F595" s="55">
        <v>46025</v>
      </c>
      <c r="G595" s="59" t="s">
        <v>192</v>
      </c>
      <c r="H595" s="55">
        <v>46173</v>
      </c>
      <c r="I595" s="56" t="s">
        <v>192</v>
      </c>
      <c r="J595" s="57">
        <v>0</v>
      </c>
      <c r="K595" s="58" t="s">
        <v>937</v>
      </c>
    </row>
    <row r="596" spans="1:11" ht="38.25">
      <c r="A596" s="52" t="s">
        <v>353</v>
      </c>
      <c r="B596" s="53" t="s">
        <v>308</v>
      </c>
      <c r="C596" s="53" t="s">
        <v>309</v>
      </c>
      <c r="D596" s="54" t="str">
        <f>_xlfn.XLOOKUP(E596,Organograma!H:H,Organograma!G:G,"")</f>
        <v>Diretoria Geral</v>
      </c>
      <c r="E596" s="54" t="s">
        <v>222</v>
      </c>
      <c r="F596" s="55">
        <v>46025</v>
      </c>
      <c r="G596" s="59" t="s">
        <v>192</v>
      </c>
      <c r="H596" s="55">
        <v>46173</v>
      </c>
      <c r="I596" s="56" t="s">
        <v>192</v>
      </c>
      <c r="J596" s="57">
        <v>0</v>
      </c>
      <c r="K596" s="58" t="s">
        <v>937</v>
      </c>
    </row>
    <row r="597" spans="1:11" ht="38.25">
      <c r="A597" s="52" t="s">
        <v>354</v>
      </c>
      <c r="B597" s="53" t="s">
        <v>308</v>
      </c>
      <c r="C597" s="53" t="s">
        <v>309</v>
      </c>
      <c r="D597" s="54" t="str">
        <f>_xlfn.XLOOKUP(E597,Organograma!H:H,Organograma!G:G,"")</f>
        <v>Diretoria Geral</v>
      </c>
      <c r="E597" s="54" t="s">
        <v>222</v>
      </c>
      <c r="F597" s="55">
        <v>46025</v>
      </c>
      <c r="G597" s="59" t="s">
        <v>192</v>
      </c>
      <c r="H597" s="55">
        <v>46173</v>
      </c>
      <c r="I597" s="56" t="s">
        <v>192</v>
      </c>
      <c r="J597" s="57">
        <v>0</v>
      </c>
      <c r="K597" s="58" t="s">
        <v>937</v>
      </c>
    </row>
    <row r="598" spans="1:11" ht="38.25">
      <c r="A598" s="52" t="s">
        <v>355</v>
      </c>
      <c r="B598" s="53" t="s">
        <v>308</v>
      </c>
      <c r="C598" s="53" t="s">
        <v>309</v>
      </c>
      <c r="D598" s="54" t="str">
        <f>_xlfn.XLOOKUP(E598,Organograma!H:H,Organograma!G:G,"")</f>
        <v>Diretoria Geral</v>
      </c>
      <c r="E598" s="54" t="s">
        <v>222</v>
      </c>
      <c r="F598" s="55">
        <v>46025</v>
      </c>
      <c r="G598" s="59" t="s">
        <v>192</v>
      </c>
      <c r="H598" s="55">
        <v>46173</v>
      </c>
      <c r="I598" s="56" t="s">
        <v>192</v>
      </c>
      <c r="J598" s="57">
        <v>0</v>
      </c>
      <c r="K598" s="58" t="s">
        <v>937</v>
      </c>
    </row>
    <row r="599" spans="1:11" ht="51">
      <c r="A599" s="52" t="s">
        <v>356</v>
      </c>
      <c r="B599" s="53" t="s">
        <v>308</v>
      </c>
      <c r="C599" s="53" t="s">
        <v>309</v>
      </c>
      <c r="D599" s="54" t="str">
        <f>_xlfn.XLOOKUP(E599,Organograma!H:H,Organograma!G:G,"")</f>
        <v>Diretoria Geral</v>
      </c>
      <c r="E599" s="54" t="s">
        <v>222</v>
      </c>
      <c r="F599" s="55">
        <v>46025</v>
      </c>
      <c r="G599" s="59" t="s">
        <v>192</v>
      </c>
      <c r="H599" s="55">
        <v>46173</v>
      </c>
      <c r="I599" s="56" t="s">
        <v>192</v>
      </c>
      <c r="J599" s="57">
        <v>0</v>
      </c>
      <c r="K599" s="58" t="s">
        <v>937</v>
      </c>
    </row>
    <row r="600" spans="1:11" ht="38.25">
      <c r="A600" s="52" t="s">
        <v>357</v>
      </c>
      <c r="B600" s="53" t="s">
        <v>308</v>
      </c>
      <c r="C600" s="53" t="s">
        <v>309</v>
      </c>
      <c r="D600" s="54" t="str">
        <f>_xlfn.XLOOKUP(E600,Organograma!H:H,Organograma!G:G,"")</f>
        <v>Diretoria Geral</v>
      </c>
      <c r="E600" s="54" t="s">
        <v>222</v>
      </c>
      <c r="F600" s="55">
        <v>46025</v>
      </c>
      <c r="G600" s="59" t="s">
        <v>192</v>
      </c>
      <c r="H600" s="55">
        <v>46173</v>
      </c>
      <c r="I600" s="56" t="s">
        <v>192</v>
      </c>
      <c r="J600" s="57">
        <v>0</v>
      </c>
      <c r="K600" s="58" t="s">
        <v>937</v>
      </c>
    </row>
    <row r="601" spans="1:11" ht="51">
      <c r="A601" s="52" t="s">
        <v>358</v>
      </c>
      <c r="B601" s="53" t="s">
        <v>308</v>
      </c>
      <c r="C601" s="53" t="s">
        <v>309</v>
      </c>
      <c r="D601" s="54" t="str">
        <f>_xlfn.XLOOKUP(E601,Organograma!H:H,Organograma!G:G,"")</f>
        <v>Diretoria Geral</v>
      </c>
      <c r="E601" s="54" t="s">
        <v>222</v>
      </c>
      <c r="F601" s="55">
        <v>46025</v>
      </c>
      <c r="G601" s="59" t="s">
        <v>192</v>
      </c>
      <c r="H601" s="55">
        <v>46173</v>
      </c>
      <c r="I601" s="56" t="s">
        <v>192</v>
      </c>
      <c r="J601" s="57">
        <v>0</v>
      </c>
      <c r="K601" s="58" t="s">
        <v>937</v>
      </c>
    </row>
    <row r="602" spans="1:11" ht="38.25">
      <c r="A602" s="52" t="s">
        <v>359</v>
      </c>
      <c r="B602" s="53" t="s">
        <v>308</v>
      </c>
      <c r="C602" s="53" t="s">
        <v>309</v>
      </c>
      <c r="D602" s="54" t="str">
        <f>_xlfn.XLOOKUP(E602,Organograma!H:H,Organograma!G:G,"")</f>
        <v>Diretoria Geral</v>
      </c>
      <c r="E602" s="54" t="s">
        <v>222</v>
      </c>
      <c r="F602" s="55">
        <v>46025</v>
      </c>
      <c r="G602" s="59" t="s">
        <v>192</v>
      </c>
      <c r="H602" s="55">
        <v>46173</v>
      </c>
      <c r="I602" s="56" t="s">
        <v>192</v>
      </c>
      <c r="J602" s="57">
        <v>0</v>
      </c>
      <c r="K602" s="58" t="s">
        <v>937</v>
      </c>
    </row>
    <row r="603" spans="1:11" ht="51">
      <c r="A603" s="52" t="s">
        <v>360</v>
      </c>
      <c r="B603" s="53" t="s">
        <v>308</v>
      </c>
      <c r="C603" s="53" t="s">
        <v>309</v>
      </c>
      <c r="D603" s="54" t="str">
        <f>_xlfn.XLOOKUP(E603,Organograma!H:H,Organograma!G:G,"")</f>
        <v>Diretoria Geral</v>
      </c>
      <c r="E603" s="54" t="s">
        <v>222</v>
      </c>
      <c r="F603" s="55">
        <v>46025</v>
      </c>
      <c r="G603" s="59" t="s">
        <v>192</v>
      </c>
      <c r="H603" s="55">
        <v>46173</v>
      </c>
      <c r="I603" s="56" t="s">
        <v>192</v>
      </c>
      <c r="J603" s="57">
        <v>0</v>
      </c>
      <c r="K603" s="58" t="s">
        <v>937</v>
      </c>
    </row>
    <row r="604" spans="1:11" ht="51">
      <c r="A604" s="52" t="s">
        <v>361</v>
      </c>
      <c r="B604" s="53" t="s">
        <v>308</v>
      </c>
      <c r="C604" s="53" t="s">
        <v>309</v>
      </c>
      <c r="D604" s="54" t="str">
        <f>_xlfn.XLOOKUP(E604,Organograma!H:H,Organograma!G:G,"")</f>
        <v>Diretoria Geral</v>
      </c>
      <c r="E604" s="54" t="s">
        <v>222</v>
      </c>
      <c r="F604" s="55">
        <v>46025</v>
      </c>
      <c r="G604" s="59" t="s">
        <v>192</v>
      </c>
      <c r="H604" s="55">
        <v>46173</v>
      </c>
      <c r="I604" s="56" t="s">
        <v>192</v>
      </c>
      <c r="J604" s="57">
        <v>0</v>
      </c>
      <c r="K604" s="58" t="s">
        <v>937</v>
      </c>
    </row>
    <row r="605" spans="1:11" ht="51">
      <c r="A605" s="52" t="s">
        <v>362</v>
      </c>
      <c r="B605" s="53" t="s">
        <v>308</v>
      </c>
      <c r="C605" s="53" t="s">
        <v>309</v>
      </c>
      <c r="D605" s="54" t="str">
        <f>_xlfn.XLOOKUP(E605,Organograma!H:H,Organograma!G:G,"")</f>
        <v>Diretoria Geral</v>
      </c>
      <c r="E605" s="54" t="s">
        <v>222</v>
      </c>
      <c r="F605" s="55">
        <v>46025</v>
      </c>
      <c r="G605" s="59" t="s">
        <v>192</v>
      </c>
      <c r="H605" s="55">
        <v>46173</v>
      </c>
      <c r="I605" s="56" t="s">
        <v>192</v>
      </c>
      <c r="J605" s="57">
        <v>0</v>
      </c>
      <c r="K605" s="58" t="s">
        <v>937</v>
      </c>
    </row>
    <row r="606" spans="1:11" ht="51">
      <c r="A606" s="52" t="s">
        <v>363</v>
      </c>
      <c r="B606" s="53" t="s">
        <v>308</v>
      </c>
      <c r="C606" s="53" t="s">
        <v>309</v>
      </c>
      <c r="D606" s="54" t="str">
        <f>_xlfn.XLOOKUP(E606,Organograma!H:H,Organograma!G:G,"")</f>
        <v>Diretoria Geral</v>
      </c>
      <c r="E606" s="54" t="s">
        <v>222</v>
      </c>
      <c r="F606" s="55">
        <v>46025</v>
      </c>
      <c r="G606" s="59" t="s">
        <v>192</v>
      </c>
      <c r="H606" s="55">
        <v>46173</v>
      </c>
      <c r="I606" s="56" t="s">
        <v>192</v>
      </c>
      <c r="J606" s="57">
        <v>0</v>
      </c>
      <c r="K606" s="58" t="s">
        <v>937</v>
      </c>
    </row>
    <row r="607" spans="1:11" ht="51">
      <c r="A607" s="52" t="s">
        <v>364</v>
      </c>
      <c r="B607" s="53" t="s">
        <v>308</v>
      </c>
      <c r="C607" s="53" t="s">
        <v>309</v>
      </c>
      <c r="D607" s="54" t="str">
        <f>_xlfn.XLOOKUP(E607,Organograma!H:H,Organograma!G:G,"")</f>
        <v>Diretoria Geral</v>
      </c>
      <c r="E607" s="54" t="s">
        <v>222</v>
      </c>
      <c r="F607" s="55">
        <v>46025</v>
      </c>
      <c r="G607" s="59" t="s">
        <v>192</v>
      </c>
      <c r="H607" s="55">
        <v>46173</v>
      </c>
      <c r="I607" s="56" t="s">
        <v>192</v>
      </c>
      <c r="J607" s="57">
        <v>0</v>
      </c>
      <c r="K607" s="58" t="s">
        <v>937</v>
      </c>
    </row>
    <row r="608" spans="1:11" ht="51">
      <c r="A608" s="52" t="s">
        <v>365</v>
      </c>
      <c r="B608" s="53" t="s">
        <v>308</v>
      </c>
      <c r="C608" s="53" t="s">
        <v>309</v>
      </c>
      <c r="D608" s="54" t="str">
        <f>_xlfn.XLOOKUP(E608,Organograma!H:H,Organograma!G:G,"")</f>
        <v>Diretoria Geral</v>
      </c>
      <c r="E608" s="54" t="s">
        <v>222</v>
      </c>
      <c r="F608" s="55">
        <v>46025</v>
      </c>
      <c r="G608" s="59" t="s">
        <v>192</v>
      </c>
      <c r="H608" s="55">
        <v>46173</v>
      </c>
      <c r="I608" s="56" t="s">
        <v>192</v>
      </c>
      <c r="J608" s="57">
        <v>0</v>
      </c>
      <c r="K608" s="58" t="s">
        <v>937</v>
      </c>
    </row>
    <row r="609" spans="1:11" ht="38.25">
      <c r="A609" s="52" t="s">
        <v>366</v>
      </c>
      <c r="B609" s="53" t="s">
        <v>308</v>
      </c>
      <c r="C609" s="53" t="s">
        <v>309</v>
      </c>
      <c r="D609" s="54" t="str">
        <f>_xlfn.XLOOKUP(E609,Organograma!H:H,Organograma!G:G,"")</f>
        <v>Diretoria Geral</v>
      </c>
      <c r="E609" s="54" t="s">
        <v>222</v>
      </c>
      <c r="F609" s="55">
        <v>46025</v>
      </c>
      <c r="G609" s="59" t="s">
        <v>192</v>
      </c>
      <c r="H609" s="55">
        <v>46173</v>
      </c>
      <c r="I609" s="56" t="s">
        <v>192</v>
      </c>
      <c r="J609" s="57">
        <v>0</v>
      </c>
      <c r="K609" s="58" t="s">
        <v>937</v>
      </c>
    </row>
    <row r="610" spans="1:11" ht="51">
      <c r="A610" s="52" t="s">
        <v>367</v>
      </c>
      <c r="B610" s="53" t="s">
        <v>308</v>
      </c>
      <c r="C610" s="53" t="s">
        <v>309</v>
      </c>
      <c r="D610" s="54" t="str">
        <f>_xlfn.XLOOKUP(E610,Organograma!H:H,Organograma!G:G,"")</f>
        <v>Diretoria Geral</v>
      </c>
      <c r="E610" s="54" t="s">
        <v>222</v>
      </c>
      <c r="F610" s="55">
        <v>46025</v>
      </c>
      <c r="G610" s="59" t="s">
        <v>192</v>
      </c>
      <c r="H610" s="55">
        <v>46173</v>
      </c>
      <c r="I610" s="56" t="s">
        <v>192</v>
      </c>
      <c r="J610" s="57">
        <v>0</v>
      </c>
      <c r="K610" s="58" t="s">
        <v>937</v>
      </c>
    </row>
    <row r="611" spans="1:11" ht="51">
      <c r="A611" s="52" t="s">
        <v>368</v>
      </c>
      <c r="B611" s="53" t="s">
        <v>308</v>
      </c>
      <c r="C611" s="53" t="s">
        <v>309</v>
      </c>
      <c r="D611" s="54" t="str">
        <f>_xlfn.XLOOKUP(E611,Organograma!H:H,Organograma!G:G,"")</f>
        <v>Diretoria Geral</v>
      </c>
      <c r="E611" s="54" t="s">
        <v>222</v>
      </c>
      <c r="F611" s="55">
        <v>46025</v>
      </c>
      <c r="G611" s="59" t="s">
        <v>192</v>
      </c>
      <c r="H611" s="55">
        <v>46173</v>
      </c>
      <c r="I611" s="56" t="s">
        <v>192</v>
      </c>
      <c r="J611" s="57">
        <v>0</v>
      </c>
      <c r="K611" s="58" t="s">
        <v>937</v>
      </c>
    </row>
    <row r="612" spans="1:11" ht="51">
      <c r="A612" s="52" t="s">
        <v>369</v>
      </c>
      <c r="B612" s="53" t="s">
        <v>308</v>
      </c>
      <c r="C612" s="53" t="s">
        <v>309</v>
      </c>
      <c r="D612" s="54" t="str">
        <f>_xlfn.XLOOKUP(E612,Organograma!H:H,Organograma!G:G,"")</f>
        <v>Diretoria Geral</v>
      </c>
      <c r="E612" s="54" t="s">
        <v>222</v>
      </c>
      <c r="F612" s="55">
        <v>46025</v>
      </c>
      <c r="G612" s="59" t="s">
        <v>192</v>
      </c>
      <c r="H612" s="55">
        <v>46173</v>
      </c>
      <c r="I612" s="56" t="s">
        <v>192</v>
      </c>
      <c r="J612" s="57">
        <v>0</v>
      </c>
      <c r="K612" s="58" t="s">
        <v>937</v>
      </c>
    </row>
    <row r="613" spans="1:11" ht="51">
      <c r="A613" s="52" t="s">
        <v>370</v>
      </c>
      <c r="B613" s="53" t="s">
        <v>308</v>
      </c>
      <c r="C613" s="53" t="s">
        <v>309</v>
      </c>
      <c r="D613" s="54" t="str">
        <f>_xlfn.XLOOKUP(E613,Organograma!H:H,Organograma!G:G,"")</f>
        <v>Diretoria Geral</v>
      </c>
      <c r="E613" s="54" t="s">
        <v>222</v>
      </c>
      <c r="F613" s="55">
        <v>46025</v>
      </c>
      <c r="G613" s="59" t="s">
        <v>192</v>
      </c>
      <c r="H613" s="55">
        <v>46173</v>
      </c>
      <c r="I613" s="56" t="s">
        <v>192</v>
      </c>
      <c r="J613" s="57">
        <v>0</v>
      </c>
      <c r="K613" s="58" t="s">
        <v>937</v>
      </c>
    </row>
    <row r="614" spans="1:11" ht="51">
      <c r="A614" s="52" t="s">
        <v>371</v>
      </c>
      <c r="B614" s="53" t="s">
        <v>308</v>
      </c>
      <c r="C614" s="53" t="s">
        <v>309</v>
      </c>
      <c r="D614" s="54" t="str">
        <f>_xlfn.XLOOKUP(E614,Organograma!H:H,Organograma!G:G,"")</f>
        <v>Diretoria Geral</v>
      </c>
      <c r="E614" s="54" t="s">
        <v>222</v>
      </c>
      <c r="F614" s="55">
        <v>46025</v>
      </c>
      <c r="G614" s="59" t="s">
        <v>192</v>
      </c>
      <c r="H614" s="55">
        <v>46173</v>
      </c>
      <c r="I614" s="56" t="s">
        <v>192</v>
      </c>
      <c r="J614" s="57">
        <v>0</v>
      </c>
      <c r="K614" s="58" t="s">
        <v>937</v>
      </c>
    </row>
    <row r="615" spans="1:11" ht="51">
      <c r="A615" s="52" t="s">
        <v>372</v>
      </c>
      <c r="B615" s="53" t="s">
        <v>308</v>
      </c>
      <c r="C615" s="53" t="s">
        <v>309</v>
      </c>
      <c r="D615" s="54" t="str">
        <f>_xlfn.XLOOKUP(E615,Organograma!H:H,Organograma!G:G,"")</f>
        <v>Diretoria Geral</v>
      </c>
      <c r="E615" s="54" t="s">
        <v>222</v>
      </c>
      <c r="F615" s="55">
        <v>46025</v>
      </c>
      <c r="G615" s="59" t="s">
        <v>192</v>
      </c>
      <c r="H615" s="55">
        <v>46173</v>
      </c>
      <c r="I615" s="56" t="s">
        <v>192</v>
      </c>
      <c r="J615" s="57">
        <v>0</v>
      </c>
      <c r="K615" s="58" t="s">
        <v>937</v>
      </c>
    </row>
    <row r="616" spans="1:11" ht="38.25">
      <c r="A616" s="52" t="s">
        <v>373</v>
      </c>
      <c r="B616" s="53" t="s">
        <v>308</v>
      </c>
      <c r="C616" s="53" t="s">
        <v>309</v>
      </c>
      <c r="D616" s="54" t="str">
        <f>_xlfn.XLOOKUP(E616,Organograma!H:H,Organograma!G:G,"")</f>
        <v>Diretoria Geral</v>
      </c>
      <c r="E616" s="54" t="s">
        <v>222</v>
      </c>
      <c r="F616" s="55">
        <v>46025</v>
      </c>
      <c r="G616" s="59" t="s">
        <v>192</v>
      </c>
      <c r="H616" s="55">
        <v>46173</v>
      </c>
      <c r="I616" s="56" t="s">
        <v>192</v>
      </c>
      <c r="J616" s="57">
        <v>0</v>
      </c>
      <c r="K616" s="58" t="s">
        <v>937</v>
      </c>
    </row>
    <row r="617" spans="1:11" ht="51">
      <c r="A617" s="52" t="s">
        <v>374</v>
      </c>
      <c r="B617" s="53" t="s">
        <v>308</v>
      </c>
      <c r="C617" s="53" t="s">
        <v>309</v>
      </c>
      <c r="D617" s="54" t="str">
        <f>_xlfn.XLOOKUP(E617,Organograma!H:H,Organograma!G:G,"")</f>
        <v>Diretoria Geral</v>
      </c>
      <c r="E617" s="54" t="s">
        <v>222</v>
      </c>
      <c r="F617" s="55">
        <v>46025</v>
      </c>
      <c r="G617" s="59" t="s">
        <v>192</v>
      </c>
      <c r="H617" s="55">
        <v>46173</v>
      </c>
      <c r="I617" s="56" t="s">
        <v>192</v>
      </c>
      <c r="J617" s="57">
        <v>0</v>
      </c>
      <c r="K617" s="58" t="s">
        <v>937</v>
      </c>
    </row>
    <row r="618" spans="1:11" ht="38.25">
      <c r="A618" s="52" t="s">
        <v>375</v>
      </c>
      <c r="B618" s="53" t="s">
        <v>308</v>
      </c>
      <c r="C618" s="53" t="s">
        <v>309</v>
      </c>
      <c r="D618" s="54" t="str">
        <f>_xlfn.XLOOKUP(E618,Organograma!H:H,Organograma!G:G,"")</f>
        <v>Diretoria Geral</v>
      </c>
      <c r="E618" s="54" t="s">
        <v>222</v>
      </c>
      <c r="F618" s="55">
        <v>46025</v>
      </c>
      <c r="G618" s="59" t="s">
        <v>192</v>
      </c>
      <c r="H618" s="55">
        <v>46173</v>
      </c>
      <c r="I618" s="56" t="s">
        <v>192</v>
      </c>
      <c r="J618" s="57">
        <v>0</v>
      </c>
      <c r="K618" s="58" t="s">
        <v>937</v>
      </c>
    </row>
    <row r="619" spans="1:11" ht="51">
      <c r="A619" s="52" t="s">
        <v>376</v>
      </c>
      <c r="B619" s="53" t="s">
        <v>308</v>
      </c>
      <c r="C619" s="53" t="s">
        <v>309</v>
      </c>
      <c r="D619" s="54" t="str">
        <f>_xlfn.XLOOKUP(E619,Organograma!H:H,Organograma!G:G,"")</f>
        <v>Diretoria Geral</v>
      </c>
      <c r="E619" s="54" t="s">
        <v>222</v>
      </c>
      <c r="F619" s="55">
        <v>46025</v>
      </c>
      <c r="G619" s="59" t="s">
        <v>192</v>
      </c>
      <c r="H619" s="55">
        <v>46173</v>
      </c>
      <c r="I619" s="56" t="s">
        <v>192</v>
      </c>
      <c r="J619" s="57">
        <v>0</v>
      </c>
      <c r="K619" s="58" t="s">
        <v>937</v>
      </c>
    </row>
    <row r="620" spans="1:11" ht="51">
      <c r="A620" s="52" t="s">
        <v>377</v>
      </c>
      <c r="B620" s="53" t="s">
        <v>308</v>
      </c>
      <c r="C620" s="53" t="s">
        <v>309</v>
      </c>
      <c r="D620" s="54" t="str">
        <f>_xlfn.XLOOKUP(E620,Organograma!H:H,Organograma!G:G,"")</f>
        <v>Diretoria Geral</v>
      </c>
      <c r="E620" s="54" t="s">
        <v>222</v>
      </c>
      <c r="F620" s="55">
        <v>46025</v>
      </c>
      <c r="G620" s="59" t="s">
        <v>192</v>
      </c>
      <c r="H620" s="55">
        <v>46173</v>
      </c>
      <c r="I620" s="56" t="s">
        <v>192</v>
      </c>
      <c r="J620" s="57">
        <v>0</v>
      </c>
      <c r="K620" s="58" t="s">
        <v>937</v>
      </c>
    </row>
    <row r="621" spans="1:11" ht="51">
      <c r="A621" s="52" t="s">
        <v>378</v>
      </c>
      <c r="B621" s="53" t="s">
        <v>308</v>
      </c>
      <c r="C621" s="53" t="s">
        <v>309</v>
      </c>
      <c r="D621" s="54" t="str">
        <f>_xlfn.XLOOKUP(E621,Organograma!H:H,Organograma!G:G,"")</f>
        <v>Diretoria Geral</v>
      </c>
      <c r="E621" s="54" t="s">
        <v>222</v>
      </c>
      <c r="F621" s="55">
        <v>46025</v>
      </c>
      <c r="G621" s="59" t="s">
        <v>192</v>
      </c>
      <c r="H621" s="55">
        <v>46173</v>
      </c>
      <c r="I621" s="56" t="s">
        <v>192</v>
      </c>
      <c r="J621" s="57">
        <v>0</v>
      </c>
      <c r="K621" s="58" t="s">
        <v>937</v>
      </c>
    </row>
    <row r="622" spans="1:11" ht="51">
      <c r="A622" s="52" t="s">
        <v>379</v>
      </c>
      <c r="B622" s="53" t="s">
        <v>308</v>
      </c>
      <c r="C622" s="53" t="s">
        <v>309</v>
      </c>
      <c r="D622" s="54" t="str">
        <f>_xlfn.XLOOKUP(E622,Organograma!H:H,Organograma!G:G,"")</f>
        <v>Diretoria Geral</v>
      </c>
      <c r="E622" s="54" t="s">
        <v>222</v>
      </c>
      <c r="F622" s="55">
        <v>46025</v>
      </c>
      <c r="G622" s="59" t="s">
        <v>192</v>
      </c>
      <c r="H622" s="55">
        <v>46173</v>
      </c>
      <c r="I622" s="56" t="s">
        <v>192</v>
      </c>
      <c r="J622" s="57">
        <v>0</v>
      </c>
      <c r="K622" s="58" t="s">
        <v>937</v>
      </c>
    </row>
    <row r="623" spans="1:11" ht="51">
      <c r="A623" s="52" t="s">
        <v>380</v>
      </c>
      <c r="B623" s="53" t="s">
        <v>308</v>
      </c>
      <c r="C623" s="53" t="s">
        <v>309</v>
      </c>
      <c r="D623" s="54" t="str">
        <f>_xlfn.XLOOKUP(E623,Organograma!H:H,Organograma!G:G,"")</f>
        <v>Diretoria Geral</v>
      </c>
      <c r="E623" s="54" t="s">
        <v>222</v>
      </c>
      <c r="F623" s="55">
        <v>46025</v>
      </c>
      <c r="G623" s="59" t="s">
        <v>192</v>
      </c>
      <c r="H623" s="55">
        <v>46173</v>
      </c>
      <c r="I623" s="56" t="s">
        <v>192</v>
      </c>
      <c r="J623" s="57">
        <v>0</v>
      </c>
      <c r="K623" s="58" t="s">
        <v>937</v>
      </c>
    </row>
    <row r="624" spans="1:11" ht="51">
      <c r="A624" s="52" t="s">
        <v>381</v>
      </c>
      <c r="B624" s="53" t="s">
        <v>308</v>
      </c>
      <c r="C624" s="53" t="s">
        <v>309</v>
      </c>
      <c r="D624" s="54" t="str">
        <f>_xlfn.XLOOKUP(E624,Organograma!H:H,Organograma!G:G,"")</f>
        <v>Diretoria Geral</v>
      </c>
      <c r="E624" s="54" t="s">
        <v>222</v>
      </c>
      <c r="F624" s="55">
        <v>46025</v>
      </c>
      <c r="G624" s="59" t="s">
        <v>192</v>
      </c>
      <c r="H624" s="55">
        <v>46173</v>
      </c>
      <c r="I624" s="56" t="s">
        <v>192</v>
      </c>
      <c r="J624" s="57">
        <v>0</v>
      </c>
      <c r="K624" s="58" t="s">
        <v>937</v>
      </c>
    </row>
    <row r="625" spans="1:11" ht="51">
      <c r="A625" s="52" t="s">
        <v>382</v>
      </c>
      <c r="B625" s="53" t="s">
        <v>308</v>
      </c>
      <c r="C625" s="53" t="s">
        <v>309</v>
      </c>
      <c r="D625" s="54" t="str">
        <f>_xlfn.XLOOKUP(E625,Organograma!H:H,Organograma!G:G,"")</f>
        <v>Diretoria Geral</v>
      </c>
      <c r="E625" s="54" t="s">
        <v>222</v>
      </c>
      <c r="F625" s="55">
        <v>46025</v>
      </c>
      <c r="G625" s="59" t="s">
        <v>192</v>
      </c>
      <c r="H625" s="55">
        <v>46173</v>
      </c>
      <c r="I625" s="56" t="s">
        <v>192</v>
      </c>
      <c r="J625" s="57">
        <v>0</v>
      </c>
      <c r="K625" s="58" t="s">
        <v>937</v>
      </c>
    </row>
    <row r="626" spans="1:11" ht="51">
      <c r="A626" s="52" t="s">
        <v>383</v>
      </c>
      <c r="B626" s="53" t="s">
        <v>308</v>
      </c>
      <c r="C626" s="53" t="s">
        <v>309</v>
      </c>
      <c r="D626" s="54" t="str">
        <f>_xlfn.XLOOKUP(E626,Organograma!H:H,Organograma!G:G,"")</f>
        <v>Diretoria Geral</v>
      </c>
      <c r="E626" s="54" t="s">
        <v>222</v>
      </c>
      <c r="F626" s="55">
        <v>46025</v>
      </c>
      <c r="G626" s="59" t="s">
        <v>192</v>
      </c>
      <c r="H626" s="55">
        <v>46173</v>
      </c>
      <c r="I626" s="56" t="s">
        <v>192</v>
      </c>
      <c r="J626" s="57">
        <v>0</v>
      </c>
      <c r="K626" s="58" t="s">
        <v>937</v>
      </c>
    </row>
    <row r="627" spans="1:11" ht="51">
      <c r="A627" s="52" t="s">
        <v>384</v>
      </c>
      <c r="B627" s="53" t="s">
        <v>308</v>
      </c>
      <c r="C627" s="53" t="s">
        <v>309</v>
      </c>
      <c r="D627" s="54" t="str">
        <f>_xlfn.XLOOKUP(E627,Organograma!H:H,Organograma!G:G,"")</f>
        <v>Diretoria Geral</v>
      </c>
      <c r="E627" s="54" t="s">
        <v>222</v>
      </c>
      <c r="F627" s="55">
        <v>46025</v>
      </c>
      <c r="G627" s="59" t="s">
        <v>192</v>
      </c>
      <c r="H627" s="55">
        <v>46173</v>
      </c>
      <c r="I627" s="56" t="s">
        <v>192</v>
      </c>
      <c r="J627" s="57">
        <v>0</v>
      </c>
      <c r="K627" s="58" t="s">
        <v>937</v>
      </c>
    </row>
    <row r="628" spans="1:11" ht="38.25">
      <c r="A628" s="52" t="s">
        <v>385</v>
      </c>
      <c r="B628" s="53" t="s">
        <v>386</v>
      </c>
      <c r="C628" s="53" t="s">
        <v>309</v>
      </c>
      <c r="D628" s="54" t="str">
        <f>_xlfn.XLOOKUP(E628,Organograma!H:H,Organograma!G:G,"")</f>
        <v>Diretoria Geral</v>
      </c>
      <c r="E628" s="54" t="s">
        <v>222</v>
      </c>
      <c r="F628" s="55">
        <v>46025</v>
      </c>
      <c r="G628" s="59" t="s">
        <v>192</v>
      </c>
      <c r="H628" s="55">
        <v>46173</v>
      </c>
      <c r="I628" s="56" t="s">
        <v>192</v>
      </c>
      <c r="J628" s="57">
        <v>0</v>
      </c>
      <c r="K628" s="58" t="s">
        <v>937</v>
      </c>
    </row>
    <row r="629" spans="1:11" ht="51">
      <c r="A629" s="52" t="s">
        <v>387</v>
      </c>
      <c r="B629" s="53" t="s">
        <v>386</v>
      </c>
      <c r="C629" s="53" t="s">
        <v>309</v>
      </c>
      <c r="D629" s="54" t="str">
        <f>_xlfn.XLOOKUP(E629,Organograma!H:H,Organograma!G:G,"")</f>
        <v>Diretoria Geral</v>
      </c>
      <c r="E629" s="54" t="s">
        <v>222</v>
      </c>
      <c r="F629" s="55">
        <v>46025</v>
      </c>
      <c r="G629" s="59" t="s">
        <v>192</v>
      </c>
      <c r="H629" s="55">
        <v>46173</v>
      </c>
      <c r="I629" s="56" t="s">
        <v>192</v>
      </c>
      <c r="J629" s="57">
        <v>0</v>
      </c>
      <c r="K629" s="58" t="s">
        <v>937</v>
      </c>
    </row>
    <row r="630" spans="1:11" ht="38.25">
      <c r="A630" s="52" t="s">
        <v>388</v>
      </c>
      <c r="B630" s="53" t="s">
        <v>386</v>
      </c>
      <c r="C630" s="53" t="s">
        <v>309</v>
      </c>
      <c r="D630" s="54" t="str">
        <f>_xlfn.XLOOKUP(E630,Organograma!H:H,Organograma!G:G,"")</f>
        <v>Diretoria Geral</v>
      </c>
      <c r="E630" s="54" t="s">
        <v>222</v>
      </c>
      <c r="F630" s="55">
        <v>46025</v>
      </c>
      <c r="G630" s="59" t="s">
        <v>192</v>
      </c>
      <c r="H630" s="55">
        <v>46173</v>
      </c>
      <c r="I630" s="56" t="s">
        <v>192</v>
      </c>
      <c r="J630" s="57">
        <v>0</v>
      </c>
      <c r="K630" s="58" t="s">
        <v>937</v>
      </c>
    </row>
    <row r="631" spans="1:11" ht="51">
      <c r="A631" s="52" t="s">
        <v>389</v>
      </c>
      <c r="B631" s="53" t="s">
        <v>386</v>
      </c>
      <c r="C631" s="53" t="s">
        <v>309</v>
      </c>
      <c r="D631" s="54" t="str">
        <f>_xlfn.XLOOKUP(E631,Organograma!H:H,Organograma!G:G,"")</f>
        <v>Diretoria Geral</v>
      </c>
      <c r="E631" s="54" t="s">
        <v>222</v>
      </c>
      <c r="F631" s="55">
        <v>46025</v>
      </c>
      <c r="G631" s="59" t="s">
        <v>192</v>
      </c>
      <c r="H631" s="55">
        <v>46173</v>
      </c>
      <c r="I631" s="56" t="s">
        <v>192</v>
      </c>
      <c r="J631" s="57">
        <v>0</v>
      </c>
      <c r="K631" s="58" t="s">
        <v>937</v>
      </c>
    </row>
    <row r="632" spans="1:11" ht="38.25">
      <c r="A632" s="52" t="s">
        <v>390</v>
      </c>
      <c r="B632" s="53" t="s">
        <v>386</v>
      </c>
      <c r="C632" s="53" t="s">
        <v>309</v>
      </c>
      <c r="D632" s="54" t="str">
        <f>_xlfn.XLOOKUP(E632,Organograma!H:H,Organograma!G:G,"")</f>
        <v>Diretoria Geral</v>
      </c>
      <c r="E632" s="54" t="s">
        <v>222</v>
      </c>
      <c r="F632" s="55">
        <v>46025</v>
      </c>
      <c r="G632" s="59" t="s">
        <v>192</v>
      </c>
      <c r="H632" s="55">
        <v>46173</v>
      </c>
      <c r="I632" s="56" t="s">
        <v>192</v>
      </c>
      <c r="J632" s="57">
        <v>0</v>
      </c>
      <c r="K632" s="58" t="s">
        <v>937</v>
      </c>
    </row>
    <row r="633" spans="1:11" ht="51">
      <c r="A633" s="52" t="s">
        <v>391</v>
      </c>
      <c r="B633" s="53" t="s">
        <v>386</v>
      </c>
      <c r="C633" s="53" t="s">
        <v>309</v>
      </c>
      <c r="D633" s="54" t="str">
        <f>_xlfn.XLOOKUP(E633,Organograma!H:H,Organograma!G:G,"")</f>
        <v>Diretoria Geral</v>
      </c>
      <c r="E633" s="54" t="s">
        <v>222</v>
      </c>
      <c r="F633" s="55">
        <v>46025</v>
      </c>
      <c r="G633" s="59" t="s">
        <v>192</v>
      </c>
      <c r="H633" s="55">
        <v>46173</v>
      </c>
      <c r="I633" s="56" t="s">
        <v>192</v>
      </c>
      <c r="J633" s="57">
        <v>0</v>
      </c>
      <c r="K633" s="58" t="s">
        <v>937</v>
      </c>
    </row>
    <row r="634" spans="1:11" ht="51">
      <c r="A634" s="52" t="s">
        <v>392</v>
      </c>
      <c r="B634" s="53" t="s">
        <v>386</v>
      </c>
      <c r="C634" s="53" t="s">
        <v>309</v>
      </c>
      <c r="D634" s="54" t="str">
        <f>_xlfn.XLOOKUP(E634,Organograma!H:H,Organograma!G:G,"")</f>
        <v>Diretoria Geral</v>
      </c>
      <c r="E634" s="54" t="s">
        <v>222</v>
      </c>
      <c r="F634" s="55">
        <v>46025</v>
      </c>
      <c r="G634" s="59" t="s">
        <v>192</v>
      </c>
      <c r="H634" s="55">
        <v>46173</v>
      </c>
      <c r="I634" s="56" t="s">
        <v>192</v>
      </c>
      <c r="J634" s="57">
        <v>0</v>
      </c>
      <c r="K634" s="58" t="s">
        <v>937</v>
      </c>
    </row>
    <row r="635" spans="1:11" ht="38.25">
      <c r="A635" s="52" t="s">
        <v>393</v>
      </c>
      <c r="B635" s="53" t="s">
        <v>394</v>
      </c>
      <c r="C635" s="53" t="s">
        <v>309</v>
      </c>
      <c r="D635" s="54" t="str">
        <f>_xlfn.XLOOKUP(E635,Organograma!H:H,Organograma!G:G,"")</f>
        <v>Diretoria Geral</v>
      </c>
      <c r="E635" s="54" t="s">
        <v>222</v>
      </c>
      <c r="F635" s="55">
        <v>46025</v>
      </c>
      <c r="G635" s="59" t="s">
        <v>192</v>
      </c>
      <c r="H635" s="55">
        <v>46173</v>
      </c>
      <c r="I635" s="56" t="s">
        <v>192</v>
      </c>
      <c r="J635" s="57">
        <v>0</v>
      </c>
      <c r="K635" s="58" t="s">
        <v>937</v>
      </c>
    </row>
    <row r="636" spans="1:11" ht="38.25">
      <c r="A636" s="52" t="s">
        <v>395</v>
      </c>
      <c r="B636" s="53" t="s">
        <v>394</v>
      </c>
      <c r="C636" s="53" t="s">
        <v>309</v>
      </c>
      <c r="D636" s="54" t="str">
        <f>_xlfn.XLOOKUP(E636,Organograma!H:H,Organograma!G:G,"")</f>
        <v>Diretoria Geral</v>
      </c>
      <c r="E636" s="54" t="s">
        <v>222</v>
      </c>
      <c r="F636" s="55">
        <v>46025</v>
      </c>
      <c r="G636" s="59" t="s">
        <v>192</v>
      </c>
      <c r="H636" s="55">
        <v>46173</v>
      </c>
      <c r="I636" s="56" t="s">
        <v>192</v>
      </c>
      <c r="J636" s="57">
        <v>0</v>
      </c>
      <c r="K636" s="58" t="s">
        <v>937</v>
      </c>
    </row>
    <row r="637" spans="1:11" ht="25.5">
      <c r="A637" s="52" t="s">
        <v>396</v>
      </c>
      <c r="B637" s="53" t="s">
        <v>394</v>
      </c>
      <c r="C637" s="53" t="s">
        <v>309</v>
      </c>
      <c r="D637" s="54" t="str">
        <f>_xlfn.XLOOKUP(E637,Organograma!H:H,Organograma!G:G,"")</f>
        <v>Diretoria Geral</v>
      </c>
      <c r="E637" s="54" t="s">
        <v>222</v>
      </c>
      <c r="F637" s="55">
        <v>46025</v>
      </c>
      <c r="G637" s="59" t="s">
        <v>192</v>
      </c>
      <c r="H637" s="55">
        <v>46173</v>
      </c>
      <c r="I637" s="56" t="s">
        <v>192</v>
      </c>
      <c r="J637" s="57">
        <v>0</v>
      </c>
      <c r="K637" s="58" t="s">
        <v>937</v>
      </c>
    </row>
    <row r="638" spans="1:11" ht="51">
      <c r="A638" s="52" t="s">
        <v>397</v>
      </c>
      <c r="B638" s="53" t="s">
        <v>394</v>
      </c>
      <c r="C638" s="53" t="s">
        <v>309</v>
      </c>
      <c r="D638" s="54" t="str">
        <f>_xlfn.XLOOKUP(E638,Organograma!H:H,Organograma!G:G,"")</f>
        <v>Diretoria Geral</v>
      </c>
      <c r="E638" s="54" t="s">
        <v>222</v>
      </c>
      <c r="F638" s="55">
        <v>46025</v>
      </c>
      <c r="G638" s="59" t="s">
        <v>192</v>
      </c>
      <c r="H638" s="55">
        <v>46173</v>
      </c>
      <c r="I638" s="56" t="s">
        <v>192</v>
      </c>
      <c r="J638" s="57">
        <v>0</v>
      </c>
      <c r="K638" s="58" t="s">
        <v>937</v>
      </c>
    </row>
    <row r="639" spans="1:11" ht="51">
      <c r="A639" s="52" t="s">
        <v>398</v>
      </c>
      <c r="B639" s="53" t="s">
        <v>394</v>
      </c>
      <c r="C639" s="53" t="s">
        <v>309</v>
      </c>
      <c r="D639" s="54" t="str">
        <f>_xlfn.XLOOKUP(E639,Organograma!H:H,Organograma!G:G,"")</f>
        <v>Diretoria Geral</v>
      </c>
      <c r="E639" s="54" t="s">
        <v>222</v>
      </c>
      <c r="F639" s="55">
        <v>46025</v>
      </c>
      <c r="G639" s="59" t="s">
        <v>192</v>
      </c>
      <c r="H639" s="55">
        <v>46173</v>
      </c>
      <c r="I639" s="56" t="s">
        <v>192</v>
      </c>
      <c r="J639" s="57">
        <v>0</v>
      </c>
      <c r="K639" s="58" t="s">
        <v>937</v>
      </c>
    </row>
    <row r="640" spans="1:11" ht="51">
      <c r="A640" s="52" t="s">
        <v>399</v>
      </c>
      <c r="B640" s="53" t="s">
        <v>394</v>
      </c>
      <c r="C640" s="53" t="s">
        <v>309</v>
      </c>
      <c r="D640" s="54" t="str">
        <f>_xlfn.XLOOKUP(E640,Organograma!H:H,Organograma!G:G,"")</f>
        <v>Diretoria Geral</v>
      </c>
      <c r="E640" s="54" t="s">
        <v>222</v>
      </c>
      <c r="F640" s="55">
        <v>46025</v>
      </c>
      <c r="G640" s="59" t="s">
        <v>192</v>
      </c>
      <c r="H640" s="55">
        <v>46173</v>
      </c>
      <c r="I640" s="56" t="s">
        <v>192</v>
      </c>
      <c r="J640" s="57">
        <v>0</v>
      </c>
      <c r="K640" s="58" t="s">
        <v>937</v>
      </c>
    </row>
    <row r="641" spans="1:11" ht="51">
      <c r="A641" s="52" t="s">
        <v>400</v>
      </c>
      <c r="B641" s="53" t="s">
        <v>394</v>
      </c>
      <c r="C641" s="53" t="s">
        <v>309</v>
      </c>
      <c r="D641" s="54" t="str">
        <f>_xlfn.XLOOKUP(E641,Organograma!H:H,Organograma!G:G,"")</f>
        <v>Diretoria Geral</v>
      </c>
      <c r="E641" s="54" t="s">
        <v>222</v>
      </c>
      <c r="F641" s="55">
        <v>46025</v>
      </c>
      <c r="G641" s="59" t="s">
        <v>192</v>
      </c>
      <c r="H641" s="55">
        <v>46173</v>
      </c>
      <c r="I641" s="56" t="s">
        <v>192</v>
      </c>
      <c r="J641" s="57">
        <v>0</v>
      </c>
      <c r="K641" s="58" t="s">
        <v>937</v>
      </c>
    </row>
    <row r="642" spans="1:11" ht="51">
      <c r="A642" s="52" t="s">
        <v>401</v>
      </c>
      <c r="B642" s="53" t="s">
        <v>394</v>
      </c>
      <c r="C642" s="53" t="s">
        <v>309</v>
      </c>
      <c r="D642" s="54" t="str">
        <f>_xlfn.XLOOKUP(E642,Organograma!H:H,Organograma!G:G,"")</f>
        <v>Diretoria Geral</v>
      </c>
      <c r="E642" s="54" t="s">
        <v>222</v>
      </c>
      <c r="F642" s="55">
        <v>46025</v>
      </c>
      <c r="G642" s="59" t="s">
        <v>192</v>
      </c>
      <c r="H642" s="55">
        <v>46173</v>
      </c>
      <c r="I642" s="56" t="s">
        <v>192</v>
      </c>
      <c r="J642" s="57">
        <v>0</v>
      </c>
      <c r="K642" s="58" t="s">
        <v>937</v>
      </c>
    </row>
    <row r="643" spans="1:11" ht="51">
      <c r="A643" s="52" t="s">
        <v>402</v>
      </c>
      <c r="B643" s="53" t="s">
        <v>394</v>
      </c>
      <c r="C643" s="53" t="s">
        <v>309</v>
      </c>
      <c r="D643" s="54" t="str">
        <f>_xlfn.XLOOKUP(E643,Organograma!H:H,Organograma!G:G,"")</f>
        <v>Diretoria Geral</v>
      </c>
      <c r="E643" s="54" t="s">
        <v>222</v>
      </c>
      <c r="F643" s="55">
        <v>46025</v>
      </c>
      <c r="G643" s="59" t="s">
        <v>192</v>
      </c>
      <c r="H643" s="55">
        <v>46173</v>
      </c>
      <c r="I643" s="56" t="s">
        <v>192</v>
      </c>
      <c r="J643" s="57">
        <v>0</v>
      </c>
      <c r="K643" s="58" t="s">
        <v>937</v>
      </c>
    </row>
    <row r="644" spans="1:11" ht="38.25">
      <c r="A644" s="52" t="s">
        <v>403</v>
      </c>
      <c r="B644" s="53" t="s">
        <v>394</v>
      </c>
      <c r="C644" s="53" t="s">
        <v>309</v>
      </c>
      <c r="D644" s="54" t="str">
        <f>_xlfn.XLOOKUP(E644,Organograma!H:H,Organograma!G:G,"")</f>
        <v>Diretoria Geral</v>
      </c>
      <c r="E644" s="54" t="s">
        <v>222</v>
      </c>
      <c r="F644" s="55">
        <v>46025</v>
      </c>
      <c r="G644" s="59" t="s">
        <v>192</v>
      </c>
      <c r="H644" s="55">
        <v>46173</v>
      </c>
      <c r="I644" s="56" t="s">
        <v>192</v>
      </c>
      <c r="J644" s="57">
        <v>0</v>
      </c>
      <c r="K644" s="58" t="s">
        <v>937</v>
      </c>
    </row>
    <row r="645" spans="1:11" ht="38.25">
      <c r="A645" s="52" t="s">
        <v>449</v>
      </c>
      <c r="B645" s="53" t="s">
        <v>439</v>
      </c>
      <c r="C645" s="53" t="s">
        <v>309</v>
      </c>
      <c r="D645" s="54" t="str">
        <f>_xlfn.XLOOKUP(E645,Organograma!H:H,Organograma!G:G,"")</f>
        <v>Diretoria Geral</v>
      </c>
      <c r="E645" s="54" t="s">
        <v>222</v>
      </c>
      <c r="F645" s="55">
        <v>46025</v>
      </c>
      <c r="G645" s="59" t="s">
        <v>192</v>
      </c>
      <c r="H645" s="55">
        <v>46173</v>
      </c>
      <c r="I645" s="56" t="s">
        <v>192</v>
      </c>
      <c r="J645" s="57">
        <v>0</v>
      </c>
      <c r="K645" s="58" t="s">
        <v>937</v>
      </c>
    </row>
    <row r="646" spans="1:11" ht="38.25">
      <c r="A646" s="52" t="s">
        <v>451</v>
      </c>
      <c r="B646" s="53" t="s">
        <v>439</v>
      </c>
      <c r="C646" s="53" t="s">
        <v>309</v>
      </c>
      <c r="D646" s="54" t="str">
        <f>_xlfn.XLOOKUP(E646,Organograma!H:H,Organograma!G:G,"")</f>
        <v>Diretoria Geral</v>
      </c>
      <c r="E646" s="54" t="s">
        <v>222</v>
      </c>
      <c r="F646" s="55">
        <v>46025</v>
      </c>
      <c r="G646" s="59" t="s">
        <v>192</v>
      </c>
      <c r="H646" s="55">
        <v>46173</v>
      </c>
      <c r="I646" s="56" t="s">
        <v>192</v>
      </c>
      <c r="J646" s="57">
        <v>0</v>
      </c>
      <c r="K646" s="58" t="s">
        <v>937</v>
      </c>
    </row>
    <row r="647" spans="1:11" ht="38.25">
      <c r="A647" s="52" t="s">
        <v>463</v>
      </c>
      <c r="B647" s="53" t="s">
        <v>439</v>
      </c>
      <c r="C647" s="53" t="s">
        <v>309</v>
      </c>
      <c r="D647" s="54" t="str">
        <f>_xlfn.XLOOKUP(E647,Organograma!H:H,Organograma!G:G,"")</f>
        <v>Diretoria Geral</v>
      </c>
      <c r="E647" s="54" t="s">
        <v>222</v>
      </c>
      <c r="F647" s="55">
        <v>46025</v>
      </c>
      <c r="G647" s="59" t="s">
        <v>192</v>
      </c>
      <c r="H647" s="55">
        <v>46173</v>
      </c>
      <c r="I647" s="56" t="s">
        <v>192</v>
      </c>
      <c r="J647" s="57">
        <v>0</v>
      </c>
      <c r="K647" s="58" t="s">
        <v>937</v>
      </c>
    </row>
  </sheetData>
  <autoFilter ref="A1:K647" xr:uid="{C8ABCDFC-D166-470A-9BA3-18AB8672B2D0}">
    <sortState xmlns:xlrd2="http://schemas.microsoft.com/office/spreadsheetml/2017/richdata2" ref="A2:K647">
      <sortCondition ref="E1:E647"/>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1319C-7274-44C5-84A6-40A94B05402F}">
  <dimension ref="A1:G898"/>
  <sheetViews>
    <sheetView workbookViewId="0">
      <selection activeCell="C615" sqref="C615"/>
    </sheetView>
  </sheetViews>
  <sheetFormatPr defaultRowHeight="15"/>
  <cols>
    <col min="1" max="1" width="27.5703125" style="33" bestFit="1" customWidth="1"/>
    <col min="2" max="2" width="91.42578125" style="33" customWidth="1"/>
    <col min="3" max="3" width="19.7109375" style="33" customWidth="1"/>
    <col min="4" max="4" width="38.7109375" style="33" bestFit="1" customWidth="1"/>
    <col min="5" max="5" width="63" style="33" bestFit="1" customWidth="1"/>
    <col min="6" max="7" width="19.85546875" style="33" customWidth="1"/>
    <col min="8" max="16384" width="9.140625" style="33"/>
  </cols>
  <sheetData>
    <row r="1" spans="1:7" s="32" customFormat="1">
      <c r="A1" s="45" t="s">
        <v>1423</v>
      </c>
      <c r="B1" s="45" t="s">
        <v>939</v>
      </c>
      <c r="C1" s="45" t="s">
        <v>198</v>
      </c>
      <c r="D1" s="45" t="s">
        <v>941</v>
      </c>
      <c r="E1" s="45" t="s">
        <v>191</v>
      </c>
      <c r="F1" s="46" t="s">
        <v>1424</v>
      </c>
      <c r="G1" s="45" t="s">
        <v>940</v>
      </c>
    </row>
    <row r="2" spans="1:7">
      <c r="A2" s="35" t="s">
        <v>942</v>
      </c>
      <c r="B2" s="35" t="s">
        <v>948</v>
      </c>
      <c r="C2" s="35" t="s">
        <v>1422</v>
      </c>
      <c r="D2" s="35" t="str">
        <f>_xlfn.XLOOKUP(E2,Organograma!G:G,Organograma!H:H,"")</f>
        <v>Madson de Souza Santos</v>
      </c>
      <c r="E2" s="35" t="s">
        <v>107</v>
      </c>
      <c r="F2" s="36" t="s">
        <v>945</v>
      </c>
      <c r="G2" s="35" t="s">
        <v>949</v>
      </c>
    </row>
    <row r="3" spans="1:7">
      <c r="A3" s="35" t="s">
        <v>1149</v>
      </c>
      <c r="B3" s="35" t="s">
        <v>948</v>
      </c>
      <c r="C3" s="35" t="s">
        <v>1422</v>
      </c>
      <c r="D3" s="35" t="str">
        <f>_xlfn.XLOOKUP(E3,Organograma!G:G,Organograma!H:H,"")</f>
        <v>Madson de Souza Santos</v>
      </c>
      <c r="E3" s="35" t="s">
        <v>107</v>
      </c>
      <c r="F3" s="36" t="s">
        <v>1152</v>
      </c>
      <c r="G3" s="35" t="s">
        <v>1155</v>
      </c>
    </row>
    <row r="4" spans="1:7">
      <c r="A4" s="35" t="s">
        <v>942</v>
      </c>
      <c r="B4" s="35" t="s">
        <v>943</v>
      </c>
      <c r="C4" s="35" t="s">
        <v>1422</v>
      </c>
      <c r="D4" s="35" t="str">
        <f>_xlfn.XLOOKUP(E4,Organograma!G:G,Organograma!H:H,"")</f>
        <v>Madson de Souza Santos</v>
      </c>
      <c r="E4" s="35" t="s">
        <v>107</v>
      </c>
      <c r="F4" s="36" t="s">
        <v>945</v>
      </c>
      <c r="G4" s="35" t="s">
        <v>944</v>
      </c>
    </row>
    <row r="5" spans="1:7">
      <c r="A5" s="35" t="s">
        <v>1149</v>
      </c>
      <c r="B5" s="35" t="s">
        <v>943</v>
      </c>
      <c r="C5" s="35" t="s">
        <v>1422</v>
      </c>
      <c r="D5" s="35" t="str">
        <f>_xlfn.XLOOKUP(E5,Organograma!G:G,Organograma!H:H,"")</f>
        <v>Madson de Souza Santos</v>
      </c>
      <c r="E5" s="35" t="s">
        <v>107</v>
      </c>
      <c r="F5" s="36" t="s">
        <v>1152</v>
      </c>
      <c r="G5" s="35" t="s">
        <v>1153</v>
      </c>
    </row>
    <row r="6" spans="1:7">
      <c r="A6" s="35" t="s">
        <v>942</v>
      </c>
      <c r="B6" s="35" t="s">
        <v>946</v>
      </c>
      <c r="C6" s="35" t="s">
        <v>1422</v>
      </c>
      <c r="D6" s="35" t="str">
        <f>_xlfn.XLOOKUP(E6,Organograma!G:G,Organograma!H:H,"")</f>
        <v>Madson de Souza Santos</v>
      </c>
      <c r="E6" s="35" t="s">
        <v>107</v>
      </c>
      <c r="F6" s="36" t="s">
        <v>945</v>
      </c>
      <c r="G6" s="35" t="s">
        <v>947</v>
      </c>
    </row>
    <row r="7" spans="1:7">
      <c r="A7" s="35" t="s">
        <v>1149</v>
      </c>
      <c r="B7" s="35" t="s">
        <v>946</v>
      </c>
      <c r="C7" s="35" t="s">
        <v>1422</v>
      </c>
      <c r="D7" s="35" t="str">
        <f>_xlfn.XLOOKUP(E7,Organograma!G:G,Organograma!H:H,"")</f>
        <v>Madson de Souza Santos</v>
      </c>
      <c r="E7" s="35" t="s">
        <v>107</v>
      </c>
      <c r="F7" s="36" t="s">
        <v>1152</v>
      </c>
      <c r="G7" s="35" t="s">
        <v>1154</v>
      </c>
    </row>
    <row r="8" spans="1:7">
      <c r="A8" s="35" t="s">
        <v>1149</v>
      </c>
      <c r="B8" s="35" t="s">
        <v>1150</v>
      </c>
      <c r="C8" s="35" t="s">
        <v>1422</v>
      </c>
      <c r="D8" s="35" t="str">
        <f>_xlfn.XLOOKUP(E8,Organograma!G:G,Organograma!H:H,"")</f>
        <v>Madson de Souza Santos</v>
      </c>
      <c r="E8" s="35" t="s">
        <v>107</v>
      </c>
      <c r="F8" s="36" t="s">
        <v>1152</v>
      </c>
      <c r="G8" s="35" t="s">
        <v>1151</v>
      </c>
    </row>
    <row r="9" spans="1:7">
      <c r="A9" s="35" t="s">
        <v>1149</v>
      </c>
      <c r="B9" s="35" t="s">
        <v>1346</v>
      </c>
      <c r="C9" s="35" t="s">
        <v>1422</v>
      </c>
      <c r="D9" s="35" t="str">
        <f>_xlfn.XLOOKUP(E9,Organograma!G:G,Organograma!H:H,"")</f>
        <v>Camila Amanda Cardoso dos Santos</v>
      </c>
      <c r="E9" s="35" t="s">
        <v>58</v>
      </c>
      <c r="F9" s="36" t="s">
        <v>1206</v>
      </c>
      <c r="G9" s="35" t="s">
        <v>1347</v>
      </c>
    </row>
    <row r="10" spans="1:7">
      <c r="A10" s="35" t="s">
        <v>1149</v>
      </c>
      <c r="B10" s="35" t="s">
        <v>1454</v>
      </c>
      <c r="C10" s="35" t="s">
        <v>1422</v>
      </c>
      <c r="D10" s="35" t="str">
        <f>_xlfn.XLOOKUP(E10,Organograma!G:G,Organograma!H:H,"")</f>
        <v>Camila Amanda Cardoso dos Santos</v>
      </c>
      <c r="E10" s="35" t="s">
        <v>58</v>
      </c>
      <c r="F10" s="36" t="s">
        <v>1206</v>
      </c>
      <c r="G10" s="35" t="s">
        <v>1345</v>
      </c>
    </row>
    <row r="11" spans="1:7">
      <c r="A11" s="35" t="s">
        <v>1149</v>
      </c>
      <c r="B11" s="35" t="s">
        <v>1367</v>
      </c>
      <c r="C11" s="35" t="s">
        <v>1422</v>
      </c>
      <c r="D11" s="35" t="str">
        <f>_xlfn.XLOOKUP(E11,Organograma!G:G,Organograma!H:H,"")</f>
        <v>Camila Amanda Cardoso dos Santos</v>
      </c>
      <c r="E11" s="35" t="s">
        <v>59</v>
      </c>
      <c r="F11" s="36" t="s">
        <v>1206</v>
      </c>
      <c r="G11" s="35" t="s">
        <v>1368</v>
      </c>
    </row>
    <row r="12" spans="1:7">
      <c r="A12" s="35" t="s">
        <v>942</v>
      </c>
      <c r="B12" s="35" t="s">
        <v>1126</v>
      </c>
      <c r="C12" s="35" t="s">
        <v>1422</v>
      </c>
      <c r="D12" s="35" t="str">
        <f>_xlfn.XLOOKUP(E12,Organograma!G:G,Organograma!H:H,"")</f>
        <v>Camila Amanda Cardoso dos Santos</v>
      </c>
      <c r="E12" s="35" t="s">
        <v>59</v>
      </c>
      <c r="F12" s="36" t="s">
        <v>945</v>
      </c>
      <c r="G12" s="35" t="s">
        <v>1127</v>
      </c>
    </row>
    <row r="13" spans="1:7">
      <c r="A13" s="35" t="s">
        <v>942</v>
      </c>
      <c r="B13" s="35" t="s">
        <v>1030</v>
      </c>
      <c r="C13" s="35" t="s">
        <v>1422</v>
      </c>
      <c r="D13" s="35" t="str">
        <f>_xlfn.XLOOKUP(E13,Organograma!G:G,Organograma!H:H,"")</f>
        <v>Janaina Bernardes Ayer</v>
      </c>
      <c r="E13" s="35" t="s">
        <v>75</v>
      </c>
      <c r="F13" s="36" t="s">
        <v>945</v>
      </c>
      <c r="G13" s="35" t="s">
        <v>1031</v>
      </c>
    </row>
    <row r="14" spans="1:7">
      <c r="A14" s="35" t="s">
        <v>1149</v>
      </c>
      <c r="B14" s="35" t="s">
        <v>1030</v>
      </c>
      <c r="C14" s="35" t="s">
        <v>1422</v>
      </c>
      <c r="D14" s="35" t="str">
        <f>_xlfn.XLOOKUP(E14,Organograma!G:G,Organograma!H:H,"")</f>
        <v>Janaina Bernardes Ayer</v>
      </c>
      <c r="E14" s="35" t="s">
        <v>75</v>
      </c>
      <c r="F14" s="36" t="s">
        <v>1206</v>
      </c>
      <c r="G14" s="35" t="s">
        <v>1255</v>
      </c>
    </row>
    <row r="15" spans="1:7">
      <c r="A15" s="35" t="s">
        <v>942</v>
      </c>
      <c r="B15" s="35" t="s">
        <v>1032</v>
      </c>
      <c r="C15" s="35" t="s">
        <v>1422</v>
      </c>
      <c r="D15" s="35" t="str">
        <f>_xlfn.XLOOKUP(E15,Organograma!G:G,Organograma!H:H,"")</f>
        <v>Janaina Bernardes Ayer</v>
      </c>
      <c r="E15" s="35" t="s">
        <v>75</v>
      </c>
      <c r="F15" s="36" t="s">
        <v>945</v>
      </c>
      <c r="G15" s="35" t="s">
        <v>1033</v>
      </c>
    </row>
    <row r="16" spans="1:7">
      <c r="A16" s="35" t="s">
        <v>1149</v>
      </c>
      <c r="B16" s="35" t="s">
        <v>1032</v>
      </c>
      <c r="C16" s="35" t="s">
        <v>1422</v>
      </c>
      <c r="D16" s="35" t="str">
        <f>_xlfn.XLOOKUP(E16,Organograma!G:G,Organograma!H:H,"")</f>
        <v>Janaina Bernardes Ayer</v>
      </c>
      <c r="E16" s="35" t="s">
        <v>75</v>
      </c>
      <c r="F16" s="36" t="s">
        <v>1206</v>
      </c>
      <c r="G16" s="35" t="s">
        <v>1256</v>
      </c>
    </row>
    <row r="17" spans="1:7">
      <c r="A17" s="35" t="s">
        <v>942</v>
      </c>
      <c r="B17" s="35" t="s">
        <v>1034</v>
      </c>
      <c r="C17" s="35" t="s">
        <v>1422</v>
      </c>
      <c r="D17" s="35" t="str">
        <f>_xlfn.XLOOKUP(E17,Organograma!G:G,Organograma!H:H,"")</f>
        <v>Janaina Bernardes Ayer</v>
      </c>
      <c r="E17" s="35" t="s">
        <v>75</v>
      </c>
      <c r="F17" s="36" t="s">
        <v>945</v>
      </c>
      <c r="G17" s="35" t="s">
        <v>1035</v>
      </c>
    </row>
    <row r="18" spans="1:7">
      <c r="A18" s="35" t="s">
        <v>1149</v>
      </c>
      <c r="B18" s="35" t="s">
        <v>1034</v>
      </c>
      <c r="C18" s="35" t="s">
        <v>1422</v>
      </c>
      <c r="D18" s="35" t="str">
        <f>_xlfn.XLOOKUP(E18,Organograma!G:G,Organograma!H:H,"")</f>
        <v>Janaina Bernardes Ayer</v>
      </c>
      <c r="E18" s="35" t="s">
        <v>75</v>
      </c>
      <c r="F18" s="36" t="s">
        <v>1206</v>
      </c>
      <c r="G18" s="35" t="s">
        <v>1257</v>
      </c>
    </row>
    <row r="19" spans="1:7">
      <c r="A19" s="35" t="s">
        <v>942</v>
      </c>
      <c r="B19" s="35" t="s">
        <v>1038</v>
      </c>
      <c r="C19" s="35" t="s">
        <v>1422</v>
      </c>
      <c r="D19" s="35" t="str">
        <f>_xlfn.XLOOKUP(E19,Organograma!G:G,Organograma!H:H,"")</f>
        <v>Janaina Bernardes Ayer</v>
      </c>
      <c r="E19" s="35" t="s">
        <v>75</v>
      </c>
      <c r="F19" s="36" t="s">
        <v>945</v>
      </c>
      <c r="G19" s="35" t="s">
        <v>1039</v>
      </c>
    </row>
    <row r="20" spans="1:7">
      <c r="A20" s="35" t="s">
        <v>1149</v>
      </c>
      <c r="B20" s="35" t="s">
        <v>1038</v>
      </c>
      <c r="C20" s="35" t="s">
        <v>1422</v>
      </c>
      <c r="D20" s="35" t="str">
        <f>_xlfn.XLOOKUP(E20,Organograma!G:G,Organograma!H:H,"")</f>
        <v>Janaina Bernardes Ayer</v>
      </c>
      <c r="E20" s="35" t="s">
        <v>75</v>
      </c>
      <c r="F20" s="36" t="s">
        <v>1206</v>
      </c>
      <c r="G20" s="35" t="s">
        <v>1259</v>
      </c>
    </row>
    <row r="21" spans="1:7">
      <c r="A21" s="35" t="s">
        <v>1149</v>
      </c>
      <c r="B21" s="35" t="s">
        <v>1260</v>
      </c>
      <c r="C21" s="35" t="s">
        <v>1422</v>
      </c>
      <c r="D21" s="35" t="str">
        <f>_xlfn.XLOOKUP(E21,Organograma!G:G,Organograma!H:H,"")</f>
        <v>Janaina Bernardes Ayer</v>
      </c>
      <c r="E21" s="35" t="s">
        <v>75</v>
      </c>
      <c r="F21" s="36" t="s">
        <v>1206</v>
      </c>
      <c r="G21" s="35" t="s">
        <v>1261</v>
      </c>
    </row>
    <row r="22" spans="1:7">
      <c r="A22" s="35" t="s">
        <v>942</v>
      </c>
      <c r="B22" s="35" t="s">
        <v>1041</v>
      </c>
      <c r="C22" s="35" t="s">
        <v>1422</v>
      </c>
      <c r="D22" s="35" t="str">
        <f>_xlfn.XLOOKUP(E22,Organograma!G:G,Organograma!H:H,"")</f>
        <v>Janaina Bernardes Ayer</v>
      </c>
      <c r="E22" s="35" t="s">
        <v>75</v>
      </c>
      <c r="F22" s="36" t="s">
        <v>945</v>
      </c>
      <c r="G22" s="35" t="s">
        <v>1042</v>
      </c>
    </row>
    <row r="23" spans="1:7">
      <c r="A23" s="35" t="s">
        <v>942</v>
      </c>
      <c r="B23" s="35" t="s">
        <v>1036</v>
      </c>
      <c r="C23" s="35" t="s">
        <v>1422</v>
      </c>
      <c r="D23" s="35" t="str">
        <f>_xlfn.XLOOKUP(E23,Organograma!G:G,Organograma!H:H,"")</f>
        <v>Janaina Bernardes Ayer</v>
      </c>
      <c r="E23" s="35" t="s">
        <v>75</v>
      </c>
      <c r="F23" s="36" t="s">
        <v>945</v>
      </c>
      <c r="G23" s="35" t="s">
        <v>1037</v>
      </c>
    </row>
    <row r="24" spans="1:7">
      <c r="A24" s="35" t="s">
        <v>942</v>
      </c>
      <c r="B24" s="35" t="s">
        <v>1427</v>
      </c>
      <c r="C24" s="35" t="s">
        <v>1422</v>
      </c>
      <c r="D24" s="35" t="str">
        <f>_xlfn.XLOOKUP(E24,Organograma!G:G,Organograma!H:H,"")</f>
        <v>Janaina Bernardes Ayer</v>
      </c>
      <c r="E24" s="35" t="s">
        <v>75</v>
      </c>
      <c r="F24" s="36" t="s">
        <v>945</v>
      </c>
      <c r="G24" s="35" t="s">
        <v>1040</v>
      </c>
    </row>
    <row r="25" spans="1:7">
      <c r="A25" s="35" t="s">
        <v>942</v>
      </c>
      <c r="B25" s="35" t="s">
        <v>1428</v>
      </c>
      <c r="C25" s="35" t="s">
        <v>1422</v>
      </c>
      <c r="D25" s="35" t="str">
        <f>_xlfn.XLOOKUP(E25,Organograma!G:G,Organograma!H:H,"")</f>
        <v>Janaina Bernardes Ayer</v>
      </c>
      <c r="E25" s="35" t="s">
        <v>75</v>
      </c>
      <c r="F25" s="36" t="s">
        <v>945</v>
      </c>
      <c r="G25" s="35" t="s">
        <v>1043</v>
      </c>
    </row>
    <row r="26" spans="1:7">
      <c r="A26" s="35" t="s">
        <v>1149</v>
      </c>
      <c r="B26" s="35" t="s">
        <v>1428</v>
      </c>
      <c r="C26" s="35" t="s">
        <v>1422</v>
      </c>
      <c r="D26" s="35" t="str">
        <f>_xlfn.XLOOKUP(E26,Organograma!G:G,Organograma!H:H,"")</f>
        <v>Janaina Bernardes Ayer</v>
      </c>
      <c r="E26" s="35" t="s">
        <v>75</v>
      </c>
      <c r="F26" s="36" t="s">
        <v>1206</v>
      </c>
      <c r="G26" s="35" t="s">
        <v>1263</v>
      </c>
    </row>
    <row r="27" spans="1:7">
      <c r="A27" s="35" t="s">
        <v>1149</v>
      </c>
      <c r="B27" s="35" t="s">
        <v>1449</v>
      </c>
      <c r="C27" s="35" t="s">
        <v>1422</v>
      </c>
      <c r="D27" s="35" t="str">
        <f>_xlfn.XLOOKUP(E27,Organograma!G:G,Organograma!H:H,"")</f>
        <v>Janaina Bernardes Ayer</v>
      </c>
      <c r="E27" s="35" t="s">
        <v>75</v>
      </c>
      <c r="F27" s="36" t="s">
        <v>1206</v>
      </c>
      <c r="G27" s="35" t="s">
        <v>1262</v>
      </c>
    </row>
    <row r="28" spans="1:7">
      <c r="A28" s="35" t="s">
        <v>1149</v>
      </c>
      <c r="B28" s="35" t="s">
        <v>1054</v>
      </c>
      <c r="C28" s="35" t="s">
        <v>1422</v>
      </c>
      <c r="D28" s="35" t="str">
        <f>_xlfn.XLOOKUP(E28,Organograma!G:G,Organograma!H:H,"")</f>
        <v>Janaina Bernardes Ayer</v>
      </c>
      <c r="E28" s="35" t="s">
        <v>75</v>
      </c>
      <c r="F28" s="36" t="s">
        <v>1206</v>
      </c>
      <c r="G28" s="35" t="s">
        <v>1269</v>
      </c>
    </row>
    <row r="29" spans="1:7">
      <c r="A29" s="35" t="s">
        <v>1149</v>
      </c>
      <c r="B29" s="35" t="s">
        <v>1448</v>
      </c>
      <c r="C29" s="35" t="s">
        <v>1422</v>
      </c>
      <c r="D29" s="35" t="str">
        <f>_xlfn.XLOOKUP(E29,Organograma!G:G,Organograma!H:H,"")</f>
        <v>Janaina Bernardes Ayer</v>
      </c>
      <c r="E29" s="35" t="s">
        <v>75</v>
      </c>
      <c r="F29" s="36" t="s">
        <v>1206</v>
      </c>
      <c r="G29" s="35" t="s">
        <v>1258</v>
      </c>
    </row>
    <row r="30" spans="1:7">
      <c r="A30" s="35" t="s">
        <v>1149</v>
      </c>
      <c r="B30" s="35" t="s">
        <v>1369</v>
      </c>
      <c r="C30" s="35" t="s">
        <v>1422</v>
      </c>
      <c r="D30" s="35" t="str">
        <f>_xlfn.XLOOKUP(E30,Organograma!G:G,Organograma!H:H,"")</f>
        <v>Evila Ellen Sa De Moraes Matias</v>
      </c>
      <c r="E30" s="35" t="s">
        <v>69</v>
      </c>
      <c r="F30" s="36" t="s">
        <v>1206</v>
      </c>
      <c r="G30" s="35" t="s">
        <v>1370</v>
      </c>
    </row>
    <row r="31" spans="1:7">
      <c r="A31" s="35" t="s">
        <v>1149</v>
      </c>
      <c r="B31" s="35" t="s">
        <v>1373</v>
      </c>
      <c r="C31" s="35" t="s">
        <v>1422</v>
      </c>
      <c r="D31" s="35" t="str">
        <f>_xlfn.XLOOKUP(E31,Organograma!G:G,Organograma!H:H,"")</f>
        <v>Evila Ellen Sa De Moraes Matias</v>
      </c>
      <c r="E31" s="35" t="s">
        <v>69</v>
      </c>
      <c r="F31" s="36" t="s">
        <v>1206</v>
      </c>
      <c r="G31" s="35" t="s">
        <v>1374</v>
      </c>
    </row>
    <row r="32" spans="1:7">
      <c r="A32" s="35" t="s">
        <v>1149</v>
      </c>
      <c r="B32" s="35" t="s">
        <v>1371</v>
      </c>
      <c r="C32" s="35" t="s">
        <v>1422</v>
      </c>
      <c r="D32" s="35" t="str">
        <f>_xlfn.XLOOKUP(E32,Organograma!G:G,Organograma!H:H,"")</f>
        <v>Evila Ellen Sa De Moraes Matias</v>
      </c>
      <c r="E32" s="35" t="s">
        <v>69</v>
      </c>
      <c r="F32" s="36" t="s">
        <v>1206</v>
      </c>
      <c r="G32" s="35" t="s">
        <v>1372</v>
      </c>
    </row>
    <row r="33" spans="1:7">
      <c r="A33" s="35" t="s">
        <v>942</v>
      </c>
      <c r="B33" s="35" t="s">
        <v>1435</v>
      </c>
      <c r="C33" s="35" t="s">
        <v>1422</v>
      </c>
      <c r="D33" s="35" t="str">
        <f>_xlfn.XLOOKUP(E33,Organograma!G:G,Organograma!H:H,"")</f>
        <v>Evila Ellen Sa De Moraes Matias</v>
      </c>
      <c r="E33" s="35" t="s">
        <v>69</v>
      </c>
      <c r="F33" s="36" t="s">
        <v>945</v>
      </c>
      <c r="G33" s="35" t="s">
        <v>1128</v>
      </c>
    </row>
    <row r="34" spans="1:7">
      <c r="A34" s="35" t="s">
        <v>942</v>
      </c>
      <c r="B34" s="35" t="s">
        <v>1147</v>
      </c>
      <c r="C34" s="35" t="s">
        <v>1422</v>
      </c>
      <c r="D34" s="35" t="str">
        <f>_xlfn.XLOOKUP(E34,Organograma!G:G,Organograma!H:H,"")</f>
        <v>Cintia Kelciane Gomes de Oliveira</v>
      </c>
      <c r="E34" s="35" t="s">
        <v>40</v>
      </c>
      <c r="F34" s="36" t="s">
        <v>945</v>
      </c>
      <c r="G34" s="35" t="s">
        <v>1148</v>
      </c>
    </row>
    <row r="35" spans="1:7">
      <c r="A35" s="35" t="s">
        <v>1149</v>
      </c>
      <c r="B35" s="35" t="s">
        <v>1147</v>
      </c>
      <c r="C35" s="35" t="s">
        <v>1422</v>
      </c>
      <c r="D35" s="35" t="str">
        <f>_xlfn.XLOOKUP(E35,Organograma!G:G,Organograma!H:H,"")</f>
        <v>Cintia Kelciane Gomes de Oliveira</v>
      </c>
      <c r="E35" s="35" t="s">
        <v>40</v>
      </c>
      <c r="F35" s="36" t="s">
        <v>1386</v>
      </c>
      <c r="G35" s="35" t="s">
        <v>1421</v>
      </c>
    </row>
    <row r="36" spans="1:7">
      <c r="A36" s="35" t="s">
        <v>1149</v>
      </c>
      <c r="B36" s="35" t="s">
        <v>1418</v>
      </c>
      <c r="C36" s="35" t="s">
        <v>1422</v>
      </c>
      <c r="D36" s="35" t="str">
        <f>_xlfn.XLOOKUP(E36,Organograma!G:G,Organograma!H:H,"")</f>
        <v>Cintia Kelciane Gomes de Oliveira</v>
      </c>
      <c r="E36" s="35" t="s">
        <v>40</v>
      </c>
      <c r="F36" s="36" t="s">
        <v>1386</v>
      </c>
      <c r="G36" s="35" t="s">
        <v>1419</v>
      </c>
    </row>
    <row r="37" spans="1:7">
      <c r="A37" s="35" t="s">
        <v>942</v>
      </c>
      <c r="B37" s="35" t="s">
        <v>1145</v>
      </c>
      <c r="C37" s="35" t="s">
        <v>1422</v>
      </c>
      <c r="D37" s="35" t="str">
        <f>_xlfn.XLOOKUP(E37,Organograma!G:G,Organograma!H:H,"")</f>
        <v>Cintia Kelciane Gomes de Oliveira</v>
      </c>
      <c r="E37" s="35" t="s">
        <v>40</v>
      </c>
      <c r="F37" s="36" t="s">
        <v>945</v>
      </c>
      <c r="G37" s="35" t="s">
        <v>1146</v>
      </c>
    </row>
    <row r="38" spans="1:7">
      <c r="A38" s="35" t="s">
        <v>1149</v>
      </c>
      <c r="B38" s="35" t="s">
        <v>1145</v>
      </c>
      <c r="C38" s="35" t="s">
        <v>1422</v>
      </c>
      <c r="D38" s="35" t="str">
        <f>_xlfn.XLOOKUP(E38,Organograma!G:G,Organograma!H:H,"")</f>
        <v>Cintia Kelciane Gomes de Oliveira</v>
      </c>
      <c r="E38" s="35" t="s">
        <v>40</v>
      </c>
      <c r="F38" s="36" t="s">
        <v>1386</v>
      </c>
      <c r="G38" s="35" t="s">
        <v>1420</v>
      </c>
    </row>
    <row r="39" spans="1:7">
      <c r="A39" s="35" t="s">
        <v>942</v>
      </c>
      <c r="B39" s="35" t="s">
        <v>1143</v>
      </c>
      <c r="C39" s="35" t="s">
        <v>1422</v>
      </c>
      <c r="D39" s="35" t="str">
        <f>_xlfn.XLOOKUP(E39,Organograma!G:G,Organograma!H:H,"")</f>
        <v>Cintia Kelciane Gomes de Oliveira</v>
      </c>
      <c r="E39" s="35" t="s">
        <v>40</v>
      </c>
      <c r="F39" s="36" t="s">
        <v>945</v>
      </c>
      <c r="G39" s="35" t="s">
        <v>1144</v>
      </c>
    </row>
    <row r="40" spans="1:7">
      <c r="A40" s="35" t="s">
        <v>1149</v>
      </c>
      <c r="B40" s="35" t="s">
        <v>1308</v>
      </c>
      <c r="C40" s="35" t="s">
        <v>1422</v>
      </c>
      <c r="D40" s="35" t="str">
        <f>_xlfn.XLOOKUP(E40,Organograma!G:G,Organograma!H:H,"")</f>
        <v>Daniella Gomes De Oliveira Costa</v>
      </c>
      <c r="E40" s="35" t="s">
        <v>1083</v>
      </c>
      <c r="F40" s="36" t="s">
        <v>1206</v>
      </c>
      <c r="G40" s="35" t="s">
        <v>1309</v>
      </c>
    </row>
    <row r="41" spans="1:7">
      <c r="A41" s="35" t="s">
        <v>942</v>
      </c>
      <c r="B41" s="35" t="s">
        <v>1089</v>
      </c>
      <c r="C41" s="35" t="s">
        <v>1422</v>
      </c>
      <c r="D41" s="35" t="str">
        <f>_xlfn.XLOOKUP(E41,Organograma!G:G,Organograma!H:H,"")</f>
        <v>Daniella Gomes De Oliveira Costa</v>
      </c>
      <c r="E41" s="35" t="s">
        <v>1083</v>
      </c>
      <c r="F41" s="36" t="s">
        <v>945</v>
      </c>
      <c r="G41" s="35" t="s">
        <v>1090</v>
      </c>
    </row>
    <row r="42" spans="1:7">
      <c r="A42" s="35" t="s">
        <v>1149</v>
      </c>
      <c r="B42" s="35" t="s">
        <v>1310</v>
      </c>
      <c r="C42" s="35" t="s">
        <v>1422</v>
      </c>
      <c r="D42" s="35" t="str">
        <f>_xlfn.XLOOKUP(E42,Organograma!G:G,Organograma!H:H,"")</f>
        <v>Daniella Gomes De Oliveira Costa</v>
      </c>
      <c r="E42" s="35" t="s">
        <v>1083</v>
      </c>
      <c r="F42" s="36" t="s">
        <v>1206</v>
      </c>
      <c r="G42" s="35" t="s">
        <v>1311</v>
      </c>
    </row>
    <row r="43" spans="1:7">
      <c r="A43" s="35" t="s">
        <v>1149</v>
      </c>
      <c r="B43" s="35" t="s">
        <v>1306</v>
      </c>
      <c r="C43" s="35" t="s">
        <v>1422</v>
      </c>
      <c r="D43" s="35" t="str">
        <f>_xlfn.XLOOKUP(E43,Organograma!G:G,Organograma!H:H,"")</f>
        <v>Daniella Gomes De Oliveira Costa</v>
      </c>
      <c r="E43" s="35" t="s">
        <v>1083</v>
      </c>
      <c r="F43" s="36" t="s">
        <v>1206</v>
      </c>
      <c r="G43" s="35" t="s">
        <v>1307</v>
      </c>
    </row>
    <row r="44" spans="1:7">
      <c r="A44" s="35" t="s">
        <v>1149</v>
      </c>
      <c r="B44" s="35" t="s">
        <v>1304</v>
      </c>
      <c r="C44" s="35" t="s">
        <v>1422</v>
      </c>
      <c r="D44" s="35" t="str">
        <f>_xlfn.XLOOKUP(E44,Organograma!G:G,Organograma!H:H,"")</f>
        <v>Daniella Gomes De Oliveira Costa</v>
      </c>
      <c r="E44" s="35" t="s">
        <v>1083</v>
      </c>
      <c r="F44" s="36" t="s">
        <v>1206</v>
      </c>
      <c r="G44" s="35" t="s">
        <v>1305</v>
      </c>
    </row>
    <row r="45" spans="1:7">
      <c r="A45" s="35" t="s">
        <v>942</v>
      </c>
      <c r="B45" s="35" t="s">
        <v>1084</v>
      </c>
      <c r="C45" s="35" t="s">
        <v>1422</v>
      </c>
      <c r="D45" s="35" t="str">
        <f>_xlfn.XLOOKUP(E45,Organograma!G:G,Organograma!H:H,"")</f>
        <v>Daniella Gomes De Oliveira Costa</v>
      </c>
      <c r="E45" s="35" t="s">
        <v>1083</v>
      </c>
      <c r="F45" s="36" t="s">
        <v>945</v>
      </c>
      <c r="G45" s="35" t="s">
        <v>1085</v>
      </c>
    </row>
    <row r="46" spans="1:7">
      <c r="A46" s="35" t="s">
        <v>942</v>
      </c>
      <c r="B46" s="35" t="s">
        <v>1081</v>
      </c>
      <c r="C46" s="35" t="s">
        <v>1422</v>
      </c>
      <c r="D46" s="35" t="str">
        <f>_xlfn.XLOOKUP(E46,Organograma!G:G,Organograma!H:H,"")</f>
        <v>Daniella Gomes De Oliveira Costa</v>
      </c>
      <c r="E46" s="35" t="s">
        <v>1083</v>
      </c>
      <c r="F46" s="36" t="s">
        <v>945</v>
      </c>
      <c r="G46" s="35" t="s">
        <v>1082</v>
      </c>
    </row>
    <row r="47" spans="1:7">
      <c r="A47" s="35" t="s">
        <v>1149</v>
      </c>
      <c r="B47" s="35" t="s">
        <v>1081</v>
      </c>
      <c r="C47" s="35" t="s">
        <v>1422</v>
      </c>
      <c r="D47" s="35" t="str">
        <f>_xlfn.XLOOKUP(E47,Organograma!G:G,Organograma!H:H,"")</f>
        <v>Daniella Gomes De Oliveira Costa</v>
      </c>
      <c r="E47" s="35" t="s">
        <v>1083</v>
      </c>
      <c r="F47" s="36" t="s">
        <v>1206</v>
      </c>
      <c r="G47" s="35" t="s">
        <v>1302</v>
      </c>
    </row>
    <row r="48" spans="1:7">
      <c r="A48" s="35" t="s">
        <v>942</v>
      </c>
      <c r="B48" s="35" t="s">
        <v>1432</v>
      </c>
      <c r="C48" s="35" t="s">
        <v>1422</v>
      </c>
      <c r="D48" s="35" t="str">
        <f>_xlfn.XLOOKUP(E48,Organograma!G:G,Organograma!H:H,"")</f>
        <v>Daniella Gomes De Oliveira Costa</v>
      </c>
      <c r="E48" s="35" t="s">
        <v>1083</v>
      </c>
      <c r="F48" s="36" t="s">
        <v>945</v>
      </c>
      <c r="G48" s="35" t="s">
        <v>1088</v>
      </c>
    </row>
    <row r="49" spans="1:7">
      <c r="A49" s="35" t="s">
        <v>1149</v>
      </c>
      <c r="B49" s="35" t="s">
        <v>1312</v>
      </c>
      <c r="C49" s="35" t="s">
        <v>1422</v>
      </c>
      <c r="D49" s="35" t="str">
        <f>_xlfn.XLOOKUP(E49,Organograma!G:G,Organograma!H:H,"")</f>
        <v>Daniella Gomes De Oliveira Costa</v>
      </c>
      <c r="E49" s="35" t="s">
        <v>1083</v>
      </c>
      <c r="F49" s="36" t="s">
        <v>1206</v>
      </c>
      <c r="G49" s="35" t="s">
        <v>1313</v>
      </c>
    </row>
    <row r="50" spans="1:7">
      <c r="A50" s="35" t="s">
        <v>942</v>
      </c>
      <c r="B50" s="35" t="s">
        <v>1431</v>
      </c>
      <c r="C50" s="35" t="s">
        <v>1422</v>
      </c>
      <c r="D50" s="35" t="str">
        <f>_xlfn.XLOOKUP(E50,Organograma!G:G,Organograma!H:H,"")</f>
        <v>Daniella Gomes De Oliveira Costa</v>
      </c>
      <c r="E50" s="35" t="s">
        <v>1083</v>
      </c>
      <c r="F50" s="36" t="s">
        <v>945</v>
      </c>
      <c r="G50" s="35" t="s">
        <v>1087</v>
      </c>
    </row>
    <row r="51" spans="1:7">
      <c r="A51" s="35" t="s">
        <v>942</v>
      </c>
      <c r="B51" s="35" t="s">
        <v>1430</v>
      </c>
      <c r="C51" s="35" t="s">
        <v>1422</v>
      </c>
      <c r="D51" s="35" t="str">
        <f>_xlfn.XLOOKUP(E51,Organograma!G:G,Organograma!H:H,"")</f>
        <v>Daniella Gomes De Oliveira Costa</v>
      </c>
      <c r="E51" s="35" t="s">
        <v>1083</v>
      </c>
      <c r="F51" s="36" t="s">
        <v>945</v>
      </c>
      <c r="G51" s="35" t="s">
        <v>1086</v>
      </c>
    </row>
    <row r="52" spans="1:7">
      <c r="A52" s="35" t="s">
        <v>1149</v>
      </c>
      <c r="B52" s="35" t="s">
        <v>1453</v>
      </c>
      <c r="C52" s="35" t="s">
        <v>1422</v>
      </c>
      <c r="D52" s="35" t="str">
        <f>_xlfn.XLOOKUP(E52,Organograma!G:G,Organograma!H:H,"")</f>
        <v>Daniella Gomes De Oliveira Costa</v>
      </c>
      <c r="E52" s="35" t="s">
        <v>1083</v>
      </c>
      <c r="F52" s="36" t="s">
        <v>1206</v>
      </c>
      <c r="G52" s="35" t="s">
        <v>1303</v>
      </c>
    </row>
    <row r="53" spans="1:7">
      <c r="A53" s="35" t="s">
        <v>942</v>
      </c>
      <c r="B53" s="35" t="s">
        <v>1129</v>
      </c>
      <c r="C53" s="35" t="s">
        <v>1422</v>
      </c>
      <c r="D53" s="35" t="str">
        <f>_xlfn.XLOOKUP(E53,Organograma!G:G,Organograma!H:H,"")</f>
        <v>Olivia Alves dos Santos</v>
      </c>
      <c r="E53" s="35" t="s">
        <v>95</v>
      </c>
      <c r="F53" s="36" t="s">
        <v>945</v>
      </c>
      <c r="G53" s="35" t="s">
        <v>1130</v>
      </c>
    </row>
    <row r="54" spans="1:7">
      <c r="A54" s="35" t="s">
        <v>1149</v>
      </c>
      <c r="B54" s="35" t="s">
        <v>1129</v>
      </c>
      <c r="C54" s="35" t="s">
        <v>1422</v>
      </c>
      <c r="D54" s="35" t="str">
        <f>_xlfn.XLOOKUP(E54,Organograma!G:G,Organograma!H:H,"")</f>
        <v>Olivia Alves dos Santos</v>
      </c>
      <c r="E54" s="35" t="s">
        <v>95</v>
      </c>
      <c r="F54" s="36" t="s">
        <v>1206</v>
      </c>
      <c r="G54" s="35" t="s">
        <v>1378</v>
      </c>
    </row>
    <row r="55" spans="1:7">
      <c r="A55" s="35" t="s">
        <v>1149</v>
      </c>
      <c r="B55" s="35" t="s">
        <v>1376</v>
      </c>
      <c r="C55" s="35" t="s">
        <v>1422</v>
      </c>
      <c r="D55" s="35" t="str">
        <f>_xlfn.XLOOKUP(E55,Organograma!G:G,Organograma!H:H,"")</f>
        <v>Olivia Alves dos Santos</v>
      </c>
      <c r="E55" s="35" t="s">
        <v>95</v>
      </c>
      <c r="F55" s="36" t="s">
        <v>1206</v>
      </c>
      <c r="G55" s="35" t="s">
        <v>1377</v>
      </c>
    </row>
    <row r="56" spans="1:7">
      <c r="A56" s="35" t="s">
        <v>942</v>
      </c>
      <c r="B56" s="35" t="s">
        <v>1132</v>
      </c>
      <c r="C56" s="35" t="s">
        <v>1422</v>
      </c>
      <c r="D56" s="35" t="str">
        <f>_xlfn.XLOOKUP(E56,Organograma!G:G,Organograma!H:H,"")</f>
        <v>Olivia Alves dos Santos</v>
      </c>
      <c r="E56" s="35" t="s">
        <v>95</v>
      </c>
      <c r="F56" s="36" t="s">
        <v>945</v>
      </c>
      <c r="G56" s="35" t="s">
        <v>1133</v>
      </c>
    </row>
    <row r="57" spans="1:7">
      <c r="A57" s="35" t="s">
        <v>1149</v>
      </c>
      <c r="B57" s="35" t="s">
        <v>1132</v>
      </c>
      <c r="C57" s="35" t="s">
        <v>1422</v>
      </c>
      <c r="D57" s="35" t="str">
        <f>_xlfn.XLOOKUP(E57,Organograma!G:G,Organograma!H:H,"")</f>
        <v>Olivia Alves dos Santos</v>
      </c>
      <c r="E57" s="35" t="s">
        <v>95</v>
      </c>
      <c r="F57" s="36" t="s">
        <v>1206</v>
      </c>
      <c r="G57" s="35" t="s">
        <v>1380</v>
      </c>
    </row>
    <row r="58" spans="1:7">
      <c r="A58" s="35" t="s">
        <v>942</v>
      </c>
      <c r="B58" s="35" t="s">
        <v>1134</v>
      </c>
      <c r="C58" s="35" t="s">
        <v>1422</v>
      </c>
      <c r="D58" s="35" t="str">
        <f>_xlfn.XLOOKUP(E58,Organograma!G:G,Organograma!H:H,"")</f>
        <v>Olivia Alves dos Santos</v>
      </c>
      <c r="E58" s="35" t="s">
        <v>95</v>
      </c>
      <c r="F58" s="36" t="s">
        <v>945</v>
      </c>
      <c r="G58" s="35" t="s">
        <v>1135</v>
      </c>
    </row>
    <row r="59" spans="1:7">
      <c r="A59" s="35" t="s">
        <v>1149</v>
      </c>
      <c r="B59" s="35" t="s">
        <v>1134</v>
      </c>
      <c r="C59" s="35" t="s">
        <v>1422</v>
      </c>
      <c r="D59" s="35" t="str">
        <f>_xlfn.XLOOKUP(E59,Organograma!G:G,Organograma!H:H,"")</f>
        <v>Olivia Alves dos Santos</v>
      </c>
      <c r="E59" s="35" t="s">
        <v>95</v>
      </c>
      <c r="F59" s="36" t="s">
        <v>1206</v>
      </c>
      <c r="G59" s="35" t="s">
        <v>1381</v>
      </c>
    </row>
    <row r="60" spans="1:7">
      <c r="A60" s="35" t="s">
        <v>942</v>
      </c>
      <c r="B60" s="35" t="s">
        <v>1138</v>
      </c>
      <c r="C60" s="35" t="s">
        <v>1422</v>
      </c>
      <c r="D60" s="35" t="str">
        <f>_xlfn.XLOOKUP(E60,Organograma!G:G,Organograma!H:H,"")</f>
        <v>Olivia Alves dos Santos</v>
      </c>
      <c r="E60" s="35" t="s">
        <v>95</v>
      </c>
      <c r="F60" s="36" t="s">
        <v>945</v>
      </c>
      <c r="G60" s="35" t="s">
        <v>1139</v>
      </c>
    </row>
    <row r="61" spans="1:7">
      <c r="A61" s="35" t="s">
        <v>1149</v>
      </c>
      <c r="B61" s="35" t="s">
        <v>1459</v>
      </c>
      <c r="C61" s="35" t="s">
        <v>1422</v>
      </c>
      <c r="D61" s="35" t="str">
        <f>_xlfn.XLOOKUP(E61,Organograma!G:G,Organograma!H:H,"")</f>
        <v>Olivia Alves dos Santos</v>
      </c>
      <c r="E61" s="35" t="s">
        <v>95</v>
      </c>
      <c r="F61" s="36" t="s">
        <v>1206</v>
      </c>
      <c r="G61" s="35" t="s">
        <v>1375</v>
      </c>
    </row>
    <row r="62" spans="1:7">
      <c r="A62" s="35" t="s">
        <v>942</v>
      </c>
      <c r="B62" s="35" t="s">
        <v>1436</v>
      </c>
      <c r="C62" s="35" t="s">
        <v>1422</v>
      </c>
      <c r="D62" s="35" t="str">
        <f>_xlfn.XLOOKUP(E62,Organograma!G:G,Organograma!H:H,"")</f>
        <v>Olivia Alves dos Santos</v>
      </c>
      <c r="E62" s="35" t="s">
        <v>95</v>
      </c>
      <c r="F62" s="36" t="s">
        <v>945</v>
      </c>
      <c r="G62" s="35" t="s">
        <v>1131</v>
      </c>
    </row>
    <row r="63" spans="1:7">
      <c r="A63" s="35" t="s">
        <v>1149</v>
      </c>
      <c r="B63" s="35" t="s">
        <v>1436</v>
      </c>
      <c r="C63" s="35" t="s">
        <v>1422</v>
      </c>
      <c r="D63" s="35" t="str">
        <f>_xlfn.XLOOKUP(E63,Organograma!G:G,Organograma!H:H,"")</f>
        <v>Olivia Alves dos Santos</v>
      </c>
      <c r="E63" s="35" t="s">
        <v>95</v>
      </c>
      <c r="F63" s="36" t="s">
        <v>1206</v>
      </c>
      <c r="G63" s="35" t="s">
        <v>1379</v>
      </c>
    </row>
    <row r="64" spans="1:7">
      <c r="A64" s="35" t="s">
        <v>942</v>
      </c>
      <c r="B64" s="35" t="s">
        <v>1136</v>
      </c>
      <c r="C64" s="35" t="s">
        <v>1422</v>
      </c>
      <c r="D64" s="35" t="str">
        <f>_xlfn.XLOOKUP(E64,Organograma!G:G,Organograma!H:H,"")</f>
        <v>Olivia Alves dos Santos</v>
      </c>
      <c r="E64" s="35" t="s">
        <v>95</v>
      </c>
      <c r="F64" s="36" t="s">
        <v>945</v>
      </c>
      <c r="G64" s="35" t="s">
        <v>1137</v>
      </c>
    </row>
    <row r="65" spans="1:7">
      <c r="A65" s="35" t="s">
        <v>942</v>
      </c>
      <c r="B65" s="35" t="s">
        <v>979</v>
      </c>
      <c r="C65" s="35" t="s">
        <v>1422</v>
      </c>
      <c r="D65" s="35" t="str">
        <f>_xlfn.XLOOKUP(E65,Organograma!G:G,Organograma!H:H,"")</f>
        <v>Aislan Azevedo Santos</v>
      </c>
      <c r="E65" s="35" t="s">
        <v>8</v>
      </c>
      <c r="F65" s="36" t="s">
        <v>945</v>
      </c>
      <c r="G65" s="35" t="s">
        <v>980</v>
      </c>
    </row>
    <row r="66" spans="1:7">
      <c r="A66" s="35" t="s">
        <v>1149</v>
      </c>
      <c r="B66" s="35" t="s">
        <v>979</v>
      </c>
      <c r="C66" s="35" t="s">
        <v>1422</v>
      </c>
      <c r="D66" s="35" t="str">
        <f>_xlfn.XLOOKUP(E66,Organograma!G:G,Organograma!H:H,"")</f>
        <v>Aislan Azevedo Santos</v>
      </c>
      <c r="E66" s="35" t="s">
        <v>8</v>
      </c>
      <c r="F66" s="36" t="s">
        <v>1152</v>
      </c>
      <c r="G66" s="35" t="s">
        <v>1199</v>
      </c>
    </row>
    <row r="67" spans="1:7">
      <c r="A67" s="35" t="s">
        <v>942</v>
      </c>
      <c r="B67" s="35" t="s">
        <v>975</v>
      </c>
      <c r="C67" s="35" t="s">
        <v>1422</v>
      </c>
      <c r="D67" s="35" t="str">
        <f>_xlfn.XLOOKUP(E67,Organograma!G:G,Organograma!H:H,"")</f>
        <v>Aislan Azevedo Santos</v>
      </c>
      <c r="E67" s="35" t="s">
        <v>8</v>
      </c>
      <c r="F67" s="36" t="s">
        <v>945</v>
      </c>
      <c r="G67" s="35" t="s">
        <v>976</v>
      </c>
    </row>
    <row r="68" spans="1:7">
      <c r="A68" s="35" t="s">
        <v>1149</v>
      </c>
      <c r="B68" s="35" t="s">
        <v>975</v>
      </c>
      <c r="C68" s="35" t="s">
        <v>1422</v>
      </c>
      <c r="D68" s="35" t="str">
        <f>_xlfn.XLOOKUP(E68,Organograma!G:G,Organograma!H:H,"")</f>
        <v>Aislan Azevedo Santos</v>
      </c>
      <c r="E68" s="35" t="s">
        <v>8</v>
      </c>
      <c r="F68" s="36" t="s">
        <v>1152</v>
      </c>
      <c r="G68" s="35" t="s">
        <v>1197</v>
      </c>
    </row>
    <row r="69" spans="1:7">
      <c r="A69" s="35" t="s">
        <v>942</v>
      </c>
      <c r="B69" s="35" t="s">
        <v>977</v>
      </c>
      <c r="C69" s="35" t="s">
        <v>1422</v>
      </c>
      <c r="D69" s="35" t="str">
        <f>_xlfn.XLOOKUP(E69,Organograma!G:G,Organograma!H:H,"")</f>
        <v>Aislan Azevedo Santos</v>
      </c>
      <c r="E69" s="35" t="s">
        <v>8</v>
      </c>
      <c r="F69" s="36" t="s">
        <v>945</v>
      </c>
      <c r="G69" s="35" t="s">
        <v>978</v>
      </c>
    </row>
    <row r="70" spans="1:7">
      <c r="A70" s="35" t="s">
        <v>1149</v>
      </c>
      <c r="B70" s="35" t="s">
        <v>977</v>
      </c>
      <c r="C70" s="35" t="s">
        <v>1422</v>
      </c>
      <c r="D70" s="35" t="str">
        <f>_xlfn.XLOOKUP(E70,Organograma!G:G,Organograma!H:H,"")</f>
        <v>Aislan Azevedo Santos</v>
      </c>
      <c r="E70" s="35" t="s">
        <v>8</v>
      </c>
      <c r="F70" s="36" t="s">
        <v>1152</v>
      </c>
      <c r="G70" s="35" t="s">
        <v>1198</v>
      </c>
    </row>
    <row r="71" spans="1:7">
      <c r="A71" s="35" t="s">
        <v>942</v>
      </c>
      <c r="B71" s="35" t="s">
        <v>981</v>
      </c>
      <c r="C71" s="35" t="s">
        <v>1422</v>
      </c>
      <c r="D71" s="35" t="str">
        <f>_xlfn.XLOOKUP(E71,Organograma!G:G,Organograma!H:H,"")</f>
        <v>Aislan Azevedo Santos</v>
      </c>
      <c r="E71" s="35" t="s">
        <v>8</v>
      </c>
      <c r="F71" s="36" t="s">
        <v>945</v>
      </c>
      <c r="G71" s="35" t="s">
        <v>982</v>
      </c>
    </row>
    <row r="72" spans="1:7">
      <c r="A72" s="35" t="s">
        <v>1149</v>
      </c>
      <c r="B72" s="35" t="s">
        <v>981</v>
      </c>
      <c r="C72" s="35" t="s">
        <v>1422</v>
      </c>
      <c r="D72" s="35" t="str">
        <f>_xlfn.XLOOKUP(E72,Organograma!G:G,Organograma!H:H,"")</f>
        <v>Aislan Azevedo Santos</v>
      </c>
      <c r="E72" s="35" t="s">
        <v>8</v>
      </c>
      <c r="F72" s="36" t="s">
        <v>1152</v>
      </c>
      <c r="G72" s="35" t="s">
        <v>1200</v>
      </c>
    </row>
    <row r="73" spans="1:7">
      <c r="A73" s="35" t="s">
        <v>942</v>
      </c>
      <c r="B73" s="35" t="s">
        <v>1098</v>
      </c>
      <c r="C73" s="35" t="s">
        <v>1422</v>
      </c>
      <c r="D73" s="35" t="str">
        <f>_xlfn.XLOOKUP(E73,Organograma!G:G,Organograma!H:H,"")</f>
        <v>Lorena do Nascimento Barreto</v>
      </c>
      <c r="E73" s="35" t="s">
        <v>80</v>
      </c>
      <c r="F73" s="36" t="s">
        <v>945</v>
      </c>
      <c r="G73" s="35" t="s">
        <v>1099</v>
      </c>
    </row>
    <row r="74" spans="1:7">
      <c r="A74" s="35" t="s">
        <v>1149</v>
      </c>
      <c r="B74" s="35" t="s">
        <v>1098</v>
      </c>
      <c r="C74" s="35" t="s">
        <v>1422</v>
      </c>
      <c r="D74" s="35" t="str">
        <f>_xlfn.XLOOKUP(E74,Organograma!G:G,Organograma!H:H,"")</f>
        <v>Lorena do Nascimento Barreto</v>
      </c>
      <c r="E74" s="35" t="s">
        <v>80</v>
      </c>
      <c r="F74" s="36" t="s">
        <v>1206</v>
      </c>
      <c r="G74" s="35" t="s">
        <v>1323</v>
      </c>
    </row>
    <row r="75" spans="1:7">
      <c r="A75" s="35" t="s">
        <v>1149</v>
      </c>
      <c r="B75" s="35" t="s">
        <v>1316</v>
      </c>
      <c r="C75" s="35" t="s">
        <v>1422</v>
      </c>
      <c r="D75" s="35" t="str">
        <f>_xlfn.XLOOKUP(E75,Organograma!G:G,Organograma!H:H,"")</f>
        <v>Lorena do Nascimento Barreto</v>
      </c>
      <c r="E75" s="35" t="s">
        <v>80</v>
      </c>
      <c r="F75" s="36" t="s">
        <v>1206</v>
      </c>
      <c r="G75" s="35" t="s">
        <v>1317</v>
      </c>
    </row>
    <row r="76" spans="1:7">
      <c r="A76" s="35" t="s">
        <v>1149</v>
      </c>
      <c r="B76" s="35" t="s">
        <v>1318</v>
      </c>
      <c r="C76" s="35" t="s">
        <v>1422</v>
      </c>
      <c r="D76" s="35" t="str">
        <f>_xlfn.XLOOKUP(E76,Organograma!G:G,Organograma!H:H,"")</f>
        <v>Lorena do Nascimento Barreto</v>
      </c>
      <c r="E76" s="35" t="s">
        <v>80</v>
      </c>
      <c r="F76" s="36" t="s">
        <v>1206</v>
      </c>
      <c r="G76" s="35" t="s">
        <v>1319</v>
      </c>
    </row>
    <row r="77" spans="1:7">
      <c r="A77" s="35" t="s">
        <v>942</v>
      </c>
      <c r="B77" s="35" t="s">
        <v>1096</v>
      </c>
      <c r="C77" s="35" t="s">
        <v>1422</v>
      </c>
      <c r="D77" s="35" t="str">
        <f>_xlfn.XLOOKUP(E77,Organograma!G:G,Organograma!H:H,"")</f>
        <v>Lorena do Nascimento Barreto</v>
      </c>
      <c r="E77" s="35" t="s">
        <v>80</v>
      </c>
      <c r="F77" s="36" t="s">
        <v>945</v>
      </c>
      <c r="G77" s="35" t="s">
        <v>1097</v>
      </c>
    </row>
    <row r="78" spans="1:7">
      <c r="A78" s="35" t="s">
        <v>1149</v>
      </c>
      <c r="B78" s="35" t="s">
        <v>1096</v>
      </c>
      <c r="C78" s="35" t="s">
        <v>1422</v>
      </c>
      <c r="D78" s="35" t="str">
        <f>_xlfn.XLOOKUP(E78,Organograma!G:G,Organograma!H:H,"")</f>
        <v>Lorena do Nascimento Barreto</v>
      </c>
      <c r="E78" s="35" t="s">
        <v>80</v>
      </c>
      <c r="F78" s="36" t="s">
        <v>1206</v>
      </c>
      <c r="G78" s="35" t="s">
        <v>1322</v>
      </c>
    </row>
    <row r="79" spans="1:7">
      <c r="A79" s="35" t="s">
        <v>1149</v>
      </c>
      <c r="B79" s="35" t="s">
        <v>1324</v>
      </c>
      <c r="C79" s="35" t="s">
        <v>1422</v>
      </c>
      <c r="D79" s="35" t="str">
        <f>_xlfn.XLOOKUP(E79,Organograma!G:G,Organograma!H:H,"")</f>
        <v>Lorena do Nascimento Barreto</v>
      </c>
      <c r="E79" s="35" t="s">
        <v>80</v>
      </c>
      <c r="F79" s="36" t="s">
        <v>1206</v>
      </c>
      <c r="G79" s="35" t="s">
        <v>1325</v>
      </c>
    </row>
    <row r="80" spans="1:7">
      <c r="A80" s="35" t="s">
        <v>1149</v>
      </c>
      <c r="B80" s="35" t="s">
        <v>1320</v>
      </c>
      <c r="C80" s="35" t="s">
        <v>1422</v>
      </c>
      <c r="D80" s="35" t="str">
        <f>_xlfn.XLOOKUP(E80,Organograma!G:G,Organograma!H:H,"")</f>
        <v>Lorena do Nascimento Barreto</v>
      </c>
      <c r="E80" s="35" t="s">
        <v>80</v>
      </c>
      <c r="F80" s="36" t="s">
        <v>1206</v>
      </c>
      <c r="G80" s="35" t="s">
        <v>1321</v>
      </c>
    </row>
    <row r="81" spans="1:7">
      <c r="A81" s="35" t="s">
        <v>942</v>
      </c>
      <c r="B81" s="35" t="s">
        <v>1314</v>
      </c>
      <c r="C81" s="35" t="s">
        <v>1422</v>
      </c>
      <c r="D81" s="35" t="str">
        <f>_xlfn.XLOOKUP(E81,Organograma!G:G,Organograma!H:H,"")</f>
        <v>Lorena do Nascimento Barreto</v>
      </c>
      <c r="E81" s="35" t="s">
        <v>80</v>
      </c>
      <c r="F81" s="36" t="s">
        <v>945</v>
      </c>
      <c r="G81" s="35" t="s">
        <v>1091</v>
      </c>
    </row>
    <row r="82" spans="1:7">
      <c r="A82" s="35" t="s">
        <v>1149</v>
      </c>
      <c r="B82" s="35" t="s">
        <v>1314</v>
      </c>
      <c r="C82" s="35" t="s">
        <v>1422</v>
      </c>
      <c r="D82" s="35" t="str">
        <f>_xlfn.XLOOKUP(E82,Organograma!G:G,Organograma!H:H,"")</f>
        <v>Lorena do Nascimento Barreto</v>
      </c>
      <c r="E82" s="35" t="s">
        <v>80</v>
      </c>
      <c r="F82" s="36" t="s">
        <v>1206</v>
      </c>
      <c r="G82" s="35" t="s">
        <v>1315</v>
      </c>
    </row>
    <row r="83" spans="1:7">
      <c r="A83" s="35" t="s">
        <v>942</v>
      </c>
      <c r="B83" s="35" t="s">
        <v>1092</v>
      </c>
      <c r="C83" s="35" t="s">
        <v>1422</v>
      </c>
      <c r="D83" s="35" t="str">
        <f>_xlfn.XLOOKUP(E83,Organograma!G:G,Organograma!H:H,"")</f>
        <v>Lorena do Nascimento Barreto</v>
      </c>
      <c r="E83" s="35" t="s">
        <v>80</v>
      </c>
      <c r="F83" s="36" t="s">
        <v>945</v>
      </c>
      <c r="G83" s="35" t="s">
        <v>1093</v>
      </c>
    </row>
    <row r="84" spans="1:7">
      <c r="A84" s="35" t="s">
        <v>942</v>
      </c>
      <c r="B84" s="35" t="s">
        <v>1100</v>
      </c>
      <c r="C84" s="35" t="s">
        <v>1422</v>
      </c>
      <c r="D84" s="35" t="str">
        <f>_xlfn.XLOOKUP(E84,Organograma!G:G,Organograma!H:H,"")</f>
        <v>Lorena do Nascimento Barreto</v>
      </c>
      <c r="E84" s="35" t="s">
        <v>80</v>
      </c>
      <c r="F84" s="36" t="s">
        <v>945</v>
      </c>
      <c r="G84" s="35" t="s">
        <v>1101</v>
      </c>
    </row>
    <row r="85" spans="1:7">
      <c r="A85" s="35" t="s">
        <v>942</v>
      </c>
      <c r="B85" s="35" t="s">
        <v>1094</v>
      </c>
      <c r="C85" s="35" t="s">
        <v>1422</v>
      </c>
      <c r="D85" s="35" t="str">
        <f>_xlfn.XLOOKUP(E85,Organograma!G:G,Organograma!H:H,"")</f>
        <v>Lorena do Nascimento Barreto</v>
      </c>
      <c r="E85" s="35" t="s">
        <v>80</v>
      </c>
      <c r="F85" s="36" t="s">
        <v>945</v>
      </c>
      <c r="G85" s="35" t="s">
        <v>1095</v>
      </c>
    </row>
    <row r="86" spans="1:7">
      <c r="A86" s="35" t="s">
        <v>1149</v>
      </c>
      <c r="B86" s="35" t="s">
        <v>1348</v>
      </c>
      <c r="C86" s="35" t="s">
        <v>1422</v>
      </c>
      <c r="D86" s="35" t="str">
        <f>_xlfn.XLOOKUP(E86,Organograma!G:G,Organograma!H:H,"")</f>
        <v>Camila Amanda Cardoso dos Santos</v>
      </c>
      <c r="E86" s="35" t="s">
        <v>60</v>
      </c>
      <c r="F86" s="36" t="s">
        <v>1206</v>
      </c>
      <c r="G86" s="35" t="s">
        <v>1349</v>
      </c>
    </row>
    <row r="87" spans="1:7">
      <c r="A87" s="35" t="s">
        <v>1149</v>
      </c>
      <c r="B87" s="35" t="s">
        <v>1352</v>
      </c>
      <c r="C87" s="35" t="s">
        <v>1422</v>
      </c>
      <c r="D87" s="35" t="str">
        <f>_xlfn.XLOOKUP(E87,Organograma!G:G,Organograma!H:H,"")</f>
        <v>Camila Amanda Cardoso dos Santos</v>
      </c>
      <c r="E87" s="35" t="s">
        <v>60</v>
      </c>
      <c r="F87" s="36" t="s">
        <v>1206</v>
      </c>
      <c r="G87" s="35" t="s">
        <v>1353</v>
      </c>
    </row>
    <row r="88" spans="1:7">
      <c r="A88" s="35" t="s">
        <v>1149</v>
      </c>
      <c r="B88" s="35" t="s">
        <v>1455</v>
      </c>
      <c r="C88" s="35" t="s">
        <v>1422</v>
      </c>
      <c r="D88" s="35" t="str">
        <f>_xlfn.XLOOKUP(E88,Organograma!G:G,Organograma!H:H,"")</f>
        <v>Camila Amanda Cardoso dos Santos</v>
      </c>
      <c r="E88" s="35" t="s">
        <v>60</v>
      </c>
      <c r="F88" s="36" t="s">
        <v>1206</v>
      </c>
      <c r="G88" s="35" t="s">
        <v>1350</v>
      </c>
    </row>
    <row r="89" spans="1:7">
      <c r="A89" s="35" t="s">
        <v>1149</v>
      </c>
      <c r="B89" s="35" t="s">
        <v>1455</v>
      </c>
      <c r="C89" s="35" t="s">
        <v>1422</v>
      </c>
      <c r="D89" s="35" t="str">
        <f>_xlfn.XLOOKUP(E89,Organograma!G:G,Organograma!H:H,"")</f>
        <v>Camila Amanda Cardoso dos Santos</v>
      </c>
      <c r="E89" s="35" t="s">
        <v>60</v>
      </c>
      <c r="F89" s="36" t="s">
        <v>1206</v>
      </c>
      <c r="G89" s="35" t="s">
        <v>1351</v>
      </c>
    </row>
    <row r="90" spans="1:7">
      <c r="A90" s="35" t="s">
        <v>942</v>
      </c>
      <c r="B90" s="35" t="s">
        <v>962</v>
      </c>
      <c r="C90" s="35" t="s">
        <v>1422</v>
      </c>
      <c r="D90" s="35" t="str">
        <f>_xlfn.XLOOKUP(E90,Organograma!G:G,Organograma!H:H,"")</f>
        <v>Gustavo Cintra Silva</v>
      </c>
      <c r="E90" s="35" t="s">
        <v>124</v>
      </c>
      <c r="F90" s="36" t="s">
        <v>945</v>
      </c>
      <c r="G90" s="35" t="s">
        <v>963</v>
      </c>
    </row>
    <row r="91" spans="1:7">
      <c r="A91" s="35" t="s">
        <v>1149</v>
      </c>
      <c r="B91" s="35" t="s">
        <v>962</v>
      </c>
      <c r="C91" s="35" t="s">
        <v>1422</v>
      </c>
      <c r="D91" s="35" t="str">
        <f>_xlfn.XLOOKUP(E91,Organograma!G:G,Organograma!H:H,"")</f>
        <v>Gustavo Cintra Silva</v>
      </c>
      <c r="E91" s="35" t="s">
        <v>124</v>
      </c>
      <c r="F91" s="36" t="s">
        <v>1152</v>
      </c>
      <c r="G91" s="35" t="s">
        <v>1175</v>
      </c>
    </row>
    <row r="92" spans="1:7">
      <c r="A92" s="35" t="s">
        <v>942</v>
      </c>
      <c r="B92" s="35" t="s">
        <v>960</v>
      </c>
      <c r="C92" s="35" t="s">
        <v>1422</v>
      </c>
      <c r="D92" s="35" t="str">
        <f>_xlfn.XLOOKUP(E92,Organograma!G:G,Organograma!H:H,"")</f>
        <v>Gustavo Cintra Silva</v>
      </c>
      <c r="E92" s="35" t="s">
        <v>124</v>
      </c>
      <c r="F92" s="36" t="s">
        <v>945</v>
      </c>
      <c r="G92" s="35" t="s">
        <v>961</v>
      </c>
    </row>
    <row r="93" spans="1:7">
      <c r="A93" s="35" t="s">
        <v>1149</v>
      </c>
      <c r="B93" s="35" t="s">
        <v>960</v>
      </c>
      <c r="C93" s="35" t="s">
        <v>1422</v>
      </c>
      <c r="D93" s="35" t="str">
        <f>_xlfn.XLOOKUP(E93,Organograma!G:G,Organograma!H:H,"")</f>
        <v>Gustavo Cintra Silva</v>
      </c>
      <c r="E93" s="35" t="s">
        <v>124</v>
      </c>
      <c r="F93" s="36" t="s">
        <v>1152</v>
      </c>
      <c r="G93" s="35" t="s">
        <v>1174</v>
      </c>
    </row>
    <row r="94" spans="1:7">
      <c r="A94" s="35" t="s">
        <v>1149</v>
      </c>
      <c r="B94" s="35" t="s">
        <v>1176</v>
      </c>
      <c r="C94" s="35" t="s">
        <v>1422</v>
      </c>
      <c r="D94" s="35" t="str">
        <f>_xlfn.XLOOKUP(E94,Organograma!G:G,Organograma!H:H,"")</f>
        <v>Gustavo Cintra Silva</v>
      </c>
      <c r="E94" s="35" t="s">
        <v>124</v>
      </c>
      <c r="F94" s="36" t="s">
        <v>1152</v>
      </c>
      <c r="G94" s="35" t="s">
        <v>1177</v>
      </c>
    </row>
    <row r="95" spans="1:7">
      <c r="A95" s="35" t="s">
        <v>942</v>
      </c>
      <c r="B95" s="35" t="s">
        <v>968</v>
      </c>
      <c r="C95" s="35" t="s">
        <v>1422</v>
      </c>
      <c r="D95" s="35" t="str">
        <f>_xlfn.XLOOKUP(E95,Organograma!G:G,Organograma!H:H,"")</f>
        <v>Nadiane Dantas Carvalho</v>
      </c>
      <c r="E95" s="35" t="s">
        <v>970</v>
      </c>
      <c r="F95" s="36" t="s">
        <v>945</v>
      </c>
      <c r="G95" s="35" t="s">
        <v>969</v>
      </c>
    </row>
    <row r="96" spans="1:7">
      <c r="A96" s="35" t="s">
        <v>1149</v>
      </c>
      <c r="B96" s="35" t="s">
        <v>968</v>
      </c>
      <c r="C96" s="35" t="s">
        <v>1422</v>
      </c>
      <c r="D96" s="35" t="str">
        <f>_xlfn.XLOOKUP(E96,Organograma!G:G,Organograma!H:H,"")</f>
        <v>Nadiane Dantas Carvalho</v>
      </c>
      <c r="E96" s="35" t="s">
        <v>970</v>
      </c>
      <c r="F96" s="36" t="s">
        <v>1152</v>
      </c>
      <c r="G96" s="35" t="s">
        <v>1190</v>
      </c>
    </row>
    <row r="97" spans="1:7">
      <c r="A97" s="35" t="s">
        <v>1149</v>
      </c>
      <c r="B97" s="35" t="s">
        <v>1439</v>
      </c>
      <c r="C97" s="35" t="s">
        <v>1422</v>
      </c>
      <c r="D97" s="35" t="str">
        <f>_xlfn.XLOOKUP(E97,Organograma!G:G,Organograma!H:H,"")</f>
        <v>Nadiane Dantas Carvalho</v>
      </c>
      <c r="E97" s="35" t="s">
        <v>970</v>
      </c>
      <c r="F97" s="36" t="s">
        <v>1152</v>
      </c>
      <c r="G97" s="35" t="s">
        <v>1189</v>
      </c>
    </row>
    <row r="98" spans="1:7">
      <c r="A98" s="35" t="s">
        <v>1149</v>
      </c>
      <c r="B98" s="35" t="s">
        <v>1201</v>
      </c>
      <c r="C98" s="35" t="s">
        <v>1422</v>
      </c>
      <c r="D98" s="35" t="str">
        <f>_xlfn.XLOOKUP(E98,Organograma!G:G,Organograma!H:H,"")</f>
        <v>Aryadna Pinheiro Pereira</v>
      </c>
      <c r="E98" s="35" t="s">
        <v>134</v>
      </c>
      <c r="F98" s="36" t="s">
        <v>1152</v>
      </c>
      <c r="G98" s="35" t="s">
        <v>1202</v>
      </c>
    </row>
    <row r="99" spans="1:7">
      <c r="A99" s="35" t="s">
        <v>942</v>
      </c>
      <c r="B99" s="35" t="s">
        <v>986</v>
      </c>
      <c r="C99" s="35" t="s">
        <v>1422</v>
      </c>
      <c r="D99" s="35" t="str">
        <f>_xlfn.XLOOKUP(E99,Organograma!G:G,Organograma!H:H,"")</f>
        <v>Aislan Azevedo Santos</v>
      </c>
      <c r="E99" s="35" t="s">
        <v>135</v>
      </c>
      <c r="F99" s="36" t="s">
        <v>945</v>
      </c>
      <c r="G99" s="35" t="s">
        <v>987</v>
      </c>
    </row>
    <row r="100" spans="1:7">
      <c r="A100" s="35" t="s">
        <v>1149</v>
      </c>
      <c r="B100" s="35" t="s">
        <v>986</v>
      </c>
      <c r="C100" s="35" t="s">
        <v>1422</v>
      </c>
      <c r="D100" s="35" t="str">
        <f>_xlfn.XLOOKUP(E100,Organograma!G:G,Organograma!H:H,"")</f>
        <v>Aislan Azevedo Santos</v>
      </c>
      <c r="E100" s="35" t="s">
        <v>135</v>
      </c>
      <c r="F100" s="36" t="s">
        <v>1206</v>
      </c>
      <c r="G100" s="35" t="s">
        <v>1205</v>
      </c>
    </row>
    <row r="101" spans="1:7">
      <c r="A101" s="35" t="s">
        <v>942</v>
      </c>
      <c r="B101" s="35" t="s">
        <v>983</v>
      </c>
      <c r="C101" s="35" t="s">
        <v>1422</v>
      </c>
      <c r="D101" s="35" t="str">
        <f>_xlfn.XLOOKUP(E101,Organograma!G:G,Organograma!H:H,"")</f>
        <v>Aislan Azevedo Santos</v>
      </c>
      <c r="E101" s="35" t="s">
        <v>135</v>
      </c>
      <c r="F101" s="36" t="s">
        <v>945</v>
      </c>
      <c r="G101" s="35" t="s">
        <v>984</v>
      </c>
    </row>
    <row r="102" spans="1:7">
      <c r="A102" s="35" t="s">
        <v>1149</v>
      </c>
      <c r="B102" s="35" t="s">
        <v>983</v>
      </c>
      <c r="C102" s="35" t="s">
        <v>1422</v>
      </c>
      <c r="D102" s="35" t="str">
        <f>_xlfn.XLOOKUP(E102,Organograma!G:G,Organograma!H:H,"")</f>
        <v>Aislan Azevedo Santos</v>
      </c>
      <c r="E102" s="35" t="s">
        <v>135</v>
      </c>
      <c r="F102" s="36" t="s">
        <v>1152</v>
      </c>
      <c r="G102" s="35" t="s">
        <v>1203</v>
      </c>
    </row>
    <row r="103" spans="1:7">
      <c r="A103" s="35" t="s">
        <v>1149</v>
      </c>
      <c r="B103" s="35" t="s">
        <v>1441</v>
      </c>
      <c r="C103" s="35" t="s">
        <v>1422</v>
      </c>
      <c r="D103" s="35" t="str">
        <f>_xlfn.XLOOKUP(E103,Organograma!G:G,Organograma!H:H,"")</f>
        <v>Aislan Azevedo Santos</v>
      </c>
      <c r="E103" s="35" t="s">
        <v>135</v>
      </c>
      <c r="F103" s="36" t="s">
        <v>1206</v>
      </c>
      <c r="G103" s="35" t="s">
        <v>1207</v>
      </c>
    </row>
    <row r="104" spans="1:7">
      <c r="A104" s="35" t="s">
        <v>942</v>
      </c>
      <c r="B104" s="35" t="s">
        <v>1425</v>
      </c>
      <c r="C104" s="35" t="s">
        <v>1422</v>
      </c>
      <c r="D104" s="35" t="str">
        <f>_xlfn.XLOOKUP(E104,Organograma!G:G,Organograma!H:H,"")</f>
        <v>Aislan Azevedo Santos</v>
      </c>
      <c r="E104" s="35" t="s">
        <v>135</v>
      </c>
      <c r="F104" s="36" t="s">
        <v>945</v>
      </c>
      <c r="G104" s="35" t="s">
        <v>985</v>
      </c>
    </row>
    <row r="105" spans="1:7">
      <c r="A105" s="35" t="s">
        <v>1149</v>
      </c>
      <c r="B105" s="35" t="s">
        <v>1425</v>
      </c>
      <c r="C105" s="35" t="s">
        <v>1422</v>
      </c>
      <c r="D105" s="35" t="str">
        <f>_xlfn.XLOOKUP(E105,Organograma!G:G,Organograma!H:H,"")</f>
        <v>Aislan Azevedo Santos</v>
      </c>
      <c r="E105" s="35" t="s">
        <v>135</v>
      </c>
      <c r="F105" s="36" t="s">
        <v>1152</v>
      </c>
      <c r="G105" s="35" t="s">
        <v>1204</v>
      </c>
    </row>
    <row r="106" spans="1:7">
      <c r="A106" s="35" t="s">
        <v>1149</v>
      </c>
      <c r="B106" s="35" t="s">
        <v>1275</v>
      </c>
      <c r="C106" s="35" t="s">
        <v>1422</v>
      </c>
      <c r="D106" s="35" t="str">
        <f>_xlfn.XLOOKUP(E106,Organograma!G:G,Organograma!H:H,"")</f>
        <v>Aliny Lopes Coelho</v>
      </c>
      <c r="E106" s="35" t="s">
        <v>1064</v>
      </c>
      <c r="F106" s="36" t="s">
        <v>1206</v>
      </c>
      <c r="G106" s="35" t="s">
        <v>1276</v>
      </c>
    </row>
    <row r="107" spans="1:7">
      <c r="A107" s="35" t="s">
        <v>942</v>
      </c>
      <c r="B107" s="35" t="s">
        <v>1062</v>
      </c>
      <c r="C107" s="35" t="s">
        <v>1422</v>
      </c>
      <c r="D107" s="35" t="str">
        <f>_xlfn.XLOOKUP(E107,Organograma!G:G,Organograma!H:H,"")</f>
        <v>Aliny Lopes Coelho</v>
      </c>
      <c r="E107" s="35" t="s">
        <v>1064</v>
      </c>
      <c r="F107" s="36" t="s">
        <v>945</v>
      </c>
      <c r="G107" s="35" t="s">
        <v>1063</v>
      </c>
    </row>
    <row r="108" spans="1:7">
      <c r="A108" s="35" t="s">
        <v>1149</v>
      </c>
      <c r="B108" s="35" t="s">
        <v>1062</v>
      </c>
      <c r="C108" s="35" t="s">
        <v>1422</v>
      </c>
      <c r="D108" s="35" t="str">
        <f>_xlfn.XLOOKUP(E108,Organograma!G:G,Organograma!H:H,"")</f>
        <v>Aliny Lopes Coelho</v>
      </c>
      <c r="E108" s="35" t="s">
        <v>1064</v>
      </c>
      <c r="F108" s="36" t="s">
        <v>1206</v>
      </c>
      <c r="G108" s="35" t="s">
        <v>1274</v>
      </c>
    </row>
    <row r="109" spans="1:7">
      <c r="A109" s="35" t="s">
        <v>942</v>
      </c>
      <c r="B109" s="35" t="s">
        <v>1065</v>
      </c>
      <c r="C109" s="35" t="s">
        <v>1422</v>
      </c>
      <c r="D109" s="35" t="str">
        <f>_xlfn.XLOOKUP(E109,Organograma!G:G,Organograma!H:H,"")</f>
        <v>Aliny Lopes Coelho</v>
      </c>
      <c r="E109" s="35" t="s">
        <v>1064</v>
      </c>
      <c r="F109" s="36" t="s">
        <v>945</v>
      </c>
      <c r="G109" s="35" t="s">
        <v>1066</v>
      </c>
    </row>
    <row r="110" spans="1:7">
      <c r="A110" s="35" t="s">
        <v>1149</v>
      </c>
      <c r="B110" s="35" t="s">
        <v>1065</v>
      </c>
      <c r="C110" s="35" t="s">
        <v>1422</v>
      </c>
      <c r="D110" s="35" t="str">
        <f>_xlfn.XLOOKUP(E110,Organograma!G:G,Organograma!H:H,"")</f>
        <v>Aliny Lopes Coelho</v>
      </c>
      <c r="E110" s="35" t="s">
        <v>1064</v>
      </c>
      <c r="F110" s="36" t="s">
        <v>1206</v>
      </c>
      <c r="G110" s="35" t="s">
        <v>1277</v>
      </c>
    </row>
    <row r="111" spans="1:7">
      <c r="A111" s="35" t="s">
        <v>942</v>
      </c>
      <c r="B111" s="35" t="s">
        <v>1123</v>
      </c>
      <c r="C111" s="35" t="s">
        <v>1422</v>
      </c>
      <c r="D111" s="35" t="str">
        <f>_xlfn.XLOOKUP(E111,Organograma!G:G,Organograma!H:H,"")</f>
        <v>Camila Amanda Cardoso dos Santos</v>
      </c>
      <c r="E111" s="35" t="s">
        <v>61</v>
      </c>
      <c r="F111" s="36" t="s">
        <v>945</v>
      </c>
      <c r="G111" s="35" t="s">
        <v>1124</v>
      </c>
    </row>
    <row r="112" spans="1:7">
      <c r="A112" s="35" t="s">
        <v>1149</v>
      </c>
      <c r="B112" s="35" t="s">
        <v>1361</v>
      </c>
      <c r="C112" s="35" t="s">
        <v>1422</v>
      </c>
      <c r="D112" s="35" t="str">
        <f>_xlfn.XLOOKUP(E112,Organograma!G:G,Organograma!H:H,"")</f>
        <v>Camila Amanda Cardoso dos Santos</v>
      </c>
      <c r="E112" s="35" t="s">
        <v>61</v>
      </c>
      <c r="F112" s="36" t="s">
        <v>1206</v>
      </c>
      <c r="G112" s="35" t="s">
        <v>1362</v>
      </c>
    </row>
    <row r="113" spans="1:7">
      <c r="A113" s="35" t="s">
        <v>1149</v>
      </c>
      <c r="B113" s="35" t="s">
        <v>1359</v>
      </c>
      <c r="C113" s="35" t="s">
        <v>1422</v>
      </c>
      <c r="D113" s="35" t="str">
        <f>_xlfn.XLOOKUP(E113,Organograma!G:G,Organograma!H:H,"")</f>
        <v>Camila Amanda Cardoso dos Santos</v>
      </c>
      <c r="E113" s="35" t="s">
        <v>61</v>
      </c>
      <c r="F113" s="36" t="s">
        <v>1206</v>
      </c>
      <c r="G113" s="35" t="s">
        <v>1360</v>
      </c>
    </row>
    <row r="114" spans="1:7">
      <c r="A114" s="35" t="s">
        <v>1149</v>
      </c>
      <c r="B114" s="35" t="s">
        <v>1363</v>
      </c>
      <c r="C114" s="35" t="s">
        <v>1422</v>
      </c>
      <c r="D114" s="35" t="str">
        <f>_xlfn.XLOOKUP(E114,Organograma!G:G,Organograma!H:H,"")</f>
        <v>Camila Amanda Cardoso dos Santos</v>
      </c>
      <c r="E114" s="35" t="s">
        <v>61</v>
      </c>
      <c r="F114" s="36" t="s">
        <v>1206</v>
      </c>
      <c r="G114" s="35" t="s">
        <v>1364</v>
      </c>
    </row>
    <row r="115" spans="1:7">
      <c r="A115" s="35" t="s">
        <v>1149</v>
      </c>
      <c r="B115" s="35" t="s">
        <v>1458</v>
      </c>
      <c r="C115" s="35" t="s">
        <v>1422</v>
      </c>
      <c r="D115" s="35" t="str">
        <f>_xlfn.XLOOKUP(E115,Organograma!G:G,Organograma!H:H,"")</f>
        <v>Camila Amanda Cardoso dos Santos</v>
      </c>
      <c r="E115" s="35" t="s">
        <v>61</v>
      </c>
      <c r="F115" s="36" t="s">
        <v>1206</v>
      </c>
      <c r="G115" s="35" t="s">
        <v>1366</v>
      </c>
    </row>
    <row r="116" spans="1:7">
      <c r="A116" s="35" t="s">
        <v>942</v>
      </c>
      <c r="B116" s="35" t="s">
        <v>1434</v>
      </c>
      <c r="C116" s="35" t="s">
        <v>1422</v>
      </c>
      <c r="D116" s="35" t="str">
        <f>_xlfn.XLOOKUP(E116,Organograma!G:G,Organograma!H:H,"")</f>
        <v>Camila Amanda Cardoso dos Santos</v>
      </c>
      <c r="E116" s="35" t="s">
        <v>61</v>
      </c>
      <c r="F116" s="36" t="s">
        <v>945</v>
      </c>
      <c r="G116" s="35" t="s">
        <v>1125</v>
      </c>
    </row>
    <row r="117" spans="1:7">
      <c r="A117" s="35" t="s">
        <v>1149</v>
      </c>
      <c r="B117" s="35" t="s">
        <v>1434</v>
      </c>
      <c r="C117" s="35" t="s">
        <v>1422</v>
      </c>
      <c r="D117" s="35" t="str">
        <f>_xlfn.XLOOKUP(E117,Organograma!G:G,Organograma!H:H,"")</f>
        <v>Camila Amanda Cardoso dos Santos</v>
      </c>
      <c r="E117" s="35" t="s">
        <v>61</v>
      </c>
      <c r="F117" s="36" t="s">
        <v>1206</v>
      </c>
      <c r="G117" s="35" t="s">
        <v>1365</v>
      </c>
    </row>
    <row r="118" spans="1:7">
      <c r="A118" s="35" t="s">
        <v>1149</v>
      </c>
      <c r="B118" s="35" t="s">
        <v>1457</v>
      </c>
      <c r="C118" s="35" t="s">
        <v>1422</v>
      </c>
      <c r="D118" s="35" t="str">
        <f>_xlfn.XLOOKUP(E118,Organograma!G:G,Organograma!H:H,"")</f>
        <v>Camila Amanda Cardoso dos Santos</v>
      </c>
      <c r="E118" s="35" t="s">
        <v>61</v>
      </c>
      <c r="F118" s="36" t="s">
        <v>1206</v>
      </c>
      <c r="G118" s="35" t="s">
        <v>1358</v>
      </c>
    </row>
    <row r="119" spans="1:7">
      <c r="A119" s="35" t="s">
        <v>1149</v>
      </c>
      <c r="B119" s="35" t="s">
        <v>1185</v>
      </c>
      <c r="C119" s="35" t="s">
        <v>1422</v>
      </c>
      <c r="D119" s="35" t="str">
        <f>_xlfn.XLOOKUP(E119,Organograma!G:G,Organograma!H:H,"")</f>
        <v>Gustavo Cintra Silva</v>
      </c>
      <c r="E119" s="35" t="s">
        <v>125</v>
      </c>
      <c r="F119" s="36" t="s">
        <v>1152</v>
      </c>
      <c r="G119" s="35" t="s">
        <v>1186</v>
      </c>
    </row>
    <row r="120" spans="1:7">
      <c r="A120" s="35" t="s">
        <v>1149</v>
      </c>
      <c r="B120" s="35" t="s">
        <v>1181</v>
      </c>
      <c r="C120" s="35" t="s">
        <v>1422</v>
      </c>
      <c r="D120" s="35" t="str">
        <f>_xlfn.XLOOKUP(E120,Organograma!G:G,Organograma!H:H,"")</f>
        <v>Gustavo Cintra Silva</v>
      </c>
      <c r="E120" s="35" t="s">
        <v>125</v>
      </c>
      <c r="F120" s="36" t="s">
        <v>1152</v>
      </c>
      <c r="G120" s="35" t="s">
        <v>1182</v>
      </c>
    </row>
    <row r="121" spans="1:7">
      <c r="A121" s="35" t="s">
        <v>1149</v>
      </c>
      <c r="B121" s="35" t="s">
        <v>1179</v>
      </c>
      <c r="C121" s="35" t="s">
        <v>1422</v>
      </c>
      <c r="D121" s="35" t="str">
        <f>_xlfn.XLOOKUP(E121,Organograma!G:G,Organograma!H:H,"")</f>
        <v>Gustavo Cintra Silva</v>
      </c>
      <c r="E121" s="35" t="s">
        <v>125</v>
      </c>
      <c r="F121" s="36" t="s">
        <v>1152</v>
      </c>
      <c r="G121" s="35" t="s">
        <v>1180</v>
      </c>
    </row>
    <row r="122" spans="1:7">
      <c r="A122" s="35" t="s">
        <v>1149</v>
      </c>
      <c r="B122" s="35" t="s">
        <v>1437</v>
      </c>
      <c r="C122" s="35" t="s">
        <v>1422</v>
      </c>
      <c r="D122" s="35" t="str">
        <f>_xlfn.XLOOKUP(E122,Organograma!G:G,Organograma!H:H,"")</f>
        <v>Gustavo Cintra Silva</v>
      </c>
      <c r="E122" s="35" t="s">
        <v>125</v>
      </c>
      <c r="F122" s="36" t="s">
        <v>1152</v>
      </c>
      <c r="G122" s="35" t="s">
        <v>1183</v>
      </c>
    </row>
    <row r="123" spans="1:7">
      <c r="A123" s="35" t="s">
        <v>1149</v>
      </c>
      <c r="B123" s="35" t="s">
        <v>1438</v>
      </c>
      <c r="C123" s="35" t="s">
        <v>1422</v>
      </c>
      <c r="D123" s="35" t="str">
        <f>_xlfn.XLOOKUP(E123,Organograma!G:G,Organograma!H:H,"")</f>
        <v>Gustavo Cintra Silva</v>
      </c>
      <c r="E123" s="35" t="s">
        <v>125</v>
      </c>
      <c r="F123" s="36" t="s">
        <v>1152</v>
      </c>
      <c r="G123" s="35" t="s">
        <v>1184</v>
      </c>
    </row>
    <row r="124" spans="1:7">
      <c r="A124" s="35" t="s">
        <v>1149</v>
      </c>
      <c r="B124" s="35" t="s">
        <v>1191</v>
      </c>
      <c r="C124" s="35" t="s">
        <v>1422</v>
      </c>
      <c r="D124" s="35" t="str">
        <f>_xlfn.XLOOKUP(E124,Organograma!G:G,Organograma!H:H,"")</f>
        <v>Mariana Feitosa Silva</v>
      </c>
      <c r="E124" s="35" t="s">
        <v>129</v>
      </c>
      <c r="F124" s="36" t="s">
        <v>1152</v>
      </c>
      <c r="G124" s="35" t="s">
        <v>1192</v>
      </c>
    </row>
    <row r="125" spans="1:7">
      <c r="A125" s="35" t="s">
        <v>1149</v>
      </c>
      <c r="B125" s="35" t="s">
        <v>1414</v>
      </c>
      <c r="C125" s="35" t="s">
        <v>1422</v>
      </c>
      <c r="D125" s="35" t="str">
        <f>_xlfn.XLOOKUP(E125,Organograma!G:G,Organograma!H:H,"")</f>
        <v>Rafaela Braga Simões</v>
      </c>
      <c r="E125" s="35" t="s">
        <v>1142</v>
      </c>
      <c r="F125" s="36" t="s">
        <v>1386</v>
      </c>
      <c r="G125" s="35" t="s">
        <v>1415</v>
      </c>
    </row>
    <row r="126" spans="1:7">
      <c r="A126" s="35" t="s">
        <v>942</v>
      </c>
      <c r="B126" s="35" t="s">
        <v>1140</v>
      </c>
      <c r="C126" s="35" t="s">
        <v>1422</v>
      </c>
      <c r="D126" s="35" t="str">
        <f>_xlfn.XLOOKUP(E126,Organograma!G:G,Organograma!H:H,"")</f>
        <v>Rafaela Braga Simões</v>
      </c>
      <c r="E126" s="35" t="s">
        <v>1142</v>
      </c>
      <c r="F126" s="36" t="s">
        <v>945</v>
      </c>
      <c r="G126" s="35" t="s">
        <v>1141</v>
      </c>
    </row>
    <row r="127" spans="1:7">
      <c r="A127" s="35" t="s">
        <v>1149</v>
      </c>
      <c r="B127" s="35" t="s">
        <v>1140</v>
      </c>
      <c r="C127" s="35" t="s">
        <v>1422</v>
      </c>
      <c r="D127" s="35" t="str">
        <f>_xlfn.XLOOKUP(E127,Organograma!G:G,Organograma!H:H,"")</f>
        <v>Rafaela Braga Simões</v>
      </c>
      <c r="E127" s="35" t="s">
        <v>1142</v>
      </c>
      <c r="F127" s="36" t="s">
        <v>1386</v>
      </c>
      <c r="G127" s="35" t="s">
        <v>1417</v>
      </c>
    </row>
    <row r="128" spans="1:7">
      <c r="A128" s="35" t="s">
        <v>1149</v>
      </c>
      <c r="B128" s="35" t="s">
        <v>1464</v>
      </c>
      <c r="C128" s="35" t="s">
        <v>1422</v>
      </c>
      <c r="D128" s="35" t="str">
        <f>_xlfn.XLOOKUP(E128,Organograma!G:G,Organograma!H:H,"")</f>
        <v>Rafaela Braga Simões</v>
      </c>
      <c r="E128" s="35" t="s">
        <v>1142</v>
      </c>
      <c r="F128" s="36" t="s">
        <v>1386</v>
      </c>
      <c r="G128" s="35" t="s">
        <v>1416</v>
      </c>
    </row>
    <row r="129" spans="1:7">
      <c r="A129" s="35" t="s">
        <v>1149</v>
      </c>
      <c r="B129" s="35" t="s">
        <v>1463</v>
      </c>
      <c r="C129" s="35" t="s">
        <v>1422</v>
      </c>
      <c r="D129" s="35" t="str">
        <f>_xlfn.XLOOKUP(E129,Organograma!G:G,Organograma!H:H,"")</f>
        <v>Rafaela Braga Simões</v>
      </c>
      <c r="E129" s="35" t="s">
        <v>1142</v>
      </c>
      <c r="F129" s="36" t="s">
        <v>1386</v>
      </c>
      <c r="G129" s="35" t="s">
        <v>1413</v>
      </c>
    </row>
    <row r="130" spans="1:7">
      <c r="A130" s="35" t="s">
        <v>1149</v>
      </c>
      <c r="B130" s="35" t="s">
        <v>1226</v>
      </c>
      <c r="C130" s="35" t="s">
        <v>1422</v>
      </c>
      <c r="D130" s="35" t="str">
        <f>_xlfn.XLOOKUP(E130,Organograma!G:G,Organograma!H:H,"")</f>
        <v>Janaina Bernardes Ayer</v>
      </c>
      <c r="E130" s="35" t="s">
        <v>193</v>
      </c>
      <c r="F130" s="36" t="s">
        <v>1206</v>
      </c>
      <c r="G130" s="35" t="s">
        <v>1227</v>
      </c>
    </row>
    <row r="131" spans="1:7">
      <c r="A131" s="35" t="s">
        <v>1149</v>
      </c>
      <c r="B131" s="35" t="s">
        <v>1213</v>
      </c>
      <c r="C131" s="35" t="s">
        <v>1422</v>
      </c>
      <c r="D131" s="35" t="str">
        <f>_xlfn.XLOOKUP(E131,Organograma!G:G,Organograma!H:H,"")</f>
        <v>Janaina Bernardes Ayer</v>
      </c>
      <c r="E131" s="35" t="s">
        <v>193</v>
      </c>
      <c r="F131" s="36" t="s">
        <v>1206</v>
      </c>
      <c r="G131" s="35" t="s">
        <v>1214</v>
      </c>
    </row>
    <row r="132" spans="1:7">
      <c r="A132" s="35" t="s">
        <v>942</v>
      </c>
      <c r="B132" s="35" t="s">
        <v>1001</v>
      </c>
      <c r="C132" s="35" t="s">
        <v>1422</v>
      </c>
      <c r="D132" s="35" t="str">
        <f>_xlfn.XLOOKUP(E132,Organograma!G:G,Organograma!H:H,"")</f>
        <v>Janaina Bernardes Ayer</v>
      </c>
      <c r="E132" s="35" t="s">
        <v>193</v>
      </c>
      <c r="F132" s="36" t="s">
        <v>945</v>
      </c>
      <c r="G132" s="35" t="s">
        <v>1002</v>
      </c>
    </row>
    <row r="133" spans="1:7">
      <c r="A133" s="35" t="s">
        <v>942</v>
      </c>
      <c r="B133" s="35" t="s">
        <v>1003</v>
      </c>
      <c r="C133" s="35" t="s">
        <v>1422</v>
      </c>
      <c r="D133" s="35" t="str">
        <f>_xlfn.XLOOKUP(E133,Organograma!G:G,Organograma!H:H,"")</f>
        <v>Janaina Bernardes Ayer</v>
      </c>
      <c r="E133" s="35" t="s">
        <v>193</v>
      </c>
      <c r="F133" s="36" t="s">
        <v>945</v>
      </c>
      <c r="G133" s="35" t="s">
        <v>1004</v>
      </c>
    </row>
    <row r="134" spans="1:7">
      <c r="A134" s="35" t="s">
        <v>1149</v>
      </c>
      <c r="B134" s="35" t="s">
        <v>1003</v>
      </c>
      <c r="C134" s="35" t="s">
        <v>1422</v>
      </c>
      <c r="D134" s="35" t="str">
        <f>_xlfn.XLOOKUP(E134,Organograma!G:G,Organograma!H:H,"")</f>
        <v>Janaina Bernardes Ayer</v>
      </c>
      <c r="E134" s="35" t="s">
        <v>193</v>
      </c>
      <c r="F134" s="36" t="s">
        <v>1206</v>
      </c>
      <c r="G134" s="35" t="s">
        <v>1219</v>
      </c>
    </row>
    <row r="135" spans="1:7">
      <c r="A135" s="35" t="s">
        <v>942</v>
      </c>
      <c r="B135" s="35" t="s">
        <v>1007</v>
      </c>
      <c r="C135" s="35" t="s">
        <v>1422</v>
      </c>
      <c r="D135" s="35" t="str">
        <f>_xlfn.XLOOKUP(E135,Organograma!G:G,Organograma!H:H,"")</f>
        <v>Janaina Bernardes Ayer</v>
      </c>
      <c r="E135" s="35" t="s">
        <v>193</v>
      </c>
      <c r="F135" s="36" t="s">
        <v>945</v>
      </c>
      <c r="G135" s="35" t="s">
        <v>1008</v>
      </c>
    </row>
    <row r="136" spans="1:7">
      <c r="A136" s="35" t="s">
        <v>1149</v>
      </c>
      <c r="B136" s="35" t="s">
        <v>1007</v>
      </c>
      <c r="C136" s="35" t="s">
        <v>1422</v>
      </c>
      <c r="D136" s="35" t="str">
        <f>_xlfn.XLOOKUP(E136,Organograma!G:G,Organograma!H:H,"")</f>
        <v>Janaina Bernardes Ayer</v>
      </c>
      <c r="E136" s="35" t="s">
        <v>193</v>
      </c>
      <c r="F136" s="36" t="s">
        <v>1206</v>
      </c>
      <c r="G136" s="35" t="s">
        <v>1221</v>
      </c>
    </row>
    <row r="137" spans="1:7">
      <c r="A137" s="35" t="s">
        <v>1149</v>
      </c>
      <c r="B137" s="35" t="s">
        <v>1224</v>
      </c>
      <c r="C137" s="35" t="s">
        <v>1422</v>
      </c>
      <c r="D137" s="35" t="str">
        <f>_xlfn.XLOOKUP(E137,Organograma!G:G,Organograma!H:H,"")</f>
        <v>Janaina Bernardes Ayer</v>
      </c>
      <c r="E137" s="35" t="s">
        <v>193</v>
      </c>
      <c r="F137" s="36" t="s">
        <v>1206</v>
      </c>
      <c r="G137" s="35" t="s">
        <v>1225</v>
      </c>
    </row>
    <row r="138" spans="1:7">
      <c r="A138" s="35" t="s">
        <v>1149</v>
      </c>
      <c r="B138" s="35" t="s">
        <v>1215</v>
      </c>
      <c r="C138" s="35" t="s">
        <v>1422</v>
      </c>
      <c r="D138" s="35" t="str">
        <f>_xlfn.XLOOKUP(E138,Organograma!G:G,Organograma!H:H,"")</f>
        <v>Janaina Bernardes Ayer</v>
      </c>
      <c r="E138" s="35" t="s">
        <v>193</v>
      </c>
      <c r="F138" s="36" t="s">
        <v>1206</v>
      </c>
      <c r="G138" s="35" t="s">
        <v>1216</v>
      </c>
    </row>
    <row r="139" spans="1:7">
      <c r="A139" s="35" t="s">
        <v>942</v>
      </c>
      <c r="B139" s="35" t="s">
        <v>998</v>
      </c>
      <c r="C139" s="35" t="s">
        <v>1422</v>
      </c>
      <c r="D139" s="35" t="str">
        <f>_xlfn.XLOOKUP(E139,Organograma!G:G,Organograma!H:H,"")</f>
        <v>Janaina Bernardes Ayer</v>
      </c>
      <c r="E139" s="35" t="s">
        <v>193</v>
      </c>
      <c r="F139" s="36" t="s">
        <v>945</v>
      </c>
      <c r="G139" s="35" t="s">
        <v>999</v>
      </c>
    </row>
    <row r="140" spans="1:7">
      <c r="A140" s="35" t="s">
        <v>942</v>
      </c>
      <c r="B140" s="35" t="s">
        <v>1009</v>
      </c>
      <c r="C140" s="35" t="s">
        <v>1422</v>
      </c>
      <c r="D140" s="35" t="str">
        <f>_xlfn.XLOOKUP(E140,Organograma!G:G,Organograma!H:H,"")</f>
        <v>Janaina Bernardes Ayer</v>
      </c>
      <c r="E140" s="35" t="s">
        <v>193</v>
      </c>
      <c r="F140" s="36" t="s">
        <v>945</v>
      </c>
      <c r="G140" s="35" t="s">
        <v>1010</v>
      </c>
    </row>
    <row r="141" spans="1:7">
      <c r="A141" s="35" t="s">
        <v>942</v>
      </c>
      <c r="B141" s="35" t="s">
        <v>1005</v>
      </c>
      <c r="C141" s="35" t="s">
        <v>1422</v>
      </c>
      <c r="D141" s="35" t="str">
        <f>_xlfn.XLOOKUP(E141,Organograma!G:G,Organograma!H:H,"")</f>
        <v>Janaina Bernardes Ayer</v>
      </c>
      <c r="E141" s="35" t="s">
        <v>193</v>
      </c>
      <c r="F141" s="36" t="s">
        <v>945</v>
      </c>
      <c r="G141" s="35" t="s">
        <v>1006</v>
      </c>
    </row>
    <row r="142" spans="1:7">
      <c r="A142" s="35" t="s">
        <v>1149</v>
      </c>
      <c r="B142" s="35" t="s">
        <v>1005</v>
      </c>
      <c r="C142" s="35" t="s">
        <v>1422</v>
      </c>
      <c r="D142" s="35" t="str">
        <f>_xlfn.XLOOKUP(E142,Organograma!G:G,Organograma!H:H,"")</f>
        <v>Janaina Bernardes Ayer</v>
      </c>
      <c r="E142" s="35" t="s">
        <v>193</v>
      </c>
      <c r="F142" s="36" t="s">
        <v>1206</v>
      </c>
      <c r="G142" s="35" t="s">
        <v>1220</v>
      </c>
    </row>
    <row r="143" spans="1:7">
      <c r="A143" s="35" t="s">
        <v>1149</v>
      </c>
      <c r="B143" s="35" t="s">
        <v>1222</v>
      </c>
      <c r="C143" s="35" t="s">
        <v>1422</v>
      </c>
      <c r="D143" s="35" t="str">
        <f>_xlfn.XLOOKUP(E143,Organograma!G:G,Organograma!H:H,"")</f>
        <v>Janaina Bernardes Ayer</v>
      </c>
      <c r="E143" s="35" t="s">
        <v>193</v>
      </c>
      <c r="F143" s="36" t="s">
        <v>1206</v>
      </c>
      <c r="G143" s="35" t="s">
        <v>1223</v>
      </c>
    </row>
    <row r="144" spans="1:7">
      <c r="A144" s="35" t="s">
        <v>942</v>
      </c>
      <c r="B144" s="35" t="s">
        <v>994</v>
      </c>
      <c r="C144" s="35" t="s">
        <v>1422</v>
      </c>
      <c r="D144" s="35" t="str">
        <f>_xlfn.XLOOKUP(E144,Organograma!G:G,Organograma!H:H,"")</f>
        <v>Janaina Bernardes Ayer</v>
      </c>
      <c r="E144" s="35" t="s">
        <v>193</v>
      </c>
      <c r="F144" s="36" t="s">
        <v>945</v>
      </c>
      <c r="G144" s="35" t="s">
        <v>995</v>
      </c>
    </row>
    <row r="145" spans="1:7">
      <c r="A145" s="35" t="s">
        <v>1149</v>
      </c>
      <c r="B145" s="35" t="s">
        <v>1443</v>
      </c>
      <c r="C145" s="35" t="s">
        <v>1422</v>
      </c>
      <c r="D145" s="35" t="str">
        <f>_xlfn.XLOOKUP(E145,Organograma!G:G,Organograma!H:H,"")</f>
        <v>Janaina Bernardes Ayer</v>
      </c>
      <c r="E145" s="35" t="s">
        <v>193</v>
      </c>
      <c r="F145" s="36" t="s">
        <v>1206</v>
      </c>
      <c r="G145" s="35" t="s">
        <v>1218</v>
      </c>
    </row>
    <row r="146" spans="1:7">
      <c r="A146" s="35" t="s">
        <v>942</v>
      </c>
      <c r="B146" s="35" t="s">
        <v>996</v>
      </c>
      <c r="C146" s="35" t="s">
        <v>1422</v>
      </c>
      <c r="D146" s="35" t="str">
        <f>_xlfn.XLOOKUP(E146,Organograma!G:G,Organograma!H:H,"")</f>
        <v>Janaina Bernardes Ayer</v>
      </c>
      <c r="E146" s="35" t="s">
        <v>193</v>
      </c>
      <c r="F146" s="36" t="s">
        <v>945</v>
      </c>
      <c r="G146" s="35" t="s">
        <v>997</v>
      </c>
    </row>
    <row r="147" spans="1:7">
      <c r="A147" s="35" t="s">
        <v>942</v>
      </c>
      <c r="B147" s="35" t="s">
        <v>1426</v>
      </c>
      <c r="C147" s="35" t="s">
        <v>1422</v>
      </c>
      <c r="D147" s="35" t="str">
        <f>_xlfn.XLOOKUP(E147,Organograma!G:G,Organograma!H:H,"")</f>
        <v>Janaina Bernardes Ayer</v>
      </c>
      <c r="E147" s="35" t="s">
        <v>193</v>
      </c>
      <c r="F147" s="36" t="s">
        <v>945</v>
      </c>
      <c r="G147" s="35" t="s">
        <v>1000</v>
      </c>
    </row>
    <row r="148" spans="1:7">
      <c r="A148" s="35" t="s">
        <v>1149</v>
      </c>
      <c r="B148" s="35" t="s">
        <v>1442</v>
      </c>
      <c r="C148" s="35" t="s">
        <v>1422</v>
      </c>
      <c r="D148" s="35" t="str">
        <f>_xlfn.XLOOKUP(E148,Organograma!G:G,Organograma!H:H,"")</f>
        <v>Janaina Bernardes Ayer</v>
      </c>
      <c r="E148" s="35" t="s">
        <v>193</v>
      </c>
      <c r="F148" s="36" t="s">
        <v>1206</v>
      </c>
      <c r="G148" s="35" t="s">
        <v>1217</v>
      </c>
    </row>
    <row r="149" spans="1:7">
      <c r="A149" s="35" t="s">
        <v>1149</v>
      </c>
      <c r="B149" s="35" t="s">
        <v>1278</v>
      </c>
      <c r="C149" s="35" t="s">
        <v>1422</v>
      </c>
      <c r="D149" s="35" t="str">
        <f>_xlfn.XLOOKUP(E149,Organograma!G:G,Organograma!H:H,"")</f>
        <v>Aliny Lopes Coelho</v>
      </c>
      <c r="E149" s="35" t="s">
        <v>55</v>
      </c>
      <c r="F149" s="36" t="s">
        <v>1206</v>
      </c>
      <c r="G149" s="35" t="s">
        <v>1279</v>
      </c>
    </row>
    <row r="150" spans="1:7">
      <c r="A150" s="35" t="s">
        <v>942</v>
      </c>
      <c r="B150" s="35" t="s">
        <v>1068</v>
      </c>
      <c r="C150" s="35" t="s">
        <v>1422</v>
      </c>
      <c r="D150" s="35" t="str">
        <f>_xlfn.XLOOKUP(E150,Organograma!G:G,Organograma!H:H,"")</f>
        <v>Aliny Lopes Coelho</v>
      </c>
      <c r="E150" s="35" t="s">
        <v>55</v>
      </c>
      <c r="F150" s="36" t="s">
        <v>945</v>
      </c>
      <c r="G150" s="35" t="s">
        <v>1069</v>
      </c>
    </row>
    <row r="151" spans="1:7">
      <c r="A151" s="35" t="s">
        <v>1149</v>
      </c>
      <c r="B151" s="35" t="s">
        <v>1068</v>
      </c>
      <c r="C151" s="35" t="s">
        <v>1422</v>
      </c>
      <c r="D151" s="35" t="str">
        <f>_xlfn.XLOOKUP(E151,Organograma!G:G,Organograma!H:H,"")</f>
        <v>Aliny Lopes Coelho</v>
      </c>
      <c r="E151" s="35" t="s">
        <v>55</v>
      </c>
      <c r="F151" s="36" t="s">
        <v>1206</v>
      </c>
      <c r="G151" s="35" t="s">
        <v>1280</v>
      </c>
    </row>
    <row r="152" spans="1:7">
      <c r="A152" s="35" t="s">
        <v>1149</v>
      </c>
      <c r="B152" s="35" t="s">
        <v>1282</v>
      </c>
      <c r="C152" s="35" t="s">
        <v>1422</v>
      </c>
      <c r="D152" s="35" t="str">
        <f>_xlfn.XLOOKUP(E152,Organograma!G:G,Organograma!H:H,"")</f>
        <v>Aliny Lopes Coelho</v>
      </c>
      <c r="E152" s="35" t="s">
        <v>55</v>
      </c>
      <c r="F152" s="36" t="s">
        <v>1206</v>
      </c>
      <c r="G152" s="35" t="s">
        <v>1283</v>
      </c>
    </row>
    <row r="153" spans="1:7">
      <c r="A153" s="35" t="s">
        <v>942</v>
      </c>
      <c r="B153" s="35" t="s">
        <v>1429</v>
      </c>
      <c r="C153" s="35" t="s">
        <v>1422</v>
      </c>
      <c r="D153" s="35" t="str">
        <f>_xlfn.XLOOKUP(E153,Organograma!G:G,Organograma!H:H,"")</f>
        <v>Aliny Lopes Coelho</v>
      </c>
      <c r="E153" s="35" t="s">
        <v>55</v>
      </c>
      <c r="F153" s="36" t="s">
        <v>945</v>
      </c>
      <c r="G153" s="35" t="s">
        <v>1067</v>
      </c>
    </row>
    <row r="154" spans="1:7">
      <c r="A154" s="35" t="s">
        <v>942</v>
      </c>
      <c r="B154" s="35" t="s">
        <v>1074</v>
      </c>
      <c r="C154" s="35" t="s">
        <v>1422</v>
      </c>
      <c r="D154" s="35" t="str">
        <f>_xlfn.XLOOKUP(E154,Organograma!G:G,Organograma!H:H,"")</f>
        <v>Aliny Lopes Coelho</v>
      </c>
      <c r="E154" s="35" t="s">
        <v>55</v>
      </c>
      <c r="F154" s="36" t="s">
        <v>945</v>
      </c>
      <c r="G154" s="35" t="s">
        <v>1075</v>
      </c>
    </row>
    <row r="155" spans="1:7">
      <c r="A155" s="35" t="s">
        <v>942</v>
      </c>
      <c r="B155" s="35" t="s">
        <v>1072</v>
      </c>
      <c r="C155" s="35" t="s">
        <v>1422</v>
      </c>
      <c r="D155" s="35" t="str">
        <f>_xlfn.XLOOKUP(E155,Organograma!G:G,Organograma!H:H,"")</f>
        <v>Aliny Lopes Coelho</v>
      </c>
      <c r="E155" s="35" t="s">
        <v>55</v>
      </c>
      <c r="F155" s="36" t="s">
        <v>945</v>
      </c>
      <c r="G155" s="35" t="s">
        <v>1073</v>
      </c>
    </row>
    <row r="156" spans="1:7">
      <c r="A156" s="35" t="s">
        <v>942</v>
      </c>
      <c r="B156" s="35" t="s">
        <v>1070</v>
      </c>
      <c r="C156" s="35" t="s">
        <v>1422</v>
      </c>
      <c r="D156" s="35" t="str">
        <f>_xlfn.XLOOKUP(E156,Organograma!G:G,Organograma!H:H,"")</f>
        <v>Aliny Lopes Coelho</v>
      </c>
      <c r="E156" s="35" t="s">
        <v>55</v>
      </c>
      <c r="F156" s="36" t="s">
        <v>945</v>
      </c>
      <c r="G156" s="35" t="s">
        <v>1071</v>
      </c>
    </row>
    <row r="157" spans="1:7">
      <c r="A157" s="35" t="s">
        <v>1149</v>
      </c>
      <c r="B157" s="35" t="s">
        <v>1070</v>
      </c>
      <c r="C157" s="35" t="s">
        <v>1422</v>
      </c>
      <c r="D157" s="35" t="str">
        <f>_xlfn.XLOOKUP(E157,Organograma!G:G,Organograma!H:H,"")</f>
        <v>Aliny Lopes Coelho</v>
      </c>
      <c r="E157" s="35" t="s">
        <v>55</v>
      </c>
      <c r="F157" s="36" t="s">
        <v>1206</v>
      </c>
      <c r="G157" s="35" t="s">
        <v>1281</v>
      </c>
    </row>
    <row r="158" spans="1:7">
      <c r="A158" s="35" t="s">
        <v>942</v>
      </c>
      <c r="B158" s="35" t="s">
        <v>988</v>
      </c>
      <c r="C158" s="35" t="s">
        <v>1422</v>
      </c>
      <c r="D158" s="35" t="str">
        <f>_xlfn.XLOOKUP(E158,Organograma!G:G,Organograma!H:H,"")</f>
        <v>Gleyce Kelly Damaceno Barros Cavalcante</v>
      </c>
      <c r="E158" s="35" t="s">
        <v>31</v>
      </c>
      <c r="F158" s="36" t="s">
        <v>945</v>
      </c>
      <c r="G158" s="35" t="s">
        <v>989</v>
      </c>
    </row>
    <row r="159" spans="1:7">
      <c r="A159" s="35" t="s">
        <v>1149</v>
      </c>
      <c r="B159" s="35" t="s">
        <v>988</v>
      </c>
      <c r="C159" s="35" t="s">
        <v>1422</v>
      </c>
      <c r="D159" s="35" t="str">
        <f>_xlfn.XLOOKUP(E159,Organograma!G:G,Organograma!H:H,"")</f>
        <v>Gleyce Kelly Damaceno Barros Cavalcante</v>
      </c>
      <c r="E159" s="35" t="s">
        <v>31</v>
      </c>
      <c r="F159" s="36" t="s">
        <v>1206</v>
      </c>
      <c r="G159" s="35" t="s">
        <v>1208</v>
      </c>
    </row>
    <row r="160" spans="1:7">
      <c r="A160" s="35" t="s">
        <v>942</v>
      </c>
      <c r="B160" s="35" t="s">
        <v>992</v>
      </c>
      <c r="C160" s="35" t="s">
        <v>1422</v>
      </c>
      <c r="D160" s="35" t="str">
        <f>_xlfn.XLOOKUP(E160,Organograma!G:G,Organograma!H:H,"")</f>
        <v>Gleyce Kelly Damaceno Barros Cavalcante</v>
      </c>
      <c r="E160" s="35" t="s">
        <v>31</v>
      </c>
      <c r="F160" s="36" t="s">
        <v>945</v>
      </c>
      <c r="G160" s="35" t="s">
        <v>993</v>
      </c>
    </row>
    <row r="161" spans="1:7">
      <c r="A161" s="35" t="s">
        <v>1149</v>
      </c>
      <c r="B161" s="35" t="s">
        <v>1209</v>
      </c>
      <c r="C161" s="35" t="s">
        <v>1422</v>
      </c>
      <c r="D161" s="35" t="str">
        <f>_xlfn.XLOOKUP(E161,Organograma!G:G,Organograma!H:H,"")</f>
        <v>Gleyce Kelly Damaceno Barros Cavalcante</v>
      </c>
      <c r="E161" s="35" t="s">
        <v>31</v>
      </c>
      <c r="F161" s="36" t="s">
        <v>1206</v>
      </c>
      <c r="G161" s="35" t="s">
        <v>1210</v>
      </c>
    </row>
    <row r="162" spans="1:7">
      <c r="A162" s="35" t="s">
        <v>1149</v>
      </c>
      <c r="B162" s="35" t="s">
        <v>1211</v>
      </c>
      <c r="C162" s="35" t="s">
        <v>1422</v>
      </c>
      <c r="D162" s="35" t="str">
        <f>_xlfn.XLOOKUP(E162,Organograma!G:G,Organograma!H:H,"")</f>
        <v>Gleyce Kelly Damaceno Barros Cavalcante</v>
      </c>
      <c r="E162" s="35" t="s">
        <v>31</v>
      </c>
      <c r="F162" s="36" t="s">
        <v>1206</v>
      </c>
      <c r="G162" s="35" t="s">
        <v>1212</v>
      </c>
    </row>
    <row r="163" spans="1:7">
      <c r="A163" s="35" t="s">
        <v>942</v>
      </c>
      <c r="B163" s="35" t="s">
        <v>990</v>
      </c>
      <c r="C163" s="35" t="s">
        <v>1422</v>
      </c>
      <c r="D163" s="35" t="str">
        <f>_xlfn.XLOOKUP(E163,Organograma!G:G,Organograma!H:H,"")</f>
        <v>Gleyce Kelly Damaceno Barros Cavalcante</v>
      </c>
      <c r="E163" s="35" t="s">
        <v>31</v>
      </c>
      <c r="F163" s="36" t="s">
        <v>945</v>
      </c>
      <c r="G163" s="35" t="s">
        <v>991</v>
      </c>
    </row>
    <row r="164" spans="1:7">
      <c r="A164" s="35" t="s">
        <v>1149</v>
      </c>
      <c r="B164" s="35" t="s">
        <v>1326</v>
      </c>
      <c r="C164" s="35" t="s">
        <v>1422</v>
      </c>
      <c r="D164" s="35" t="str">
        <f>_xlfn.XLOOKUP(E164,Organograma!G:G,Organograma!H:H,"")</f>
        <v>Camila Nascimento Santos Santana</v>
      </c>
      <c r="E164" s="35" t="s">
        <v>82</v>
      </c>
      <c r="F164" s="36" t="s">
        <v>1206</v>
      </c>
      <c r="G164" s="35" t="s">
        <v>1327</v>
      </c>
    </row>
    <row r="165" spans="1:7">
      <c r="A165" s="35" t="s">
        <v>1149</v>
      </c>
      <c r="B165" s="35" t="s">
        <v>1328</v>
      </c>
      <c r="C165" s="35" t="s">
        <v>1422</v>
      </c>
      <c r="D165" s="35" t="str">
        <f>_xlfn.XLOOKUP(E165,Organograma!G:G,Organograma!H:H,"")</f>
        <v>Camila Nascimento Santos Santana</v>
      </c>
      <c r="E165" s="35" t="s">
        <v>82</v>
      </c>
      <c r="F165" s="36" t="s">
        <v>1206</v>
      </c>
      <c r="G165" s="35" t="s">
        <v>1329</v>
      </c>
    </row>
    <row r="166" spans="1:7">
      <c r="A166" s="35" t="s">
        <v>942</v>
      </c>
      <c r="B166" s="35" t="s">
        <v>1104</v>
      </c>
      <c r="C166" s="35" t="s">
        <v>1422</v>
      </c>
      <c r="D166" s="35" t="str">
        <f>_xlfn.XLOOKUP(E166,Organograma!G:G,Organograma!H:H,"")</f>
        <v>Camila Nascimento Santos Santana</v>
      </c>
      <c r="E166" s="35" t="s">
        <v>82</v>
      </c>
      <c r="F166" s="36" t="s">
        <v>945</v>
      </c>
      <c r="G166" s="35" t="s">
        <v>1105</v>
      </c>
    </row>
    <row r="167" spans="1:7">
      <c r="A167" s="35" t="s">
        <v>1149</v>
      </c>
      <c r="B167" s="35" t="s">
        <v>1104</v>
      </c>
      <c r="C167" s="35" t="s">
        <v>1422</v>
      </c>
      <c r="D167" s="35" t="str">
        <f>_xlfn.XLOOKUP(E167,Organograma!G:G,Organograma!H:H,"")</f>
        <v>Camila Nascimento Santos Santana</v>
      </c>
      <c r="E167" s="35" t="s">
        <v>82</v>
      </c>
      <c r="F167" s="36" t="s">
        <v>1206</v>
      </c>
      <c r="G167" s="35" t="s">
        <v>1330</v>
      </c>
    </row>
    <row r="168" spans="1:7">
      <c r="A168" s="35" t="s">
        <v>942</v>
      </c>
      <c r="B168" s="35" t="s">
        <v>1106</v>
      </c>
      <c r="C168" s="35" t="s">
        <v>1422</v>
      </c>
      <c r="D168" s="35" t="str">
        <f>_xlfn.XLOOKUP(E168,Organograma!G:G,Organograma!H:H,"")</f>
        <v>Camila Nascimento Santos Santana</v>
      </c>
      <c r="E168" s="35" t="s">
        <v>82</v>
      </c>
      <c r="F168" s="36" t="s">
        <v>945</v>
      </c>
      <c r="G168" s="35" t="s">
        <v>1107</v>
      </c>
    </row>
    <row r="169" spans="1:7">
      <c r="A169" s="35" t="s">
        <v>1149</v>
      </c>
      <c r="B169" s="35" t="s">
        <v>1106</v>
      </c>
      <c r="C169" s="35" t="s">
        <v>1422</v>
      </c>
      <c r="D169" s="35" t="str">
        <f>_xlfn.XLOOKUP(E169,Organograma!G:G,Organograma!H:H,"")</f>
        <v>Camila Nascimento Santos Santana</v>
      </c>
      <c r="E169" s="35" t="s">
        <v>82</v>
      </c>
      <c r="F169" s="36" t="s">
        <v>1206</v>
      </c>
      <c r="G169" s="35" t="s">
        <v>1331</v>
      </c>
    </row>
    <row r="170" spans="1:7">
      <c r="A170" s="35" t="s">
        <v>942</v>
      </c>
      <c r="B170" s="35" t="s">
        <v>1102</v>
      </c>
      <c r="C170" s="35" t="s">
        <v>1422</v>
      </c>
      <c r="D170" s="35" t="str">
        <f>_xlfn.XLOOKUP(E170,Organograma!G:G,Organograma!H:H,"")</f>
        <v>Camila Nascimento Santos Santana</v>
      </c>
      <c r="E170" s="35" t="s">
        <v>82</v>
      </c>
      <c r="F170" s="36" t="s">
        <v>945</v>
      </c>
      <c r="G170" s="35" t="s">
        <v>1103</v>
      </c>
    </row>
    <row r="171" spans="1:7">
      <c r="A171" s="35" t="s">
        <v>1149</v>
      </c>
      <c r="B171" s="35" t="s">
        <v>1162</v>
      </c>
      <c r="C171" s="35" t="s">
        <v>1422</v>
      </c>
      <c r="D171" s="35" t="str">
        <f>_xlfn.XLOOKUP(E171,Organograma!G:G,Organograma!H:H,"")</f>
        <v>Antonio Carlos Martins de Sousa Junior</v>
      </c>
      <c r="E171" s="35" t="s">
        <v>108</v>
      </c>
      <c r="F171" s="36" t="s">
        <v>1152</v>
      </c>
      <c r="G171" s="35" t="s">
        <v>1163</v>
      </c>
    </row>
    <row r="172" spans="1:7">
      <c r="A172" s="35" t="s">
        <v>1149</v>
      </c>
      <c r="B172" s="35" t="s">
        <v>1166</v>
      </c>
      <c r="C172" s="35" t="s">
        <v>1422</v>
      </c>
      <c r="D172" s="35" t="str">
        <f>_xlfn.XLOOKUP(E172,Organograma!G:G,Organograma!H:H,"")</f>
        <v>Antonio Carlos Martins de Sousa Junior</v>
      </c>
      <c r="E172" s="35" t="s">
        <v>108</v>
      </c>
      <c r="F172" s="36" t="s">
        <v>1152</v>
      </c>
      <c r="G172" s="35" t="s">
        <v>1167</v>
      </c>
    </row>
    <row r="173" spans="1:7">
      <c r="A173" s="35" t="s">
        <v>1149</v>
      </c>
      <c r="B173" s="35" t="s">
        <v>1164</v>
      </c>
      <c r="C173" s="35" t="s">
        <v>1422</v>
      </c>
      <c r="D173" s="35" t="str">
        <f>_xlfn.XLOOKUP(E173,Organograma!G:G,Organograma!H:H,"")</f>
        <v>Antonio Carlos Martins de Sousa Junior</v>
      </c>
      <c r="E173" s="35" t="s">
        <v>108</v>
      </c>
      <c r="F173" s="36" t="s">
        <v>1152</v>
      </c>
      <c r="G173" s="35" t="s">
        <v>1165</v>
      </c>
    </row>
    <row r="174" spans="1:7">
      <c r="A174" s="35" t="s">
        <v>1149</v>
      </c>
      <c r="B174" s="35" t="s">
        <v>1158</v>
      </c>
      <c r="C174" s="35" t="s">
        <v>1422</v>
      </c>
      <c r="D174" s="35" t="str">
        <f>_xlfn.XLOOKUP(E174,Organograma!G:G,Organograma!H:H,"")</f>
        <v>Antonio Carlos Martins de Sousa Junior</v>
      </c>
      <c r="E174" s="35" t="s">
        <v>108</v>
      </c>
      <c r="F174" s="36" t="s">
        <v>1152</v>
      </c>
      <c r="G174" s="35" t="s">
        <v>1159</v>
      </c>
    </row>
    <row r="175" spans="1:7">
      <c r="A175" s="35" t="s">
        <v>1149</v>
      </c>
      <c r="B175" s="35" t="s">
        <v>1160</v>
      </c>
      <c r="C175" s="35" t="s">
        <v>1422</v>
      </c>
      <c r="D175" s="35" t="str">
        <f>_xlfn.XLOOKUP(E175,Organograma!G:G,Organograma!H:H,"")</f>
        <v>Antonio Carlos Martins de Sousa Junior</v>
      </c>
      <c r="E175" s="35" t="s">
        <v>108</v>
      </c>
      <c r="F175" s="36" t="s">
        <v>1152</v>
      </c>
      <c r="G175" s="35" t="s">
        <v>1161</v>
      </c>
    </row>
    <row r="176" spans="1:7">
      <c r="A176" s="35" t="s">
        <v>1149</v>
      </c>
      <c r="B176" s="35" t="s">
        <v>1156</v>
      </c>
      <c r="C176" s="35" t="s">
        <v>1422</v>
      </c>
      <c r="D176" s="35" t="str">
        <f>_xlfn.XLOOKUP(E176,Organograma!G:G,Organograma!H:H,"")</f>
        <v>Antonio Carlos Martins de Sousa Junior</v>
      </c>
      <c r="E176" s="35" t="s">
        <v>108</v>
      </c>
      <c r="F176" s="36" t="s">
        <v>1152</v>
      </c>
      <c r="G176" s="35" t="s">
        <v>1157</v>
      </c>
    </row>
    <row r="177" spans="1:7">
      <c r="A177" s="35" t="s">
        <v>1149</v>
      </c>
      <c r="B177" s="35" t="s">
        <v>1336</v>
      </c>
      <c r="C177" s="35" t="s">
        <v>1422</v>
      </c>
      <c r="D177" s="35" t="str">
        <f>_xlfn.XLOOKUP(E177,Organograma!G:G,Organograma!H:H,"")</f>
        <v>Larissa Talita da Silva</v>
      </c>
      <c r="E177" s="35" t="s">
        <v>195</v>
      </c>
      <c r="F177" s="36" t="s">
        <v>1206</v>
      </c>
      <c r="G177" s="35" t="s">
        <v>1337</v>
      </c>
    </row>
    <row r="178" spans="1:7">
      <c r="A178" s="35" t="s">
        <v>942</v>
      </c>
      <c r="B178" s="35" t="s">
        <v>1109</v>
      </c>
      <c r="C178" s="35" t="s">
        <v>1422</v>
      </c>
      <c r="D178" s="35" t="str">
        <f>_xlfn.XLOOKUP(E178,Organograma!G:G,Organograma!H:H,"")</f>
        <v>Larissa Talita da Silva</v>
      </c>
      <c r="E178" s="35" t="s">
        <v>195</v>
      </c>
      <c r="F178" s="36" t="s">
        <v>945</v>
      </c>
      <c r="G178" s="35" t="s">
        <v>1110</v>
      </c>
    </row>
    <row r="179" spans="1:7">
      <c r="A179" s="35" t="s">
        <v>1149</v>
      </c>
      <c r="B179" s="35" t="s">
        <v>1109</v>
      </c>
      <c r="C179" s="35" t="s">
        <v>1422</v>
      </c>
      <c r="D179" s="35" t="str">
        <f>_xlfn.XLOOKUP(E179,Organograma!G:G,Organograma!H:H,"")</f>
        <v>Larissa Talita da Silva</v>
      </c>
      <c r="E179" s="35" t="s">
        <v>195</v>
      </c>
      <c r="F179" s="36" t="s">
        <v>1206</v>
      </c>
      <c r="G179" s="35" t="s">
        <v>1334</v>
      </c>
    </row>
    <row r="180" spans="1:7">
      <c r="A180" s="35" t="s">
        <v>942</v>
      </c>
      <c r="B180" s="35" t="s">
        <v>1111</v>
      </c>
      <c r="C180" s="35" t="s">
        <v>1422</v>
      </c>
      <c r="D180" s="35" t="str">
        <f>_xlfn.XLOOKUP(E180,Organograma!G:G,Organograma!H:H,"")</f>
        <v>Larissa Talita da Silva</v>
      </c>
      <c r="E180" s="35" t="s">
        <v>195</v>
      </c>
      <c r="F180" s="36" t="s">
        <v>945</v>
      </c>
      <c r="G180" s="35" t="s">
        <v>1112</v>
      </c>
    </row>
    <row r="181" spans="1:7">
      <c r="A181" s="35" t="s">
        <v>1149</v>
      </c>
      <c r="B181" s="35" t="s">
        <v>1111</v>
      </c>
      <c r="C181" s="35" t="s">
        <v>1422</v>
      </c>
      <c r="D181" s="35" t="str">
        <f>_xlfn.XLOOKUP(E181,Organograma!G:G,Organograma!H:H,"")</f>
        <v>Larissa Talita da Silva</v>
      </c>
      <c r="E181" s="35" t="s">
        <v>195</v>
      </c>
      <c r="F181" s="36" t="s">
        <v>1206</v>
      </c>
      <c r="G181" s="35" t="s">
        <v>1335</v>
      </c>
    </row>
    <row r="182" spans="1:7">
      <c r="A182" s="35" t="s">
        <v>1149</v>
      </c>
      <c r="B182" s="35" t="s">
        <v>1332</v>
      </c>
      <c r="C182" s="35" t="s">
        <v>1422</v>
      </c>
      <c r="D182" s="35" t="str">
        <f>_xlfn.XLOOKUP(E182,Organograma!G:G,Organograma!H:H,"")</f>
        <v>Larissa Talita da Silva</v>
      </c>
      <c r="E182" s="35" t="s">
        <v>195</v>
      </c>
      <c r="F182" s="36" t="s">
        <v>1206</v>
      </c>
      <c r="G182" s="35" t="s">
        <v>1333</v>
      </c>
    </row>
    <row r="183" spans="1:7">
      <c r="A183" s="35" t="s">
        <v>942</v>
      </c>
      <c r="B183" s="35" t="s">
        <v>1433</v>
      </c>
      <c r="C183" s="35" t="s">
        <v>1422</v>
      </c>
      <c r="D183" s="35" t="str">
        <f>_xlfn.XLOOKUP(E183,Organograma!G:G,Organograma!H:H,"")</f>
        <v>Larissa Talita da Silva</v>
      </c>
      <c r="E183" s="35" t="s">
        <v>195</v>
      </c>
      <c r="F183" s="36" t="s">
        <v>945</v>
      </c>
      <c r="G183" s="35" t="s">
        <v>1108</v>
      </c>
    </row>
    <row r="184" spans="1:7">
      <c r="A184" s="35" t="s">
        <v>1149</v>
      </c>
      <c r="B184" s="35" t="s">
        <v>1398</v>
      </c>
      <c r="C184" s="35" t="s">
        <v>1422</v>
      </c>
      <c r="D184" s="35" t="str">
        <f>_xlfn.XLOOKUP(E184,Organograma!G:G,Organograma!H:H,"")</f>
        <v>Marisol Luise Vilhene da Silva</v>
      </c>
      <c r="E184" s="35" t="s">
        <v>1397</v>
      </c>
      <c r="F184" s="36" t="s">
        <v>1386</v>
      </c>
      <c r="G184" s="35" t="s">
        <v>1399</v>
      </c>
    </row>
    <row r="185" spans="1:7">
      <c r="A185" s="35" t="s">
        <v>1149</v>
      </c>
      <c r="B185" s="35" t="s">
        <v>1461</v>
      </c>
      <c r="C185" s="35" t="s">
        <v>1422</v>
      </c>
      <c r="D185" s="35" t="str">
        <f>_xlfn.XLOOKUP(E185,Organograma!G:G,Organograma!H:H,"")</f>
        <v>Marisol Luise Vilhene da Silva</v>
      </c>
      <c r="E185" s="35" t="s">
        <v>1397</v>
      </c>
      <c r="F185" s="36" t="s">
        <v>1386</v>
      </c>
      <c r="G185" s="35" t="s">
        <v>1396</v>
      </c>
    </row>
    <row r="186" spans="1:7">
      <c r="A186" s="35" t="s">
        <v>1149</v>
      </c>
      <c r="B186" s="35" t="s">
        <v>1244</v>
      </c>
      <c r="C186" s="35" t="s">
        <v>1422</v>
      </c>
      <c r="D186" s="35" t="str">
        <f>_xlfn.XLOOKUP(E186,Organograma!G:G,Organograma!H:H,"")</f>
        <v>Janaina Bernardes Ayer</v>
      </c>
      <c r="E186" s="35" t="s">
        <v>76</v>
      </c>
      <c r="F186" s="36" t="s">
        <v>1206</v>
      </c>
      <c r="G186" s="35" t="s">
        <v>1245</v>
      </c>
    </row>
    <row r="187" spans="1:7">
      <c r="A187" s="35" t="s">
        <v>1149</v>
      </c>
      <c r="B187" s="35" t="s">
        <v>1252</v>
      </c>
      <c r="C187" s="35" t="s">
        <v>1422</v>
      </c>
      <c r="D187" s="35" t="str">
        <f>_xlfn.XLOOKUP(E187,Organograma!G:G,Organograma!H:H,"")</f>
        <v>Janaina Bernardes Ayer</v>
      </c>
      <c r="E187" s="35" t="s">
        <v>76</v>
      </c>
      <c r="F187" s="36" t="s">
        <v>1206</v>
      </c>
      <c r="G187" s="35" t="s">
        <v>1253</v>
      </c>
    </row>
    <row r="188" spans="1:7">
      <c r="A188" s="35" t="s">
        <v>1149</v>
      </c>
      <c r="B188" s="35" t="s">
        <v>1250</v>
      </c>
      <c r="C188" s="35" t="s">
        <v>1422</v>
      </c>
      <c r="D188" s="35" t="str">
        <f>_xlfn.XLOOKUP(E188,Organograma!G:G,Organograma!H:H,"")</f>
        <v>Janaina Bernardes Ayer</v>
      </c>
      <c r="E188" s="35" t="s">
        <v>76</v>
      </c>
      <c r="F188" s="36" t="s">
        <v>1206</v>
      </c>
      <c r="G188" s="35" t="s">
        <v>1251</v>
      </c>
    </row>
    <row r="189" spans="1:7">
      <c r="A189" s="35" t="s">
        <v>1149</v>
      </c>
      <c r="B189" s="35" t="s">
        <v>1246</v>
      </c>
      <c r="C189" s="35" t="s">
        <v>1422</v>
      </c>
      <c r="D189" s="35" t="str">
        <f>_xlfn.XLOOKUP(E189,Organograma!G:G,Organograma!H:H,"")</f>
        <v>Janaina Bernardes Ayer</v>
      </c>
      <c r="E189" s="35" t="s">
        <v>76</v>
      </c>
      <c r="F189" s="36" t="s">
        <v>1206</v>
      </c>
      <c r="G189" s="35" t="s">
        <v>1247</v>
      </c>
    </row>
    <row r="190" spans="1:7">
      <c r="A190" s="35" t="s">
        <v>1149</v>
      </c>
      <c r="B190" s="35" t="s">
        <v>1248</v>
      </c>
      <c r="C190" s="35" t="s">
        <v>1422</v>
      </c>
      <c r="D190" s="35" t="str">
        <f>_xlfn.XLOOKUP(E190,Organograma!G:G,Organograma!H:H,"")</f>
        <v>Janaina Bernardes Ayer</v>
      </c>
      <c r="E190" s="35" t="s">
        <v>76</v>
      </c>
      <c r="F190" s="36" t="s">
        <v>1206</v>
      </c>
      <c r="G190" s="35" t="s">
        <v>1249</v>
      </c>
    </row>
    <row r="191" spans="1:7">
      <c r="A191" s="35" t="s">
        <v>1149</v>
      </c>
      <c r="B191" s="35" t="s">
        <v>1242</v>
      </c>
      <c r="C191" s="35" t="s">
        <v>1422</v>
      </c>
      <c r="D191" s="35" t="str">
        <f>_xlfn.XLOOKUP(E191,Organograma!G:G,Organograma!H:H,"")</f>
        <v>Janaina Bernardes Ayer</v>
      </c>
      <c r="E191" s="35" t="s">
        <v>76</v>
      </c>
      <c r="F191" s="36" t="s">
        <v>1206</v>
      </c>
      <c r="G191" s="35" t="s">
        <v>1243</v>
      </c>
    </row>
    <row r="192" spans="1:7">
      <c r="A192" s="35" t="s">
        <v>1149</v>
      </c>
      <c r="B192" s="35" t="s">
        <v>1447</v>
      </c>
      <c r="C192" s="35" t="s">
        <v>1422</v>
      </c>
      <c r="D192" s="35" t="str">
        <f>_xlfn.XLOOKUP(E192,Organograma!G:G,Organograma!H:H,"")</f>
        <v>Janaina Bernardes Ayer</v>
      </c>
      <c r="E192" s="35" t="s">
        <v>76</v>
      </c>
      <c r="F192" s="36" t="s">
        <v>1206</v>
      </c>
      <c r="G192" s="35" t="s">
        <v>1254</v>
      </c>
    </row>
    <row r="193" spans="1:7">
      <c r="A193" s="35" t="s">
        <v>1149</v>
      </c>
      <c r="B193" s="35" t="s">
        <v>1356</v>
      </c>
      <c r="C193" s="35" t="s">
        <v>1422</v>
      </c>
      <c r="D193" s="35" t="str">
        <f>_xlfn.XLOOKUP(E193,Organograma!G:G,Organograma!H:H,"")</f>
        <v>Nadja Keilane Dantas Espinola</v>
      </c>
      <c r="E193" s="35" t="s">
        <v>1355</v>
      </c>
      <c r="F193" s="36" t="s">
        <v>1206</v>
      </c>
      <c r="G193" s="35" t="s">
        <v>1357</v>
      </c>
    </row>
    <row r="194" spans="1:7">
      <c r="A194" s="35" t="s">
        <v>1149</v>
      </c>
      <c r="B194" s="35" t="s">
        <v>1456</v>
      </c>
      <c r="C194" s="35" t="s">
        <v>1422</v>
      </c>
      <c r="D194" s="35" t="str">
        <f>_xlfn.XLOOKUP(E194,Organograma!G:G,Organograma!H:H,"")</f>
        <v>Nadja Keilane Dantas Espinola</v>
      </c>
      <c r="E194" s="35" t="s">
        <v>1355</v>
      </c>
      <c r="F194" s="36" t="s">
        <v>1206</v>
      </c>
      <c r="G194" s="35" t="s">
        <v>1354</v>
      </c>
    </row>
    <row r="195" spans="1:7">
      <c r="A195" s="35" t="s">
        <v>1149</v>
      </c>
      <c r="B195" s="35" t="s">
        <v>1284</v>
      </c>
      <c r="C195" s="35" t="s">
        <v>1422</v>
      </c>
      <c r="D195" s="35" t="str">
        <f>_xlfn.XLOOKUP(E195,Organograma!G:G,Organograma!H:H,"")</f>
        <v>Aliny Lopes Coelho</v>
      </c>
      <c r="E195" s="35" t="s">
        <v>1078</v>
      </c>
      <c r="F195" s="36" t="s">
        <v>1206</v>
      </c>
      <c r="G195" s="35" t="s">
        <v>1285</v>
      </c>
    </row>
    <row r="196" spans="1:7">
      <c r="A196" s="35" t="s">
        <v>1149</v>
      </c>
      <c r="B196" s="35" t="s">
        <v>1296</v>
      </c>
      <c r="C196" s="35" t="s">
        <v>1422</v>
      </c>
      <c r="D196" s="35" t="str">
        <f>_xlfn.XLOOKUP(E196,Organograma!G:G,Organograma!H:H,"")</f>
        <v>Aliny Lopes Coelho</v>
      </c>
      <c r="E196" s="35" t="s">
        <v>1078</v>
      </c>
      <c r="F196" s="36" t="s">
        <v>1206</v>
      </c>
      <c r="G196" s="35" t="s">
        <v>1297</v>
      </c>
    </row>
    <row r="197" spans="1:7">
      <c r="A197" s="35" t="s">
        <v>942</v>
      </c>
      <c r="B197" s="35" t="s">
        <v>1079</v>
      </c>
      <c r="C197" s="35" t="s">
        <v>1422</v>
      </c>
      <c r="D197" s="35" t="str">
        <f>_xlfn.XLOOKUP(E197,Organograma!G:G,Organograma!H:H,"")</f>
        <v>Aliny Lopes Coelho</v>
      </c>
      <c r="E197" s="35" t="s">
        <v>1078</v>
      </c>
      <c r="F197" s="36" t="s">
        <v>945</v>
      </c>
      <c r="G197" s="35" t="s">
        <v>1080</v>
      </c>
    </row>
    <row r="198" spans="1:7">
      <c r="A198" s="35" t="s">
        <v>1149</v>
      </c>
      <c r="B198" s="35" t="s">
        <v>1300</v>
      </c>
      <c r="C198" s="35" t="s">
        <v>1422</v>
      </c>
      <c r="D198" s="35" t="str">
        <f>_xlfn.XLOOKUP(E198,Organograma!G:G,Organograma!H:H,"")</f>
        <v>Aliny Lopes Coelho</v>
      </c>
      <c r="E198" s="35" t="s">
        <v>1078</v>
      </c>
      <c r="F198" s="36" t="s">
        <v>1206</v>
      </c>
      <c r="G198" s="35" t="s">
        <v>1301</v>
      </c>
    </row>
    <row r="199" spans="1:7">
      <c r="A199" s="35" t="s">
        <v>1149</v>
      </c>
      <c r="B199" s="35" t="s">
        <v>1298</v>
      </c>
      <c r="C199" s="35" t="s">
        <v>1422</v>
      </c>
      <c r="D199" s="35" t="str">
        <f>_xlfn.XLOOKUP(E199,Organograma!G:G,Organograma!H:H,"")</f>
        <v>Aliny Lopes Coelho</v>
      </c>
      <c r="E199" s="35" t="s">
        <v>1078</v>
      </c>
      <c r="F199" s="36" t="s">
        <v>1206</v>
      </c>
      <c r="G199" s="35" t="s">
        <v>1299</v>
      </c>
    </row>
    <row r="200" spans="1:7">
      <c r="A200" s="35" t="s">
        <v>942</v>
      </c>
      <c r="B200" s="35" t="s">
        <v>1076</v>
      </c>
      <c r="C200" s="35" t="s">
        <v>1422</v>
      </c>
      <c r="D200" s="35" t="str">
        <f>_xlfn.XLOOKUP(E200,Organograma!G:G,Organograma!H:H,"")</f>
        <v>Aliny Lopes Coelho</v>
      </c>
      <c r="E200" s="35" t="s">
        <v>1078</v>
      </c>
      <c r="F200" s="36" t="s">
        <v>945</v>
      </c>
      <c r="G200" s="35" t="s">
        <v>1077</v>
      </c>
    </row>
    <row r="201" spans="1:7">
      <c r="A201" s="35" t="s">
        <v>1149</v>
      </c>
      <c r="B201" s="35" t="s">
        <v>1290</v>
      </c>
      <c r="C201" s="35" t="s">
        <v>1422</v>
      </c>
      <c r="D201" s="35" t="str">
        <f>_xlfn.XLOOKUP(E201,Organograma!G:G,Organograma!H:H,"")</f>
        <v>Aliny Lopes Coelho</v>
      </c>
      <c r="E201" s="35" t="s">
        <v>1078</v>
      </c>
      <c r="F201" s="36" t="s">
        <v>1206</v>
      </c>
      <c r="G201" s="35" t="s">
        <v>1291</v>
      </c>
    </row>
    <row r="202" spans="1:7">
      <c r="A202" s="35" t="s">
        <v>1149</v>
      </c>
      <c r="B202" s="35" t="s">
        <v>1288</v>
      </c>
      <c r="C202" s="35" t="s">
        <v>1422</v>
      </c>
      <c r="D202" s="35" t="str">
        <f>_xlfn.XLOOKUP(E202,Organograma!G:G,Organograma!H:H,"")</f>
        <v>Aliny Lopes Coelho</v>
      </c>
      <c r="E202" s="35" t="s">
        <v>1078</v>
      </c>
      <c r="F202" s="36" t="s">
        <v>1206</v>
      </c>
      <c r="G202" s="35" t="s">
        <v>1289</v>
      </c>
    </row>
    <row r="203" spans="1:7">
      <c r="A203" s="35" t="s">
        <v>1149</v>
      </c>
      <c r="B203" s="35" t="s">
        <v>1286</v>
      </c>
      <c r="C203" s="35" t="s">
        <v>1422</v>
      </c>
      <c r="D203" s="35" t="str">
        <f>_xlfn.XLOOKUP(E203,Organograma!G:G,Organograma!H:H,"")</f>
        <v>Aliny Lopes Coelho</v>
      </c>
      <c r="E203" s="35" t="s">
        <v>1078</v>
      </c>
      <c r="F203" s="36" t="s">
        <v>1206</v>
      </c>
      <c r="G203" s="35" t="s">
        <v>1287</v>
      </c>
    </row>
    <row r="204" spans="1:7">
      <c r="A204" s="35" t="s">
        <v>1149</v>
      </c>
      <c r="B204" s="35" t="s">
        <v>1293</v>
      </c>
      <c r="C204" s="35" t="s">
        <v>1422</v>
      </c>
      <c r="D204" s="35" t="str">
        <f>_xlfn.XLOOKUP(E204,Organograma!G:G,Organograma!H:H,"")</f>
        <v>Aliny Lopes Coelho</v>
      </c>
      <c r="E204" s="35" t="s">
        <v>1078</v>
      </c>
      <c r="F204" s="36" t="s">
        <v>1206</v>
      </c>
      <c r="G204" s="35" t="s">
        <v>1294</v>
      </c>
    </row>
    <row r="205" spans="1:7">
      <c r="A205" s="35" t="s">
        <v>1149</v>
      </c>
      <c r="B205" s="35" t="s">
        <v>1452</v>
      </c>
      <c r="C205" s="35" t="s">
        <v>1422</v>
      </c>
      <c r="D205" s="35" t="str">
        <f>_xlfn.XLOOKUP(E205,Organograma!G:G,Organograma!H:H,"")</f>
        <v>Aliny Lopes Coelho</v>
      </c>
      <c r="E205" s="35" t="s">
        <v>1078</v>
      </c>
      <c r="F205" s="36" t="s">
        <v>1206</v>
      </c>
      <c r="G205" s="35" t="s">
        <v>1295</v>
      </c>
    </row>
    <row r="206" spans="1:7">
      <c r="A206" s="35" t="s">
        <v>1149</v>
      </c>
      <c r="B206" s="35" t="s">
        <v>1451</v>
      </c>
      <c r="C206" s="35" t="s">
        <v>1422</v>
      </c>
      <c r="D206" s="35" t="str">
        <f>_xlfn.XLOOKUP(E206,Organograma!G:G,Organograma!H:H,"")</f>
        <v>Aliny Lopes Coelho</v>
      </c>
      <c r="E206" s="35" t="s">
        <v>1078</v>
      </c>
      <c r="F206" s="36" t="s">
        <v>1206</v>
      </c>
      <c r="G206" s="35" t="s">
        <v>1292</v>
      </c>
    </row>
    <row r="207" spans="1:7">
      <c r="A207" s="35" t="s">
        <v>1149</v>
      </c>
      <c r="B207" s="35" t="s">
        <v>1195</v>
      </c>
      <c r="C207" s="35" t="s">
        <v>1422</v>
      </c>
      <c r="D207" s="35" t="str">
        <f>_xlfn.XLOOKUP(E207,Organograma!G:G,Organograma!H:H,"")</f>
        <v>Samilly dos Santos Gurgel</v>
      </c>
      <c r="E207" s="35" t="s">
        <v>34</v>
      </c>
      <c r="F207" s="36" t="s">
        <v>1152</v>
      </c>
      <c r="G207" s="35" t="s">
        <v>1196</v>
      </c>
    </row>
    <row r="208" spans="1:7">
      <c r="A208" s="35" t="s">
        <v>942</v>
      </c>
      <c r="B208" s="35" t="s">
        <v>973</v>
      </c>
      <c r="C208" s="35" t="s">
        <v>1422</v>
      </c>
      <c r="D208" s="35" t="str">
        <f>_xlfn.XLOOKUP(E208,Organograma!G:G,Organograma!H:H,"")</f>
        <v>Samilly dos Santos Gurgel</v>
      </c>
      <c r="E208" s="35" t="s">
        <v>34</v>
      </c>
      <c r="F208" s="36" t="s">
        <v>945</v>
      </c>
      <c r="G208" s="35" t="s">
        <v>974</v>
      </c>
    </row>
    <row r="209" spans="1:7">
      <c r="A209" s="35" t="s">
        <v>1149</v>
      </c>
      <c r="B209" s="35" t="s">
        <v>973</v>
      </c>
      <c r="C209" s="35" t="s">
        <v>1422</v>
      </c>
      <c r="D209" s="35" t="str">
        <f>_xlfn.XLOOKUP(E209,Organograma!G:G,Organograma!H:H,"")</f>
        <v>Samilly dos Santos Gurgel</v>
      </c>
      <c r="E209" s="35" t="s">
        <v>34</v>
      </c>
      <c r="F209" s="36" t="s">
        <v>1152</v>
      </c>
      <c r="G209" s="35" t="s">
        <v>1194</v>
      </c>
    </row>
    <row r="210" spans="1:7">
      <c r="A210" s="35" t="s">
        <v>942</v>
      </c>
      <c r="B210" s="35" t="s">
        <v>971</v>
      </c>
      <c r="C210" s="35" t="s">
        <v>1422</v>
      </c>
      <c r="D210" s="35" t="str">
        <f>_xlfn.XLOOKUP(E210,Organograma!G:G,Organograma!H:H,"")</f>
        <v>Samilly dos Santos Gurgel</v>
      </c>
      <c r="E210" s="35" t="s">
        <v>34</v>
      </c>
      <c r="F210" s="36" t="s">
        <v>945</v>
      </c>
      <c r="G210" s="35" t="s">
        <v>972</v>
      </c>
    </row>
    <row r="211" spans="1:7">
      <c r="A211" s="35" t="s">
        <v>1149</v>
      </c>
      <c r="B211" s="35" t="s">
        <v>1440</v>
      </c>
      <c r="C211" s="35" t="s">
        <v>1422</v>
      </c>
      <c r="D211" s="35" t="str">
        <f>_xlfn.XLOOKUP(E211,Organograma!G:G,Organograma!H:H,"")</f>
        <v>Samilly dos Santos Gurgel</v>
      </c>
      <c r="E211" s="35" t="s">
        <v>34</v>
      </c>
      <c r="F211" s="36" t="s">
        <v>1152</v>
      </c>
      <c r="G211" s="35" t="s">
        <v>1193</v>
      </c>
    </row>
    <row r="212" spans="1:7">
      <c r="A212" s="35" t="s">
        <v>942</v>
      </c>
      <c r="B212" s="35" t="s">
        <v>964</v>
      </c>
      <c r="C212" s="35" t="s">
        <v>1422</v>
      </c>
      <c r="D212" s="35" t="str">
        <f>_xlfn.XLOOKUP(E212,Organograma!G:G,Organograma!H:H,"")</f>
        <v>Gustavo Cintra Silva</v>
      </c>
      <c r="E212" s="35" t="s">
        <v>23</v>
      </c>
      <c r="F212" s="36" t="s">
        <v>945</v>
      </c>
      <c r="G212" s="35" t="s">
        <v>965</v>
      </c>
    </row>
    <row r="213" spans="1:7">
      <c r="A213" s="35" t="s">
        <v>1149</v>
      </c>
      <c r="B213" s="35" t="s">
        <v>1187</v>
      </c>
      <c r="C213" s="35" t="s">
        <v>1422</v>
      </c>
      <c r="D213" s="35" t="str">
        <f>_xlfn.XLOOKUP(E213,Organograma!G:G,Organograma!H:H,"")</f>
        <v>Ana Luiza Timoteo Costa</v>
      </c>
      <c r="E213" s="35" t="s">
        <v>11</v>
      </c>
      <c r="F213" s="36" t="s">
        <v>1152</v>
      </c>
      <c r="G213" s="35" t="s">
        <v>1188</v>
      </c>
    </row>
    <row r="214" spans="1:7">
      <c r="A214" s="35" t="s">
        <v>942</v>
      </c>
      <c r="B214" s="35" t="s">
        <v>1013</v>
      </c>
      <c r="C214" s="35" t="s">
        <v>1422</v>
      </c>
      <c r="D214" s="35" t="str">
        <f>_xlfn.XLOOKUP(E214,Organograma!G:G,Organograma!H:H,"")</f>
        <v>Janaina Bernardes Ayer</v>
      </c>
      <c r="E214" s="35" t="s">
        <v>77</v>
      </c>
      <c r="F214" s="36" t="s">
        <v>945</v>
      </c>
      <c r="G214" s="35" t="s">
        <v>1014</v>
      </c>
    </row>
    <row r="215" spans="1:7">
      <c r="A215" s="35" t="s">
        <v>1149</v>
      </c>
      <c r="B215" s="35" t="s">
        <v>1013</v>
      </c>
      <c r="C215" s="35" t="s">
        <v>1422</v>
      </c>
      <c r="D215" s="35" t="str">
        <f>_xlfn.XLOOKUP(E215,Organograma!G:G,Organograma!H:H,"")</f>
        <v>Janaina Bernardes Ayer</v>
      </c>
      <c r="E215" s="35" t="s">
        <v>77</v>
      </c>
      <c r="F215" s="36" t="s">
        <v>1206</v>
      </c>
      <c r="G215" s="35" t="s">
        <v>1230</v>
      </c>
    </row>
    <row r="216" spans="1:7">
      <c r="A216" s="35" t="s">
        <v>942</v>
      </c>
      <c r="B216" s="35" t="s">
        <v>1011</v>
      </c>
      <c r="C216" s="35" t="s">
        <v>1422</v>
      </c>
      <c r="D216" s="35" t="str">
        <f>_xlfn.XLOOKUP(E216,Organograma!G:G,Organograma!H:H,"")</f>
        <v>Janaina Bernardes Ayer</v>
      </c>
      <c r="E216" s="35" t="s">
        <v>77</v>
      </c>
      <c r="F216" s="36" t="s">
        <v>945</v>
      </c>
      <c r="G216" s="35" t="s">
        <v>1012</v>
      </c>
    </row>
    <row r="217" spans="1:7">
      <c r="A217" s="35" t="s">
        <v>942</v>
      </c>
      <c r="B217" s="35" t="s">
        <v>1023</v>
      </c>
      <c r="C217" s="35" t="s">
        <v>1422</v>
      </c>
      <c r="D217" s="35" t="str">
        <f>_xlfn.XLOOKUP(E217,Organograma!G:G,Organograma!H:H,"")</f>
        <v>Janaina Bernardes Ayer</v>
      </c>
      <c r="E217" s="35" t="s">
        <v>77</v>
      </c>
      <c r="F217" s="36" t="s">
        <v>945</v>
      </c>
      <c r="G217" s="35" t="s">
        <v>1024</v>
      </c>
    </row>
    <row r="218" spans="1:7">
      <c r="A218" s="35" t="s">
        <v>1149</v>
      </c>
      <c r="B218" s="35" t="s">
        <v>1023</v>
      </c>
      <c r="C218" s="35" t="s">
        <v>1422</v>
      </c>
      <c r="D218" s="35" t="str">
        <f>_xlfn.XLOOKUP(E218,Organograma!G:G,Organograma!H:H,"")</f>
        <v>Janaina Bernardes Ayer</v>
      </c>
      <c r="E218" s="35" t="s">
        <v>77</v>
      </c>
      <c r="F218" s="36" t="s">
        <v>1206</v>
      </c>
      <c r="G218" s="35" t="s">
        <v>1235</v>
      </c>
    </row>
    <row r="219" spans="1:7">
      <c r="A219" s="35" t="s">
        <v>1149</v>
      </c>
      <c r="B219" s="35" t="s">
        <v>1236</v>
      </c>
      <c r="C219" s="35" t="s">
        <v>1422</v>
      </c>
      <c r="D219" s="35" t="str">
        <f>_xlfn.XLOOKUP(E219,Organograma!G:G,Organograma!H:H,"")</f>
        <v>Janaina Bernardes Ayer</v>
      </c>
      <c r="E219" s="35" t="s">
        <v>77</v>
      </c>
      <c r="F219" s="36" t="s">
        <v>1206</v>
      </c>
      <c r="G219" s="35" t="s">
        <v>1237</v>
      </c>
    </row>
    <row r="220" spans="1:7">
      <c r="A220" s="35" t="s">
        <v>942</v>
      </c>
      <c r="B220" s="35" t="s">
        <v>1015</v>
      </c>
      <c r="C220" s="35" t="s">
        <v>1422</v>
      </c>
      <c r="D220" s="35" t="str">
        <f>_xlfn.XLOOKUP(E220,Organograma!G:G,Organograma!H:H,"")</f>
        <v>Janaina Bernardes Ayer</v>
      </c>
      <c r="E220" s="35" t="s">
        <v>77</v>
      </c>
      <c r="F220" s="36" t="s">
        <v>945</v>
      </c>
      <c r="G220" s="35" t="s">
        <v>1016</v>
      </c>
    </row>
    <row r="221" spans="1:7">
      <c r="A221" s="35" t="s">
        <v>942</v>
      </c>
      <c r="B221" s="35" t="s">
        <v>1028</v>
      </c>
      <c r="C221" s="35" t="s">
        <v>1422</v>
      </c>
      <c r="D221" s="35" t="str">
        <f>_xlfn.XLOOKUP(E221,Organograma!G:G,Organograma!H:H,"")</f>
        <v>Janaina Bernardes Ayer</v>
      </c>
      <c r="E221" s="35" t="s">
        <v>77</v>
      </c>
      <c r="F221" s="36" t="s">
        <v>945</v>
      </c>
      <c r="G221" s="35" t="s">
        <v>1029</v>
      </c>
    </row>
    <row r="222" spans="1:7">
      <c r="A222" s="35" t="s">
        <v>942</v>
      </c>
      <c r="B222" s="35" t="s">
        <v>1019</v>
      </c>
      <c r="C222" s="35" t="s">
        <v>1422</v>
      </c>
      <c r="D222" s="35" t="str">
        <f>_xlfn.XLOOKUP(E222,Organograma!G:G,Organograma!H:H,"")</f>
        <v>Janaina Bernardes Ayer</v>
      </c>
      <c r="E222" s="35" t="s">
        <v>77</v>
      </c>
      <c r="F222" s="36" t="s">
        <v>945</v>
      </c>
      <c r="G222" s="35" t="s">
        <v>1020</v>
      </c>
    </row>
    <row r="223" spans="1:7">
      <c r="A223" s="35" t="s">
        <v>1149</v>
      </c>
      <c r="B223" s="35" t="s">
        <v>1019</v>
      </c>
      <c r="C223" s="35" t="s">
        <v>1422</v>
      </c>
      <c r="D223" s="35" t="str">
        <f>_xlfn.XLOOKUP(E223,Organograma!G:G,Organograma!H:H,"")</f>
        <v>Janaina Bernardes Ayer</v>
      </c>
      <c r="E223" s="35" t="s">
        <v>77</v>
      </c>
      <c r="F223" s="36" t="s">
        <v>1206</v>
      </c>
      <c r="G223" s="35" t="s">
        <v>1233</v>
      </c>
    </row>
    <row r="224" spans="1:7">
      <c r="A224" s="35" t="s">
        <v>942</v>
      </c>
      <c r="B224" s="35" t="s">
        <v>1021</v>
      </c>
      <c r="C224" s="35" t="s">
        <v>1422</v>
      </c>
      <c r="D224" s="35" t="str">
        <f>_xlfn.XLOOKUP(E224,Organograma!G:G,Organograma!H:H,"")</f>
        <v>Janaina Bernardes Ayer</v>
      </c>
      <c r="E224" s="35" t="s">
        <v>77</v>
      </c>
      <c r="F224" s="36" t="s">
        <v>945</v>
      </c>
      <c r="G224" s="35" t="s">
        <v>1022</v>
      </c>
    </row>
    <row r="225" spans="1:7">
      <c r="A225" s="35" t="s">
        <v>942</v>
      </c>
      <c r="B225" s="35" t="s">
        <v>1026</v>
      </c>
      <c r="C225" s="35" t="s">
        <v>1422</v>
      </c>
      <c r="D225" s="35" t="str">
        <f>_xlfn.XLOOKUP(E225,Organograma!G:G,Organograma!H:H,"")</f>
        <v>Janaina Bernardes Ayer</v>
      </c>
      <c r="E225" s="35" t="s">
        <v>77</v>
      </c>
      <c r="F225" s="36" t="s">
        <v>945</v>
      </c>
      <c r="G225" s="35" t="s">
        <v>1027</v>
      </c>
    </row>
    <row r="226" spans="1:7">
      <c r="A226" s="35" t="s">
        <v>1149</v>
      </c>
      <c r="B226" s="35" t="s">
        <v>1026</v>
      </c>
      <c r="C226" s="35" t="s">
        <v>1422</v>
      </c>
      <c r="D226" s="35" t="str">
        <f>_xlfn.XLOOKUP(E226,Organograma!G:G,Organograma!H:H,"")</f>
        <v>Janaina Bernardes Ayer</v>
      </c>
      <c r="E226" s="35" t="s">
        <v>77</v>
      </c>
      <c r="F226" s="36" t="s">
        <v>1206</v>
      </c>
      <c r="G226" s="35" t="s">
        <v>1240</v>
      </c>
    </row>
    <row r="227" spans="1:7">
      <c r="A227" s="35" t="s">
        <v>942</v>
      </c>
      <c r="B227" s="35" t="s">
        <v>1017</v>
      </c>
      <c r="C227" s="35" t="s">
        <v>1422</v>
      </c>
      <c r="D227" s="35" t="str">
        <f>_xlfn.XLOOKUP(E227,Organograma!G:G,Organograma!H:H,"")</f>
        <v>Janaina Bernardes Ayer</v>
      </c>
      <c r="E227" s="35" t="s">
        <v>77</v>
      </c>
      <c r="F227" s="36" t="s">
        <v>945</v>
      </c>
      <c r="G227" s="35" t="s">
        <v>1018</v>
      </c>
    </row>
    <row r="228" spans="1:7">
      <c r="A228" s="35" t="s">
        <v>1149</v>
      </c>
      <c r="B228" s="35" t="s">
        <v>1017</v>
      </c>
      <c r="C228" s="35" t="s">
        <v>1422</v>
      </c>
      <c r="D228" s="35" t="str">
        <f>_xlfn.XLOOKUP(E228,Organograma!G:G,Organograma!H:H,"")</f>
        <v>Janaina Bernardes Ayer</v>
      </c>
      <c r="E228" s="35" t="s">
        <v>77</v>
      </c>
      <c r="F228" s="36" t="s">
        <v>1206</v>
      </c>
      <c r="G228" s="35" t="s">
        <v>1232</v>
      </c>
    </row>
    <row r="229" spans="1:7">
      <c r="A229" s="35" t="s">
        <v>1149</v>
      </c>
      <c r="B229" s="35" t="s">
        <v>1228</v>
      </c>
      <c r="C229" s="35" t="s">
        <v>1422</v>
      </c>
      <c r="D229" s="35" t="str">
        <f>_xlfn.XLOOKUP(E229,Organograma!G:G,Organograma!H:H,"")</f>
        <v>Janaina Bernardes Ayer</v>
      </c>
      <c r="E229" s="35" t="s">
        <v>77</v>
      </c>
      <c r="F229" s="36" t="s">
        <v>1206</v>
      </c>
      <c r="G229" s="35" t="s">
        <v>1229</v>
      </c>
    </row>
    <row r="230" spans="1:7">
      <c r="A230" s="35" t="s">
        <v>1149</v>
      </c>
      <c r="B230" s="35" t="s">
        <v>1444</v>
      </c>
      <c r="C230" s="35" t="s">
        <v>1422</v>
      </c>
      <c r="D230" s="35" t="str">
        <f>_xlfn.XLOOKUP(E230,Organograma!G:G,Organograma!H:H,"")</f>
        <v>Janaina Bernardes Ayer</v>
      </c>
      <c r="E230" s="35" t="s">
        <v>77</v>
      </c>
      <c r="F230" s="36" t="s">
        <v>1206</v>
      </c>
      <c r="G230" s="35" t="s">
        <v>1231</v>
      </c>
    </row>
    <row r="231" spans="1:7">
      <c r="A231" s="35" t="s">
        <v>1149</v>
      </c>
      <c r="B231" s="35" t="s">
        <v>1446</v>
      </c>
      <c r="C231" s="35" t="s">
        <v>1422</v>
      </c>
      <c r="D231" s="35" t="str">
        <f>_xlfn.XLOOKUP(E231,Organograma!G:G,Organograma!H:H,"")</f>
        <v>Janaina Bernardes Ayer</v>
      </c>
      <c r="E231" s="35" t="s">
        <v>77</v>
      </c>
      <c r="F231" s="36" t="s">
        <v>1206</v>
      </c>
      <c r="G231" s="35" t="s">
        <v>1241</v>
      </c>
    </row>
    <row r="232" spans="1:7">
      <c r="A232" s="35" t="s">
        <v>1149</v>
      </c>
      <c r="B232" s="35" t="s">
        <v>1445</v>
      </c>
      <c r="C232" s="35" t="s">
        <v>1422</v>
      </c>
      <c r="D232" s="35" t="str">
        <f>_xlfn.XLOOKUP(E232,Organograma!G:G,Organograma!H:H,"")</f>
        <v>Janaina Bernardes Ayer</v>
      </c>
      <c r="E232" s="35" t="s">
        <v>77</v>
      </c>
      <c r="F232" s="36" t="s">
        <v>1206</v>
      </c>
      <c r="G232" s="35" t="s">
        <v>1234</v>
      </c>
    </row>
    <row r="233" spans="1:7">
      <c r="A233" s="35" t="s">
        <v>942</v>
      </c>
      <c r="B233" s="35" t="s">
        <v>1238</v>
      </c>
      <c r="C233" s="35" t="s">
        <v>1422</v>
      </c>
      <c r="D233" s="35" t="str">
        <f>_xlfn.XLOOKUP(E233,Organograma!G:G,Organograma!H:H,"")</f>
        <v>Janaina Bernardes Ayer</v>
      </c>
      <c r="E233" s="35" t="s">
        <v>77</v>
      </c>
      <c r="F233" s="36" t="s">
        <v>945</v>
      </c>
      <c r="G233" s="35" t="s">
        <v>1025</v>
      </c>
    </row>
    <row r="234" spans="1:7">
      <c r="A234" s="35" t="s">
        <v>1149</v>
      </c>
      <c r="B234" s="35" t="s">
        <v>1238</v>
      </c>
      <c r="C234" s="35" t="s">
        <v>1422</v>
      </c>
      <c r="D234" s="35" t="str">
        <f>_xlfn.XLOOKUP(E234,Organograma!G:G,Organograma!H:H,"")</f>
        <v>Janaina Bernardes Ayer</v>
      </c>
      <c r="E234" s="35" t="s">
        <v>77</v>
      </c>
      <c r="F234" s="36" t="s">
        <v>1206</v>
      </c>
      <c r="G234" s="35" t="s">
        <v>1239</v>
      </c>
    </row>
    <row r="235" spans="1:7">
      <c r="A235" s="35" t="s">
        <v>942</v>
      </c>
      <c r="B235" s="35" t="s">
        <v>966</v>
      </c>
      <c r="C235" s="35" t="s">
        <v>1422</v>
      </c>
      <c r="D235" s="35" t="str">
        <f>_xlfn.XLOOKUP(E235,Organograma!G:G,Organograma!H:H,"")</f>
        <v>Gustavo Cintra Silva</v>
      </c>
      <c r="E235" s="35" t="s">
        <v>24</v>
      </c>
      <c r="F235" s="36" t="s">
        <v>945</v>
      </c>
      <c r="G235" s="35" t="s">
        <v>967</v>
      </c>
    </row>
    <row r="236" spans="1:7">
      <c r="A236" s="35" t="s">
        <v>1149</v>
      </c>
      <c r="B236" s="35" t="s">
        <v>966</v>
      </c>
      <c r="C236" s="35" t="s">
        <v>1422</v>
      </c>
      <c r="D236" s="35" t="str">
        <f>_xlfn.XLOOKUP(E236,Organograma!G:G,Organograma!H:H,"")</f>
        <v>Gustavo Cintra Silva</v>
      </c>
      <c r="E236" s="35" t="s">
        <v>24</v>
      </c>
      <c r="F236" s="36" t="s">
        <v>1152</v>
      </c>
      <c r="G236" s="35" t="s">
        <v>1178</v>
      </c>
    </row>
    <row r="237" spans="1:7">
      <c r="A237" s="35" t="s">
        <v>942</v>
      </c>
      <c r="B237" s="35" t="s">
        <v>1046</v>
      </c>
      <c r="C237" s="35" t="s">
        <v>1422</v>
      </c>
      <c r="D237" s="35" t="str">
        <f>_xlfn.XLOOKUP(E237,Organograma!G:G,Organograma!H:H,"")</f>
        <v>Janaina Bernardes Ayer</v>
      </c>
      <c r="E237" s="35" t="s">
        <v>78</v>
      </c>
      <c r="F237" s="36" t="s">
        <v>945</v>
      </c>
      <c r="G237" s="35" t="s">
        <v>1047</v>
      </c>
    </row>
    <row r="238" spans="1:7">
      <c r="A238" s="35" t="s">
        <v>1149</v>
      </c>
      <c r="B238" s="35" t="s">
        <v>1046</v>
      </c>
      <c r="C238" s="35" t="s">
        <v>1422</v>
      </c>
      <c r="D238" s="35" t="str">
        <f>_xlfn.XLOOKUP(E238,Organograma!G:G,Organograma!H:H,"")</f>
        <v>Janaina Bernardes Ayer</v>
      </c>
      <c r="E238" s="35" t="s">
        <v>78</v>
      </c>
      <c r="F238" s="36" t="s">
        <v>1206</v>
      </c>
      <c r="G238" s="35" t="s">
        <v>1265</v>
      </c>
    </row>
    <row r="239" spans="1:7">
      <c r="A239" s="35" t="s">
        <v>942</v>
      </c>
      <c r="B239" s="35" t="s">
        <v>1050</v>
      </c>
      <c r="C239" s="35" t="s">
        <v>1422</v>
      </c>
      <c r="D239" s="35" t="str">
        <f>_xlfn.XLOOKUP(E239,Organograma!G:G,Organograma!H:H,"")</f>
        <v>Janaina Bernardes Ayer</v>
      </c>
      <c r="E239" s="35" t="s">
        <v>78</v>
      </c>
      <c r="F239" s="36" t="s">
        <v>945</v>
      </c>
      <c r="G239" s="35" t="s">
        <v>1051</v>
      </c>
    </row>
    <row r="240" spans="1:7">
      <c r="A240" s="35" t="s">
        <v>1149</v>
      </c>
      <c r="B240" s="35" t="s">
        <v>1050</v>
      </c>
      <c r="C240" s="35" t="s">
        <v>1422</v>
      </c>
      <c r="D240" s="35" t="str">
        <f>_xlfn.XLOOKUP(E240,Organograma!G:G,Organograma!H:H,"")</f>
        <v>Janaina Bernardes Ayer</v>
      </c>
      <c r="E240" s="35" t="s">
        <v>78</v>
      </c>
      <c r="F240" s="36" t="s">
        <v>1206</v>
      </c>
      <c r="G240" s="35" t="s">
        <v>1267</v>
      </c>
    </row>
    <row r="241" spans="1:7">
      <c r="A241" s="35" t="s">
        <v>942</v>
      </c>
      <c r="B241" s="35" t="s">
        <v>1044</v>
      </c>
      <c r="C241" s="35" t="s">
        <v>1422</v>
      </c>
      <c r="D241" s="35" t="str">
        <f>_xlfn.XLOOKUP(E241,Organograma!G:G,Organograma!H:H,"")</f>
        <v>Janaina Bernardes Ayer</v>
      </c>
      <c r="E241" s="35" t="s">
        <v>78</v>
      </c>
      <c r="F241" s="36" t="s">
        <v>945</v>
      </c>
      <c r="G241" s="35" t="s">
        <v>1045</v>
      </c>
    </row>
    <row r="242" spans="1:7">
      <c r="A242" s="35" t="s">
        <v>1149</v>
      </c>
      <c r="B242" s="35" t="s">
        <v>1044</v>
      </c>
      <c r="C242" s="35" t="s">
        <v>1422</v>
      </c>
      <c r="D242" s="35" t="str">
        <f>_xlfn.XLOOKUP(E242,Organograma!G:G,Organograma!H:H,"")</f>
        <v>Janaina Bernardes Ayer</v>
      </c>
      <c r="E242" s="35" t="s">
        <v>78</v>
      </c>
      <c r="F242" s="36" t="s">
        <v>1206</v>
      </c>
      <c r="G242" s="35" t="s">
        <v>1264</v>
      </c>
    </row>
    <row r="243" spans="1:7">
      <c r="A243" s="35" t="s">
        <v>942</v>
      </c>
      <c r="B243" s="35" t="s">
        <v>1048</v>
      </c>
      <c r="C243" s="35" t="s">
        <v>1422</v>
      </c>
      <c r="D243" s="35" t="str">
        <f>_xlfn.XLOOKUP(E243,Organograma!G:G,Organograma!H:H,"")</f>
        <v>Janaina Bernardes Ayer</v>
      </c>
      <c r="E243" s="35" t="s">
        <v>78</v>
      </c>
      <c r="F243" s="36" t="s">
        <v>945</v>
      </c>
      <c r="G243" s="35" t="s">
        <v>1049</v>
      </c>
    </row>
    <row r="244" spans="1:7">
      <c r="A244" s="35" t="s">
        <v>942</v>
      </c>
      <c r="B244" s="35" t="s">
        <v>1052</v>
      </c>
      <c r="C244" s="35" t="s">
        <v>1422</v>
      </c>
      <c r="D244" s="35" t="str">
        <f>_xlfn.XLOOKUP(E244,Organograma!G:G,Organograma!H:H,"")</f>
        <v>Janaina Bernardes Ayer</v>
      </c>
      <c r="E244" s="35" t="s">
        <v>78</v>
      </c>
      <c r="F244" s="36" t="s">
        <v>945</v>
      </c>
      <c r="G244" s="35" t="s">
        <v>1053</v>
      </c>
    </row>
    <row r="245" spans="1:7">
      <c r="A245" s="35" t="s">
        <v>1149</v>
      </c>
      <c r="B245" s="35" t="s">
        <v>1052</v>
      </c>
      <c r="C245" s="35" t="s">
        <v>1422</v>
      </c>
      <c r="D245" s="35" t="str">
        <f>_xlfn.XLOOKUP(E245,Organograma!G:G,Organograma!H:H,"")</f>
        <v>Janaina Bernardes Ayer</v>
      </c>
      <c r="E245" s="35" t="s">
        <v>78</v>
      </c>
      <c r="F245" s="36" t="s">
        <v>1206</v>
      </c>
      <c r="G245" s="35" t="s">
        <v>1268</v>
      </c>
    </row>
    <row r="246" spans="1:7">
      <c r="A246" s="35" t="s">
        <v>942</v>
      </c>
      <c r="B246" s="35" t="s">
        <v>1060</v>
      </c>
      <c r="C246" s="35" t="s">
        <v>1422</v>
      </c>
      <c r="D246" s="35" t="str">
        <f>_xlfn.XLOOKUP(E246,Organograma!G:G,Organograma!H:H,"")</f>
        <v>Janaina Bernardes Ayer</v>
      </c>
      <c r="E246" s="35" t="s">
        <v>78</v>
      </c>
      <c r="F246" s="36" t="s">
        <v>945</v>
      </c>
      <c r="G246" s="35" t="s">
        <v>1061</v>
      </c>
    </row>
    <row r="247" spans="1:7">
      <c r="A247" s="35" t="s">
        <v>1149</v>
      </c>
      <c r="B247" s="35" t="s">
        <v>1060</v>
      </c>
      <c r="C247" s="35" t="s">
        <v>1422</v>
      </c>
      <c r="D247" s="35" t="str">
        <f>_xlfn.XLOOKUP(E247,Organograma!G:G,Organograma!H:H,"")</f>
        <v>Janaina Bernardes Ayer</v>
      </c>
      <c r="E247" s="35" t="s">
        <v>78</v>
      </c>
      <c r="F247" s="36" t="s">
        <v>1206</v>
      </c>
      <c r="G247" s="35" t="s">
        <v>1273</v>
      </c>
    </row>
    <row r="248" spans="1:7">
      <c r="A248" s="35" t="s">
        <v>1149</v>
      </c>
      <c r="B248" s="35" t="s">
        <v>1270</v>
      </c>
      <c r="C248" s="35" t="s">
        <v>1422</v>
      </c>
      <c r="D248" s="35" t="str">
        <f>_xlfn.XLOOKUP(E248,Organograma!G:G,Organograma!H:H,"")</f>
        <v>Janaina Bernardes Ayer</v>
      </c>
      <c r="E248" s="35" t="s">
        <v>78</v>
      </c>
      <c r="F248" s="36" t="s">
        <v>1206</v>
      </c>
      <c r="G248" s="35" t="s">
        <v>1271</v>
      </c>
    </row>
    <row r="249" spans="1:7">
      <c r="A249" s="35" t="s">
        <v>1149</v>
      </c>
      <c r="B249" s="35" t="s">
        <v>1450</v>
      </c>
      <c r="C249" s="35" t="s">
        <v>1422</v>
      </c>
      <c r="D249" s="35" t="str">
        <f>_xlfn.XLOOKUP(E249,Organograma!G:G,Organograma!H:H,"")</f>
        <v>Janaina Bernardes Ayer</v>
      </c>
      <c r="E249" s="35" t="s">
        <v>78</v>
      </c>
      <c r="F249" s="36" t="s">
        <v>1206</v>
      </c>
      <c r="G249" s="35" t="s">
        <v>1266</v>
      </c>
    </row>
    <row r="250" spans="1:7">
      <c r="A250" s="35" t="s">
        <v>942</v>
      </c>
      <c r="B250" s="35" t="s">
        <v>1058</v>
      </c>
      <c r="C250" s="35" t="s">
        <v>1422</v>
      </c>
      <c r="D250" s="35" t="str">
        <f>_xlfn.XLOOKUP(E250,Organograma!G:G,Organograma!H:H,"")</f>
        <v>Janaina Bernardes Ayer</v>
      </c>
      <c r="E250" s="35" t="s">
        <v>78</v>
      </c>
      <c r="F250" s="36" t="s">
        <v>945</v>
      </c>
      <c r="G250" s="35" t="s">
        <v>1059</v>
      </c>
    </row>
    <row r="251" spans="1:7">
      <c r="A251" s="35" t="s">
        <v>1149</v>
      </c>
      <c r="B251" s="35" t="s">
        <v>1058</v>
      </c>
      <c r="C251" s="35" t="s">
        <v>1422</v>
      </c>
      <c r="D251" s="35" t="str">
        <f>_xlfn.XLOOKUP(E251,Organograma!G:G,Organograma!H:H,"")</f>
        <v>Janaina Bernardes Ayer</v>
      </c>
      <c r="E251" s="35" t="s">
        <v>78</v>
      </c>
      <c r="F251" s="36" t="s">
        <v>1206</v>
      </c>
      <c r="G251" s="35" t="s">
        <v>1272</v>
      </c>
    </row>
    <row r="252" spans="1:7">
      <c r="A252" s="35" t="s">
        <v>942</v>
      </c>
      <c r="B252" s="35" t="s">
        <v>1054</v>
      </c>
      <c r="C252" s="35" t="s">
        <v>1422</v>
      </c>
      <c r="D252" s="35" t="str">
        <f>_xlfn.XLOOKUP(E252,Organograma!G:G,Organograma!H:H,"")</f>
        <v>Janaina Bernardes Ayer</v>
      </c>
      <c r="E252" s="35" t="s">
        <v>78</v>
      </c>
      <c r="F252" s="36" t="s">
        <v>945</v>
      </c>
      <c r="G252" s="35" t="s">
        <v>1055</v>
      </c>
    </row>
    <row r="253" spans="1:7">
      <c r="A253" s="35" t="s">
        <v>942</v>
      </c>
      <c r="B253" s="35" t="s">
        <v>1056</v>
      </c>
      <c r="C253" s="35" t="s">
        <v>1422</v>
      </c>
      <c r="D253" s="35" t="str">
        <f>_xlfn.XLOOKUP(E253,Organograma!G:G,Organograma!H:H,"")</f>
        <v>Janaina Bernardes Ayer</v>
      </c>
      <c r="E253" s="35" t="s">
        <v>78</v>
      </c>
      <c r="F253" s="36" t="s">
        <v>945</v>
      </c>
      <c r="G253" s="35" t="s">
        <v>1057</v>
      </c>
    </row>
    <row r="254" spans="1:7">
      <c r="A254" s="35" t="s">
        <v>942</v>
      </c>
      <c r="B254" s="35" t="s">
        <v>956</v>
      </c>
      <c r="C254" s="35" t="s">
        <v>1422</v>
      </c>
      <c r="D254" s="35" t="str">
        <f>_xlfn.XLOOKUP(E254,Organograma!G:G,Organograma!H:H,"")</f>
        <v>Gleyce Kelly Damaceno Barros Cavalcante</v>
      </c>
      <c r="E254" s="35" t="s">
        <v>106</v>
      </c>
      <c r="F254" s="36" t="s">
        <v>945</v>
      </c>
      <c r="G254" s="35" t="s">
        <v>957</v>
      </c>
    </row>
    <row r="255" spans="1:7">
      <c r="A255" s="35" t="s">
        <v>1149</v>
      </c>
      <c r="B255" s="35" t="s">
        <v>956</v>
      </c>
      <c r="C255" s="35" t="s">
        <v>1422</v>
      </c>
      <c r="D255" s="35" t="str">
        <f>_xlfn.XLOOKUP(E255,Organograma!G:G,Organograma!H:H,"")</f>
        <v>Gleyce Kelly Damaceno Barros Cavalcante</v>
      </c>
      <c r="E255" s="35" t="s">
        <v>106</v>
      </c>
      <c r="F255" s="36" t="s">
        <v>1152</v>
      </c>
      <c r="G255" s="35" t="s">
        <v>1172</v>
      </c>
    </row>
    <row r="256" spans="1:7">
      <c r="A256" s="35" t="s">
        <v>942</v>
      </c>
      <c r="B256" s="35" t="s">
        <v>950</v>
      </c>
      <c r="C256" s="35" t="s">
        <v>1422</v>
      </c>
      <c r="D256" s="35" t="str">
        <f>_xlfn.XLOOKUP(E256,Organograma!G:G,Organograma!H:H,"")</f>
        <v>Gleyce Kelly Damaceno Barros Cavalcante</v>
      </c>
      <c r="E256" s="35" t="s">
        <v>106</v>
      </c>
      <c r="F256" s="36" t="s">
        <v>945</v>
      </c>
      <c r="G256" s="35" t="s">
        <v>951</v>
      </c>
    </row>
    <row r="257" spans="1:7">
      <c r="A257" s="35" t="s">
        <v>1149</v>
      </c>
      <c r="B257" s="35" t="s">
        <v>950</v>
      </c>
      <c r="C257" s="35" t="s">
        <v>1422</v>
      </c>
      <c r="D257" s="35" t="str">
        <f>_xlfn.XLOOKUP(E257,Organograma!G:G,Organograma!H:H,"")</f>
        <v>Gleyce Kelly Damaceno Barros Cavalcante</v>
      </c>
      <c r="E257" s="35" t="s">
        <v>106</v>
      </c>
      <c r="F257" s="36" t="s">
        <v>1152</v>
      </c>
      <c r="G257" s="35" t="s">
        <v>1168</v>
      </c>
    </row>
    <row r="258" spans="1:7">
      <c r="A258" s="35" t="s">
        <v>942</v>
      </c>
      <c r="B258" s="35" t="s">
        <v>952</v>
      </c>
      <c r="C258" s="35" t="s">
        <v>1422</v>
      </c>
      <c r="D258" s="35" t="str">
        <f>_xlfn.XLOOKUP(E258,Organograma!G:G,Organograma!H:H,"")</f>
        <v>Gleyce Kelly Damaceno Barros Cavalcante</v>
      </c>
      <c r="E258" s="35" t="s">
        <v>106</v>
      </c>
      <c r="F258" s="36" t="s">
        <v>945</v>
      </c>
      <c r="G258" s="35" t="s">
        <v>953</v>
      </c>
    </row>
    <row r="259" spans="1:7">
      <c r="A259" s="35" t="s">
        <v>1149</v>
      </c>
      <c r="B259" s="35" t="s">
        <v>952</v>
      </c>
      <c r="C259" s="35" t="s">
        <v>1422</v>
      </c>
      <c r="D259" s="35" t="str">
        <f>_xlfn.XLOOKUP(E259,Organograma!G:G,Organograma!H:H,"")</f>
        <v>Gleyce Kelly Damaceno Barros Cavalcante</v>
      </c>
      <c r="E259" s="35" t="s">
        <v>106</v>
      </c>
      <c r="F259" s="36" t="s">
        <v>1152</v>
      </c>
      <c r="G259" s="35" t="s">
        <v>1169</v>
      </c>
    </row>
    <row r="260" spans="1:7">
      <c r="A260" s="35" t="s">
        <v>1149</v>
      </c>
      <c r="B260" s="35" t="s">
        <v>1170</v>
      </c>
      <c r="C260" s="35" t="s">
        <v>1422</v>
      </c>
      <c r="D260" s="35" t="str">
        <f>_xlfn.XLOOKUP(E260,Organograma!G:G,Organograma!H:H,"")</f>
        <v>Gleyce Kelly Damaceno Barros Cavalcante</v>
      </c>
      <c r="E260" s="35" t="s">
        <v>106</v>
      </c>
      <c r="F260" s="36" t="s">
        <v>1152</v>
      </c>
      <c r="G260" s="35" t="s">
        <v>1171</v>
      </c>
    </row>
    <row r="261" spans="1:7">
      <c r="A261" s="35" t="s">
        <v>942</v>
      </c>
      <c r="B261" s="35" t="s">
        <v>958</v>
      </c>
      <c r="C261" s="35" t="s">
        <v>1422</v>
      </c>
      <c r="D261" s="35" t="str">
        <f>_xlfn.XLOOKUP(E261,Organograma!G:G,Organograma!H:H,"")</f>
        <v>Gleyce Kelly Damaceno Barros Cavalcante</v>
      </c>
      <c r="E261" s="35" t="s">
        <v>106</v>
      </c>
      <c r="F261" s="36" t="s">
        <v>945</v>
      </c>
      <c r="G261" s="35" t="s">
        <v>959</v>
      </c>
    </row>
    <row r="262" spans="1:7">
      <c r="A262" s="35" t="s">
        <v>1149</v>
      </c>
      <c r="B262" s="35" t="s">
        <v>958</v>
      </c>
      <c r="C262" s="35" t="s">
        <v>1422</v>
      </c>
      <c r="D262" s="35" t="str">
        <f>_xlfn.XLOOKUP(E262,Organograma!G:G,Organograma!H:H,"")</f>
        <v>Gleyce Kelly Damaceno Barros Cavalcante</v>
      </c>
      <c r="E262" s="35" t="s">
        <v>106</v>
      </c>
      <c r="F262" s="36" t="s">
        <v>1152</v>
      </c>
      <c r="G262" s="35" t="s">
        <v>1173</v>
      </c>
    </row>
    <row r="263" spans="1:7">
      <c r="A263" s="35" t="s">
        <v>942</v>
      </c>
      <c r="B263" s="35" t="s">
        <v>954</v>
      </c>
      <c r="C263" s="35" t="s">
        <v>1422</v>
      </c>
      <c r="D263" s="35" t="str">
        <f>_xlfn.XLOOKUP(E263,Organograma!G:G,Organograma!H:H,"")</f>
        <v>Gleyce Kelly Damaceno Barros Cavalcante</v>
      </c>
      <c r="E263" s="35" t="s">
        <v>106</v>
      </c>
      <c r="F263" s="36" t="s">
        <v>945</v>
      </c>
      <c r="G263" s="35" t="s">
        <v>955</v>
      </c>
    </row>
    <row r="264" spans="1:7">
      <c r="A264" s="35" t="s">
        <v>1149</v>
      </c>
      <c r="B264" s="35" t="s">
        <v>1409</v>
      </c>
      <c r="C264" s="35" t="s">
        <v>1422</v>
      </c>
      <c r="D264" s="35" t="str">
        <f>_xlfn.XLOOKUP(E264,Organograma!G:G,Organograma!H:H,"")</f>
        <v>Andrew Silva de Lima</v>
      </c>
      <c r="E264" s="35" t="s">
        <v>38</v>
      </c>
      <c r="F264" s="36" t="s">
        <v>1386</v>
      </c>
      <c r="G264" s="35" t="s">
        <v>1410</v>
      </c>
    </row>
    <row r="265" spans="1:7">
      <c r="A265" s="35" t="s">
        <v>1149</v>
      </c>
      <c r="B265" s="35" t="s">
        <v>1411</v>
      </c>
      <c r="C265" s="35" t="s">
        <v>1422</v>
      </c>
      <c r="D265" s="35" t="str">
        <f>_xlfn.XLOOKUP(E265,Organograma!G:G,Organograma!H:H,"")</f>
        <v>Andrew Silva de Lima</v>
      </c>
      <c r="E265" s="35" t="s">
        <v>38</v>
      </c>
      <c r="F265" s="36" t="s">
        <v>1386</v>
      </c>
      <c r="G265" s="35" t="s">
        <v>1412</v>
      </c>
    </row>
    <row r="266" spans="1:7">
      <c r="A266" s="35" t="s">
        <v>1149</v>
      </c>
      <c r="B266" s="35" t="s">
        <v>1462</v>
      </c>
      <c r="C266" s="35" t="s">
        <v>1422</v>
      </c>
      <c r="D266" s="35" t="str">
        <f>_xlfn.XLOOKUP(E266,Organograma!G:G,Organograma!H:H,"")</f>
        <v>Andrew Silva de Lima</v>
      </c>
      <c r="E266" s="35" t="s">
        <v>38</v>
      </c>
      <c r="F266" s="36" t="s">
        <v>1386</v>
      </c>
      <c r="G266" s="35" t="s">
        <v>1407</v>
      </c>
    </row>
    <row r="267" spans="1:7">
      <c r="A267" s="35" t="s">
        <v>942</v>
      </c>
      <c r="B267" s="35" t="s">
        <v>1117</v>
      </c>
      <c r="C267" s="35" t="s">
        <v>1422</v>
      </c>
      <c r="D267" s="35" t="str">
        <f>_xlfn.XLOOKUP(E267,Organograma!G:G,Organograma!H:H,"")</f>
        <v>Larissa Talita da Silva</v>
      </c>
      <c r="E267" s="35" t="s">
        <v>196</v>
      </c>
      <c r="F267" s="36" t="s">
        <v>945</v>
      </c>
      <c r="G267" s="35" t="s">
        <v>1118</v>
      </c>
    </row>
    <row r="268" spans="1:7">
      <c r="A268" s="35" t="s">
        <v>1149</v>
      </c>
      <c r="B268" s="35" t="s">
        <v>1117</v>
      </c>
      <c r="C268" s="35" t="s">
        <v>1422</v>
      </c>
      <c r="D268" s="35" t="str">
        <f>_xlfn.XLOOKUP(E268,Organograma!G:G,Organograma!H:H,"")</f>
        <v>Larissa Talita da Silva</v>
      </c>
      <c r="E268" s="35" t="s">
        <v>196</v>
      </c>
      <c r="F268" s="36" t="s">
        <v>1206</v>
      </c>
      <c r="G268" s="35" t="s">
        <v>1342</v>
      </c>
    </row>
    <row r="269" spans="1:7">
      <c r="A269" s="35" t="s">
        <v>1149</v>
      </c>
      <c r="B269" s="35" t="s">
        <v>1338</v>
      </c>
      <c r="C269" s="35" t="s">
        <v>1422</v>
      </c>
      <c r="D269" s="35" t="str">
        <f>_xlfn.XLOOKUP(E269,Organograma!G:G,Organograma!H:H,"")</f>
        <v>Larissa Talita da Silva</v>
      </c>
      <c r="E269" s="35" t="s">
        <v>196</v>
      </c>
      <c r="F269" s="36" t="s">
        <v>1206</v>
      </c>
      <c r="G269" s="35" t="s">
        <v>1339</v>
      </c>
    </row>
    <row r="270" spans="1:7">
      <c r="A270" s="35" t="s">
        <v>942</v>
      </c>
      <c r="B270" s="35" t="s">
        <v>1119</v>
      </c>
      <c r="C270" s="35" t="s">
        <v>1422</v>
      </c>
      <c r="D270" s="35" t="str">
        <f>_xlfn.XLOOKUP(E270,Organograma!G:G,Organograma!H:H,"")</f>
        <v>Larissa Talita da Silva</v>
      </c>
      <c r="E270" s="35" t="s">
        <v>196</v>
      </c>
      <c r="F270" s="36" t="s">
        <v>945</v>
      </c>
      <c r="G270" s="35" t="s">
        <v>1120</v>
      </c>
    </row>
    <row r="271" spans="1:7">
      <c r="A271" s="35" t="s">
        <v>1149</v>
      </c>
      <c r="B271" s="35" t="s">
        <v>1119</v>
      </c>
      <c r="C271" s="35" t="s">
        <v>1422</v>
      </c>
      <c r="D271" s="35" t="str">
        <f>_xlfn.XLOOKUP(E271,Organograma!G:G,Organograma!H:H,"")</f>
        <v>Larissa Talita da Silva</v>
      </c>
      <c r="E271" s="35" t="s">
        <v>196</v>
      </c>
      <c r="F271" s="36" t="s">
        <v>1206</v>
      </c>
      <c r="G271" s="35" t="s">
        <v>1343</v>
      </c>
    </row>
    <row r="272" spans="1:7">
      <c r="A272" s="35" t="s">
        <v>942</v>
      </c>
      <c r="B272" s="35" t="s">
        <v>1115</v>
      </c>
      <c r="C272" s="35" t="s">
        <v>1422</v>
      </c>
      <c r="D272" s="35" t="str">
        <f>_xlfn.XLOOKUP(E272,Organograma!G:G,Organograma!H:H,"")</f>
        <v>Larissa Talita da Silva</v>
      </c>
      <c r="E272" s="35" t="s">
        <v>196</v>
      </c>
      <c r="F272" s="36" t="s">
        <v>945</v>
      </c>
      <c r="G272" s="35" t="s">
        <v>1116</v>
      </c>
    </row>
    <row r="273" spans="1:7">
      <c r="A273" s="35" t="s">
        <v>942</v>
      </c>
      <c r="B273" s="35" t="s">
        <v>1121</v>
      </c>
      <c r="C273" s="35" t="s">
        <v>1422</v>
      </c>
      <c r="D273" s="35" t="str">
        <f>_xlfn.XLOOKUP(E273,Organograma!G:G,Organograma!H:H,"")</f>
        <v>Larissa Talita da Silva</v>
      </c>
      <c r="E273" s="35" t="s">
        <v>196</v>
      </c>
      <c r="F273" s="36" t="s">
        <v>945</v>
      </c>
      <c r="G273" s="35" t="s">
        <v>1122</v>
      </c>
    </row>
    <row r="274" spans="1:7">
      <c r="A274" s="35" t="s">
        <v>1149</v>
      </c>
      <c r="B274" s="35" t="s">
        <v>1121</v>
      </c>
      <c r="C274" s="35" t="s">
        <v>1422</v>
      </c>
      <c r="D274" s="35" t="str">
        <f>_xlfn.XLOOKUP(E274,Organograma!G:G,Organograma!H:H,"")</f>
        <v>Larissa Talita da Silva</v>
      </c>
      <c r="E274" s="35" t="s">
        <v>196</v>
      </c>
      <c r="F274" s="36" t="s">
        <v>1206</v>
      </c>
      <c r="G274" s="35" t="s">
        <v>1344</v>
      </c>
    </row>
    <row r="275" spans="1:7">
      <c r="A275" s="35" t="s">
        <v>942</v>
      </c>
      <c r="B275" s="35" t="s">
        <v>1113</v>
      </c>
      <c r="C275" s="35" t="s">
        <v>1422</v>
      </c>
      <c r="D275" s="35" t="str">
        <f>_xlfn.XLOOKUP(E275,Organograma!G:G,Organograma!H:H,"")</f>
        <v>Larissa Talita da Silva</v>
      </c>
      <c r="E275" s="35" t="s">
        <v>196</v>
      </c>
      <c r="F275" s="36" t="s">
        <v>945</v>
      </c>
      <c r="G275" s="35" t="s">
        <v>1114</v>
      </c>
    </row>
    <row r="276" spans="1:7">
      <c r="A276" s="35" t="s">
        <v>1149</v>
      </c>
      <c r="B276" s="35" t="s">
        <v>1340</v>
      </c>
      <c r="C276" s="35" t="s">
        <v>1422</v>
      </c>
      <c r="D276" s="35" t="str">
        <f>_xlfn.XLOOKUP(E276,Organograma!G:G,Organograma!H:H,"")</f>
        <v>Larissa Talita da Silva</v>
      </c>
      <c r="E276" s="35" t="s">
        <v>196</v>
      </c>
      <c r="F276" s="36" t="s">
        <v>1206</v>
      </c>
      <c r="G276" s="35" t="s">
        <v>1341</v>
      </c>
    </row>
    <row r="277" spans="1:7">
      <c r="A277" s="35" t="s">
        <v>1149</v>
      </c>
      <c r="B277" s="35" t="s">
        <v>1384</v>
      </c>
      <c r="C277" s="35" t="s">
        <v>1422</v>
      </c>
      <c r="D277" s="35" t="str">
        <f>_xlfn.XLOOKUP(E277,Organograma!G:G,Organograma!H:H,"")</f>
        <v>Debora De Oliveira Alvarenga</v>
      </c>
      <c r="E277" s="35" t="s">
        <v>197</v>
      </c>
      <c r="F277" s="36" t="s">
        <v>1386</v>
      </c>
      <c r="G277" s="35" t="s">
        <v>1385</v>
      </c>
    </row>
    <row r="278" spans="1:7">
      <c r="A278" s="35" t="s">
        <v>1149</v>
      </c>
      <c r="B278" s="35" t="s">
        <v>1389</v>
      </c>
      <c r="C278" s="35" t="s">
        <v>1422</v>
      </c>
      <c r="D278" s="35" t="str">
        <f>_xlfn.XLOOKUP(E278,Organograma!G:G,Organograma!H:H,"")</f>
        <v>Debora De Oliveira Alvarenga</v>
      </c>
      <c r="E278" s="35" t="s">
        <v>197</v>
      </c>
      <c r="F278" s="36" t="s">
        <v>1386</v>
      </c>
      <c r="G278" s="35" t="s">
        <v>1390</v>
      </c>
    </row>
    <row r="279" spans="1:7">
      <c r="A279" s="35" t="s">
        <v>1149</v>
      </c>
      <c r="B279" s="35" t="s">
        <v>1387</v>
      </c>
      <c r="C279" s="35" t="s">
        <v>1422</v>
      </c>
      <c r="D279" s="35" t="str">
        <f>_xlfn.XLOOKUP(E279,Organograma!G:G,Organograma!H:H,"")</f>
        <v>Debora De Oliveira Alvarenga</v>
      </c>
      <c r="E279" s="35" t="s">
        <v>197</v>
      </c>
      <c r="F279" s="36" t="s">
        <v>1386</v>
      </c>
      <c r="G279" s="35" t="s">
        <v>1388</v>
      </c>
    </row>
    <row r="280" spans="1:7">
      <c r="A280" s="35" t="s">
        <v>1149</v>
      </c>
      <c r="B280" s="35" t="s">
        <v>1382</v>
      </c>
      <c r="C280" s="35" t="s">
        <v>1422</v>
      </c>
      <c r="D280" s="35" t="str">
        <f>_xlfn.XLOOKUP(E280,Organograma!G:G,Organograma!H:H,"")</f>
        <v>Debora De Oliveira Alvarenga</v>
      </c>
      <c r="E280" s="35" t="s">
        <v>197</v>
      </c>
      <c r="F280" s="36" t="s">
        <v>1206</v>
      </c>
      <c r="G280" s="35" t="s">
        <v>1383</v>
      </c>
    </row>
    <row r="281" spans="1:7">
      <c r="A281" s="35" t="s">
        <v>1149</v>
      </c>
      <c r="B281" s="35" t="s">
        <v>1403</v>
      </c>
      <c r="C281" s="35" t="s">
        <v>1422</v>
      </c>
      <c r="D281" s="35" t="str">
        <f>_xlfn.XLOOKUP(E281,Organograma!G:G,Organograma!H:H,"")</f>
        <v>Marisol Luise Vilhene da Silva</v>
      </c>
      <c r="E281" s="35" t="s">
        <v>1402</v>
      </c>
      <c r="F281" s="36" t="s">
        <v>1386</v>
      </c>
      <c r="G281" s="35" t="s">
        <v>1404</v>
      </c>
    </row>
    <row r="282" spans="1:7">
      <c r="A282" s="35" t="s">
        <v>1149</v>
      </c>
      <c r="B282" s="35" t="s">
        <v>1405</v>
      </c>
      <c r="C282" s="35" t="s">
        <v>1422</v>
      </c>
      <c r="D282" s="35" t="str">
        <f>_xlfn.XLOOKUP(E282,Organograma!G:G,Organograma!H:H,"")</f>
        <v>Marisol Luise Vilhene da Silva</v>
      </c>
      <c r="E282" s="35" t="s">
        <v>1402</v>
      </c>
      <c r="F282" s="36" t="s">
        <v>1386</v>
      </c>
      <c r="G282" s="35" t="s">
        <v>1406</v>
      </c>
    </row>
    <row r="283" spans="1:7">
      <c r="A283" s="35" t="s">
        <v>1149</v>
      </c>
      <c r="B283" s="35" t="s">
        <v>1400</v>
      </c>
      <c r="C283" s="35" t="s">
        <v>1422</v>
      </c>
      <c r="D283" s="35" t="str">
        <f>_xlfn.XLOOKUP(E283,Organograma!G:G,Organograma!H:H,"")</f>
        <v>Marisol Luise Vilhene da Silva</v>
      </c>
      <c r="E283" s="35" t="s">
        <v>1402</v>
      </c>
      <c r="F283" s="36" t="s">
        <v>1386</v>
      </c>
      <c r="G283" s="35" t="s">
        <v>1401</v>
      </c>
    </row>
    <row r="284" spans="1:7">
      <c r="A284" s="35" t="s">
        <v>1149</v>
      </c>
      <c r="B284" s="35" t="s">
        <v>1394</v>
      </c>
      <c r="C284" s="35" t="s">
        <v>1422</v>
      </c>
      <c r="D284" s="35" t="str">
        <f>_xlfn.XLOOKUP(E284,Organograma!G:G,Organograma!H:H,"")</f>
        <v>Debora De Oliveira Alvarenga</v>
      </c>
      <c r="E284" s="35" t="s">
        <v>194</v>
      </c>
      <c r="F284" s="36" t="s">
        <v>1386</v>
      </c>
      <c r="G284" s="35" t="s">
        <v>1395</v>
      </c>
    </row>
    <row r="285" spans="1:7">
      <c r="A285" s="35" t="s">
        <v>1149</v>
      </c>
      <c r="B285" s="35" t="s">
        <v>1391</v>
      </c>
      <c r="C285" s="35" t="s">
        <v>1422</v>
      </c>
      <c r="D285" s="35" t="str">
        <f>_xlfn.XLOOKUP(E285,Organograma!G:G,Organograma!H:H,"")</f>
        <v>Debora De Oliveira Alvarenga</v>
      </c>
      <c r="E285" s="35" t="s">
        <v>194</v>
      </c>
      <c r="F285" s="36" t="s">
        <v>1386</v>
      </c>
      <c r="G285" s="35" t="s">
        <v>1392</v>
      </c>
    </row>
    <row r="286" spans="1:7">
      <c r="A286" s="35" t="s">
        <v>1149</v>
      </c>
      <c r="B286" s="35" t="s">
        <v>1460</v>
      </c>
      <c r="C286" s="35" t="s">
        <v>1422</v>
      </c>
      <c r="D286" s="35" t="str">
        <f>_xlfn.XLOOKUP(E286,Organograma!G:G,Organograma!H:H,"")</f>
        <v>Debora De Oliveira Alvarenga</v>
      </c>
      <c r="E286" s="35" t="s">
        <v>194</v>
      </c>
      <c r="F286" s="36" t="s">
        <v>1386</v>
      </c>
      <c r="G286" s="35" t="s">
        <v>1393</v>
      </c>
    </row>
    <row r="287" spans="1:7">
      <c r="A287" s="35" t="s">
        <v>1768</v>
      </c>
      <c r="B287" s="38" t="s">
        <v>1567</v>
      </c>
      <c r="C287" s="35" t="s">
        <v>1761</v>
      </c>
      <c r="D287" s="35" t="str">
        <f>_xlfn.XLOOKUP(E287,Organograma!G:G,Organograma!H:H,"")</f>
        <v>Mylena Justino da Silva Brito</v>
      </c>
      <c r="E287" s="35" t="s">
        <v>42</v>
      </c>
      <c r="F287" s="36">
        <v>46155</v>
      </c>
      <c r="G287" s="35" t="s">
        <v>1766</v>
      </c>
    </row>
    <row r="288" spans="1:7">
      <c r="A288" s="35" t="s">
        <v>1768</v>
      </c>
      <c r="B288" s="38" t="s">
        <v>1762</v>
      </c>
      <c r="C288" s="35" t="s">
        <v>1761</v>
      </c>
      <c r="D288" s="35" t="str">
        <f>_xlfn.XLOOKUP(E288,Organograma!G:G,Organograma!H:H,"")</f>
        <v>Camila Amanda Cardoso dos Santos</v>
      </c>
      <c r="E288" s="35" t="s">
        <v>61</v>
      </c>
      <c r="F288" s="36">
        <v>46155</v>
      </c>
      <c r="G288" s="35" t="s">
        <v>1766</v>
      </c>
    </row>
    <row r="289" spans="1:7">
      <c r="A289" s="35" t="s">
        <v>1768</v>
      </c>
      <c r="B289" s="38" t="s">
        <v>1549</v>
      </c>
      <c r="C289" s="35" t="s">
        <v>1761</v>
      </c>
      <c r="D289" s="35" t="str">
        <f>_xlfn.XLOOKUP(E289,Organograma!G:G,Organograma!H:H,"")</f>
        <v>Camila Amanda Cardoso dos Santos</v>
      </c>
      <c r="E289" s="35" t="s">
        <v>59</v>
      </c>
      <c r="F289" s="36">
        <v>46155</v>
      </c>
      <c r="G289" s="35" t="s">
        <v>1766</v>
      </c>
    </row>
    <row r="290" spans="1:7">
      <c r="A290" s="35" t="s">
        <v>1768</v>
      </c>
      <c r="B290" s="39" t="s">
        <v>1569</v>
      </c>
      <c r="C290" s="35" t="s">
        <v>1761</v>
      </c>
      <c r="D290" s="35" t="str">
        <f>_xlfn.XLOOKUP(E290,Organograma!G:G,Organograma!H:H,"")</f>
        <v>Debora De Oliveira Alvarenga</v>
      </c>
      <c r="E290" s="35" t="s">
        <v>197</v>
      </c>
      <c r="F290" s="36">
        <v>46155</v>
      </c>
      <c r="G290" s="35" t="s">
        <v>1766</v>
      </c>
    </row>
    <row r="291" spans="1:7">
      <c r="A291" s="35" t="s">
        <v>1768</v>
      </c>
      <c r="B291" s="38" t="s">
        <v>1570</v>
      </c>
      <c r="C291" s="35" t="s">
        <v>1761</v>
      </c>
      <c r="D291" s="35" t="str">
        <f>_xlfn.XLOOKUP(E291,Organograma!G:G,Organograma!H:H,"")</f>
        <v>Debora De Oliveira Alvarenga</v>
      </c>
      <c r="E291" s="35" t="s">
        <v>194</v>
      </c>
      <c r="F291" s="36">
        <v>46155</v>
      </c>
      <c r="G291" s="35" t="s">
        <v>1766</v>
      </c>
    </row>
    <row r="292" spans="1:7">
      <c r="A292" s="35" t="s">
        <v>1768</v>
      </c>
      <c r="B292" s="38" t="s">
        <v>1571</v>
      </c>
      <c r="C292" s="35" t="s">
        <v>1761</v>
      </c>
      <c r="D292" s="35" t="str">
        <f>_xlfn.XLOOKUP(E292,Organograma!G:G,Organograma!H:H,"")</f>
        <v>Mylena Justino da Silva Brito</v>
      </c>
      <c r="E292" s="35" t="s">
        <v>42</v>
      </c>
      <c r="F292" s="36">
        <v>46155</v>
      </c>
      <c r="G292" s="35" t="s">
        <v>1766</v>
      </c>
    </row>
    <row r="293" spans="1:7">
      <c r="A293" s="35" t="s">
        <v>1768</v>
      </c>
      <c r="B293" s="38" t="s">
        <v>1572</v>
      </c>
      <c r="C293" s="35" t="s">
        <v>1761</v>
      </c>
      <c r="D293" s="35" t="str">
        <f>_xlfn.XLOOKUP(E293,Organograma!G:G,Organograma!H:H,"")</f>
        <v>Mylena Justino da Silva Brito</v>
      </c>
      <c r="E293" s="35" t="s">
        <v>42</v>
      </c>
      <c r="F293" s="36">
        <v>46155</v>
      </c>
      <c r="G293" s="35" t="s">
        <v>1766</v>
      </c>
    </row>
    <row r="294" spans="1:7">
      <c r="A294" s="35" t="s">
        <v>1768</v>
      </c>
      <c r="B294" s="38" t="s">
        <v>1573</v>
      </c>
      <c r="C294" s="35" t="s">
        <v>1761</v>
      </c>
      <c r="D294" s="35" t="str">
        <f>_xlfn.XLOOKUP(E294,Organograma!G:G,Organograma!H:H,"")</f>
        <v>Mylena Justino da Silva Brito</v>
      </c>
      <c r="E294" s="35" t="s">
        <v>42</v>
      </c>
      <c r="F294" s="36">
        <v>46155</v>
      </c>
      <c r="G294" s="35" t="s">
        <v>1766</v>
      </c>
    </row>
    <row r="295" spans="1:7">
      <c r="A295" s="35" t="s">
        <v>1768</v>
      </c>
      <c r="B295" s="38" t="s">
        <v>1512</v>
      </c>
      <c r="C295" s="35" t="s">
        <v>1761</v>
      </c>
      <c r="D295" s="35" t="str">
        <f>_xlfn.XLOOKUP(E295,Organograma!G:G,Organograma!H:H,"")</f>
        <v>Camila Amanda Cardoso dos Santos</v>
      </c>
      <c r="E295" s="35" t="s">
        <v>59</v>
      </c>
      <c r="F295" s="36">
        <v>46155</v>
      </c>
      <c r="G295" s="35" t="s">
        <v>1766</v>
      </c>
    </row>
    <row r="296" spans="1:7">
      <c r="A296" s="35" t="s">
        <v>1768</v>
      </c>
      <c r="B296" s="38" t="s">
        <v>1586</v>
      </c>
      <c r="C296" s="35" t="s">
        <v>1761</v>
      </c>
      <c r="D296" s="35" t="str">
        <f>_xlfn.XLOOKUP(E296,Organograma!G:G,Organograma!H:H,"")</f>
        <v>Cleudimara Pereira Maciel Souza</v>
      </c>
      <c r="E296" s="35" t="s">
        <v>19</v>
      </c>
      <c r="F296" s="36">
        <v>46155</v>
      </c>
      <c r="G296" s="35" t="s">
        <v>1766</v>
      </c>
    </row>
    <row r="297" spans="1:7">
      <c r="A297" s="35" t="s">
        <v>1768</v>
      </c>
      <c r="B297" s="38" t="s">
        <v>1519</v>
      </c>
      <c r="C297" s="35" t="s">
        <v>1761</v>
      </c>
      <c r="D297" s="35" t="str">
        <f>_xlfn.XLOOKUP(E297,Organograma!G:G,Organograma!H:H,"")</f>
        <v>Cintia Kelciane Gomes de Oliveira</v>
      </c>
      <c r="E297" s="35" t="s">
        <v>40</v>
      </c>
      <c r="F297" s="36">
        <v>46155</v>
      </c>
      <c r="G297" s="35" t="s">
        <v>1766</v>
      </c>
    </row>
    <row r="298" spans="1:7">
      <c r="A298" s="35" t="s">
        <v>1768</v>
      </c>
      <c r="B298" s="38" t="s">
        <v>1468</v>
      </c>
      <c r="C298" s="35" t="s">
        <v>1761</v>
      </c>
      <c r="D298" s="35" t="str">
        <f>_xlfn.XLOOKUP(E298,Organograma!G:G,Organograma!H:H,"")</f>
        <v>Gleyce Kelly Damaceno Barros Cavalcante</v>
      </c>
      <c r="E298" s="35" t="s">
        <v>106</v>
      </c>
      <c r="F298" s="36">
        <v>46155</v>
      </c>
      <c r="G298" s="35" t="s">
        <v>1766</v>
      </c>
    </row>
    <row r="299" spans="1:7">
      <c r="A299" s="35" t="s">
        <v>1149</v>
      </c>
      <c r="B299" s="38" t="s">
        <v>1495</v>
      </c>
      <c r="C299" s="35" t="s">
        <v>1422</v>
      </c>
      <c r="D299" s="35" t="str">
        <f>_xlfn.XLOOKUP(E299,Organograma!G:G,Organograma!H:H,"")</f>
        <v>Janaina Bernardes Ayer</v>
      </c>
      <c r="E299" s="35" t="s">
        <v>78</v>
      </c>
      <c r="F299" s="36">
        <v>46155</v>
      </c>
      <c r="G299" s="35" t="s">
        <v>1766</v>
      </c>
    </row>
    <row r="300" spans="1:7">
      <c r="A300" s="35" t="s">
        <v>1149</v>
      </c>
      <c r="B300" s="38" t="s">
        <v>1491</v>
      </c>
      <c r="C300" s="35" t="s">
        <v>1422</v>
      </c>
      <c r="D300" s="35" t="str">
        <f>_xlfn.XLOOKUP(E300,Organograma!G:G,Organograma!H:H,"")</f>
        <v>Janaina Bernardes Ayer</v>
      </c>
      <c r="E300" s="35" t="s">
        <v>75</v>
      </c>
      <c r="F300" s="36">
        <v>46155</v>
      </c>
      <c r="G300" s="35" t="s">
        <v>1766</v>
      </c>
    </row>
    <row r="301" spans="1:7">
      <c r="A301" s="35" t="s">
        <v>1149</v>
      </c>
      <c r="B301" s="38" t="s">
        <v>1526</v>
      </c>
      <c r="C301" s="35" t="s">
        <v>1422</v>
      </c>
      <c r="D301" s="35" t="str">
        <f>_xlfn.XLOOKUP(E301,Organograma!G:G,Organograma!H:H,"")</f>
        <v>Janaina Bernardes Ayer</v>
      </c>
      <c r="E301" s="35" t="s">
        <v>76</v>
      </c>
      <c r="F301" s="36">
        <v>46155</v>
      </c>
      <c r="G301" s="35" t="s">
        <v>1766</v>
      </c>
    </row>
    <row r="302" spans="1:7">
      <c r="A302" s="35" t="s">
        <v>1768</v>
      </c>
      <c r="B302" s="38" t="s">
        <v>1600</v>
      </c>
      <c r="C302" s="35" t="s">
        <v>1761</v>
      </c>
      <c r="D302" s="35" t="str">
        <f>_xlfn.XLOOKUP(E302,Organograma!G:G,Organograma!H:H,"")</f>
        <v>Mayara Soares Honório</v>
      </c>
      <c r="E302" s="35" t="s">
        <v>92</v>
      </c>
      <c r="F302" s="36">
        <v>46155</v>
      </c>
      <c r="G302" s="35" t="s">
        <v>1766</v>
      </c>
    </row>
    <row r="303" spans="1:7">
      <c r="A303" s="35" t="s">
        <v>1768</v>
      </c>
      <c r="B303" s="38" t="s">
        <v>1531</v>
      </c>
      <c r="C303" s="35" t="s">
        <v>1761</v>
      </c>
      <c r="D303" s="35" t="str">
        <f>_xlfn.XLOOKUP(E303,Organograma!G:G,Organograma!H:H,"")</f>
        <v>Aliny Lopes Coelho</v>
      </c>
      <c r="E303" s="35" t="s">
        <v>54</v>
      </c>
      <c r="F303" s="36">
        <v>46155</v>
      </c>
      <c r="G303" s="35" t="s">
        <v>1766</v>
      </c>
    </row>
    <row r="304" spans="1:7">
      <c r="A304" s="35" t="s">
        <v>1768</v>
      </c>
      <c r="B304" s="38" t="s">
        <v>1499</v>
      </c>
      <c r="C304" s="35" t="s">
        <v>1761</v>
      </c>
      <c r="D304" s="35" t="str">
        <f>_xlfn.XLOOKUP(E304,Organograma!G:G,Organograma!H:H,"")</f>
        <v>Aliny Lopes Coelho</v>
      </c>
      <c r="E304" s="35" t="s">
        <v>54</v>
      </c>
      <c r="F304" s="36">
        <v>46155</v>
      </c>
      <c r="G304" s="35" t="s">
        <v>1766</v>
      </c>
    </row>
    <row r="305" spans="1:7">
      <c r="A305" s="35" t="s">
        <v>1768</v>
      </c>
      <c r="B305" s="38" t="s">
        <v>1574</v>
      </c>
      <c r="C305" s="35" t="s">
        <v>1761</v>
      </c>
      <c r="D305" s="35" t="str">
        <f>_xlfn.XLOOKUP(E305,Organograma!G:G,Organograma!H:H,"")</f>
        <v>Ana Luiza Timoteo Costa</v>
      </c>
      <c r="E305" s="35" t="s">
        <v>11</v>
      </c>
      <c r="F305" s="36">
        <v>46155</v>
      </c>
      <c r="G305" s="35" t="s">
        <v>1766</v>
      </c>
    </row>
    <row r="306" spans="1:7">
      <c r="A306" s="35" t="s">
        <v>1768</v>
      </c>
      <c r="B306" s="38" t="s">
        <v>1575</v>
      </c>
      <c r="C306" s="35" t="s">
        <v>1761</v>
      </c>
      <c r="D306" s="35" t="str">
        <f>_xlfn.XLOOKUP(E306,Organograma!G:G,Organograma!H:H,"")</f>
        <v>Mylena Justino da Silva Brito</v>
      </c>
      <c r="E306" s="35" t="s">
        <v>42</v>
      </c>
      <c r="F306" s="36">
        <v>46155</v>
      </c>
      <c r="G306" s="35" t="s">
        <v>1766</v>
      </c>
    </row>
    <row r="307" spans="1:7">
      <c r="A307" s="35" t="s">
        <v>1768</v>
      </c>
      <c r="B307" s="38" t="s">
        <v>1576</v>
      </c>
      <c r="C307" s="35" t="s">
        <v>1761</v>
      </c>
      <c r="D307" s="35" t="str">
        <f>_xlfn.XLOOKUP(E307,Organograma!G:G,Organograma!H:H,"")</f>
        <v>Mylena Justino da Silva Brito</v>
      </c>
      <c r="E307" s="35" t="s">
        <v>42</v>
      </c>
      <c r="F307" s="36">
        <v>46155</v>
      </c>
      <c r="G307" s="35" t="s">
        <v>1766</v>
      </c>
    </row>
    <row r="308" spans="1:7">
      <c r="A308" s="35" t="s">
        <v>1768</v>
      </c>
      <c r="B308" s="38" t="s">
        <v>1588</v>
      </c>
      <c r="C308" s="35" t="s">
        <v>1761</v>
      </c>
      <c r="D308" s="35" t="str">
        <f>_xlfn.XLOOKUP(E308,Organograma!G:G,Organograma!H:H,"")</f>
        <v>Gustavo Cintra Silva</v>
      </c>
      <c r="E308" s="35" t="s">
        <v>23</v>
      </c>
      <c r="F308" s="36">
        <v>46155</v>
      </c>
      <c r="G308" s="35" t="s">
        <v>1766</v>
      </c>
    </row>
    <row r="309" spans="1:7">
      <c r="A309" s="35" t="s">
        <v>1768</v>
      </c>
      <c r="B309" s="38" t="s">
        <v>1577</v>
      </c>
      <c r="C309" s="35" t="s">
        <v>1761</v>
      </c>
      <c r="D309" s="35" t="str">
        <f>_xlfn.XLOOKUP(E309,Organograma!G:G,Organograma!H:H,"")</f>
        <v>Camila Amanda Cardoso dos Santos</v>
      </c>
      <c r="E309" s="35" t="s">
        <v>59</v>
      </c>
      <c r="F309" s="36">
        <v>46155</v>
      </c>
      <c r="G309" s="35" t="s">
        <v>1766</v>
      </c>
    </row>
    <row r="310" spans="1:7">
      <c r="A310" s="35" t="s">
        <v>1768</v>
      </c>
      <c r="B310" s="38" t="s">
        <v>1578</v>
      </c>
      <c r="C310" s="35" t="s">
        <v>1761</v>
      </c>
      <c r="D310" s="35" t="str">
        <f>_xlfn.XLOOKUP(E310,Organograma!G:G,Organograma!H:H,"")</f>
        <v>Mylena Justino da Silva Brito</v>
      </c>
      <c r="E310" s="35" t="s">
        <v>42</v>
      </c>
      <c r="F310" s="36">
        <v>46155</v>
      </c>
      <c r="G310" s="35" t="s">
        <v>1766</v>
      </c>
    </row>
    <row r="311" spans="1:7">
      <c r="A311" s="35" t="s">
        <v>1768</v>
      </c>
      <c r="B311" s="38" t="s">
        <v>1555</v>
      </c>
      <c r="C311" s="35" t="s">
        <v>1761</v>
      </c>
      <c r="D311" s="35" t="str">
        <f>_xlfn.XLOOKUP(E311,Organograma!G:G,Organograma!H:H,"")</f>
        <v>Debora De Oliveira Alvarenga</v>
      </c>
      <c r="E311" s="35" t="s">
        <v>197</v>
      </c>
      <c r="F311" s="36">
        <v>46155</v>
      </c>
      <c r="G311" s="35" t="s">
        <v>1766</v>
      </c>
    </row>
    <row r="312" spans="1:7">
      <c r="A312" s="35" t="s">
        <v>1768</v>
      </c>
      <c r="B312" s="38" t="s">
        <v>1579</v>
      </c>
      <c r="C312" s="35" t="s">
        <v>1761</v>
      </c>
      <c r="D312" s="35" t="str">
        <f>_xlfn.XLOOKUP(E312,Organograma!G:G,Organograma!H:H,"")</f>
        <v>Mylena Justino da Silva Brito</v>
      </c>
      <c r="E312" s="35" t="s">
        <v>42</v>
      </c>
      <c r="F312" s="36">
        <v>46155</v>
      </c>
      <c r="G312" s="35" t="s">
        <v>1766</v>
      </c>
    </row>
    <row r="313" spans="1:7">
      <c r="A313" s="35" t="s">
        <v>1768</v>
      </c>
      <c r="B313" s="38" t="s">
        <v>1513</v>
      </c>
      <c r="C313" s="35" t="s">
        <v>1761</v>
      </c>
      <c r="D313" s="35" t="str">
        <f>_xlfn.XLOOKUP(E313,Organograma!G:G,Organograma!H:H,"")</f>
        <v>Olivia Alves dos Santos</v>
      </c>
      <c r="E313" s="35" t="s">
        <v>95</v>
      </c>
      <c r="F313" s="36">
        <v>46155</v>
      </c>
      <c r="G313" s="35" t="s">
        <v>1766</v>
      </c>
    </row>
    <row r="314" spans="1:7">
      <c r="A314" s="35" t="s">
        <v>1149</v>
      </c>
      <c r="B314" s="38" t="s">
        <v>1496</v>
      </c>
      <c r="C314" s="35" t="s">
        <v>1422</v>
      </c>
      <c r="D314" s="35" t="str">
        <f>_xlfn.XLOOKUP(E314,Organograma!G:G,Organograma!H:H,"")</f>
        <v>Janaina Bernardes Ayer</v>
      </c>
      <c r="E314" s="35" t="s">
        <v>78</v>
      </c>
      <c r="F314" s="36">
        <v>46155</v>
      </c>
      <c r="G314" s="35" t="s">
        <v>1766</v>
      </c>
    </row>
    <row r="315" spans="1:7">
      <c r="A315" s="35" t="s">
        <v>1768</v>
      </c>
      <c r="B315" s="38" t="s">
        <v>1553</v>
      </c>
      <c r="C315" s="35" t="s">
        <v>1761</v>
      </c>
      <c r="D315" s="35" t="str">
        <f>_xlfn.XLOOKUP(E315,Organograma!G:G,Organograma!H:H,"")</f>
        <v>Olivia Alves dos Santos</v>
      </c>
      <c r="E315" s="35" t="s">
        <v>95</v>
      </c>
      <c r="F315" s="36">
        <v>46155</v>
      </c>
      <c r="G315" s="35" t="s">
        <v>1766</v>
      </c>
    </row>
    <row r="316" spans="1:7">
      <c r="A316" s="35" t="s">
        <v>1768</v>
      </c>
      <c r="B316" s="38" t="s">
        <v>1580</v>
      </c>
      <c r="C316" s="35" t="s">
        <v>1761</v>
      </c>
      <c r="D316" s="35" t="str">
        <f>_xlfn.XLOOKUP(E316,Organograma!G:G,Organograma!H:H,"")</f>
        <v>Mylena Justino da Silva Brito</v>
      </c>
      <c r="E316" s="35" t="s">
        <v>42</v>
      </c>
      <c r="F316" s="36">
        <v>46155</v>
      </c>
      <c r="G316" s="35" t="s">
        <v>1766</v>
      </c>
    </row>
    <row r="317" spans="1:7">
      <c r="A317" s="35" t="s">
        <v>1149</v>
      </c>
      <c r="B317" s="38" t="s">
        <v>1492</v>
      </c>
      <c r="C317" s="35" t="s">
        <v>1422</v>
      </c>
      <c r="D317" s="35" t="str">
        <f>_xlfn.XLOOKUP(E317,Organograma!G:G,Organograma!H:H,"")</f>
        <v>Janaina Bernardes Ayer</v>
      </c>
      <c r="E317" s="35" t="s">
        <v>75</v>
      </c>
      <c r="F317" s="36">
        <v>46155</v>
      </c>
      <c r="G317" s="35" t="s">
        <v>1766</v>
      </c>
    </row>
    <row r="318" spans="1:7">
      <c r="A318" s="35" t="s">
        <v>1768</v>
      </c>
      <c r="B318" s="38" t="s">
        <v>1581</v>
      </c>
      <c r="C318" s="35" t="s">
        <v>1761</v>
      </c>
      <c r="D318" s="35" t="str">
        <f>_xlfn.XLOOKUP(E318,Organograma!G:G,Organograma!H:H,"")</f>
        <v>Janaina Bernardes Ayer</v>
      </c>
      <c r="E318" s="35" t="s">
        <v>193</v>
      </c>
      <c r="F318" s="36">
        <v>46155</v>
      </c>
      <c r="G318" s="35" t="s">
        <v>1766</v>
      </c>
    </row>
    <row r="319" spans="1:7">
      <c r="A319" s="35" t="s">
        <v>1768</v>
      </c>
      <c r="B319" s="38" t="s">
        <v>1582</v>
      </c>
      <c r="C319" s="35" t="s">
        <v>1761</v>
      </c>
      <c r="D319" s="35" t="str">
        <f>_xlfn.XLOOKUP(E319,Organograma!G:G,Organograma!H:H,"")</f>
        <v>Mylena Justino da Silva Brito</v>
      </c>
      <c r="E319" s="35" t="s">
        <v>42</v>
      </c>
      <c r="F319" s="36">
        <v>46155</v>
      </c>
      <c r="G319" s="35" t="s">
        <v>1766</v>
      </c>
    </row>
    <row r="320" spans="1:7">
      <c r="A320" s="35" t="s">
        <v>1768</v>
      </c>
      <c r="B320" s="38" t="s">
        <v>1583</v>
      </c>
      <c r="C320" s="35" t="s">
        <v>1761</v>
      </c>
      <c r="D320" s="35" t="str">
        <f>_xlfn.XLOOKUP(E320,Organograma!G:G,Organograma!H:H,"")</f>
        <v>Samilly dos Santos Gurgel</v>
      </c>
      <c r="E320" s="35" t="s">
        <v>34</v>
      </c>
      <c r="F320" s="36">
        <v>46155</v>
      </c>
      <c r="G320" s="35" t="s">
        <v>1766</v>
      </c>
    </row>
    <row r="321" spans="1:7">
      <c r="A321" s="35" t="s">
        <v>1768</v>
      </c>
      <c r="B321" s="38" t="s">
        <v>1522</v>
      </c>
      <c r="C321" s="35" t="s">
        <v>1761</v>
      </c>
      <c r="D321" s="35" t="str">
        <f>_xlfn.XLOOKUP(E321,Organograma!G:G,Organograma!H:H,"")</f>
        <v>Samilly dos Santos Gurgel</v>
      </c>
      <c r="E321" s="35" t="s">
        <v>34</v>
      </c>
      <c r="F321" s="36">
        <v>46155</v>
      </c>
      <c r="G321" s="35" t="s">
        <v>1766</v>
      </c>
    </row>
    <row r="322" spans="1:7">
      <c r="A322" s="35" t="s">
        <v>1768</v>
      </c>
      <c r="B322" s="38" t="s">
        <v>1584</v>
      </c>
      <c r="C322" s="35" t="s">
        <v>1761</v>
      </c>
      <c r="D322" s="35" t="str">
        <f>_xlfn.XLOOKUP(E322,Organograma!G:G,Organograma!H:H,"")</f>
        <v>Mylena Justino da Silva Brito</v>
      </c>
      <c r="E322" s="35" t="s">
        <v>42</v>
      </c>
      <c r="F322" s="36">
        <v>46155</v>
      </c>
      <c r="G322" s="35" t="s">
        <v>1766</v>
      </c>
    </row>
    <row r="323" spans="1:7">
      <c r="A323" s="35" t="s">
        <v>1768</v>
      </c>
      <c r="B323" s="38" t="s">
        <v>1473</v>
      </c>
      <c r="C323" s="35" t="s">
        <v>1761</v>
      </c>
      <c r="D323" s="35" t="str">
        <f>_xlfn.XLOOKUP(E323,Organograma!G:G,Organograma!H:H,"")</f>
        <v>Gustavo Cintra Silva</v>
      </c>
      <c r="E323" s="35" t="s">
        <v>24</v>
      </c>
      <c r="F323" s="36">
        <v>46155</v>
      </c>
      <c r="G323" s="35" t="s">
        <v>1766</v>
      </c>
    </row>
    <row r="324" spans="1:7">
      <c r="A324" s="35" t="s">
        <v>1768</v>
      </c>
      <c r="B324" s="38" t="s">
        <v>1481</v>
      </c>
      <c r="C324" s="35" t="s">
        <v>1761</v>
      </c>
      <c r="D324" s="35" t="str">
        <f>_xlfn.XLOOKUP(E324,Organograma!G:G,Organograma!H:H,"")</f>
        <v>Gleyce Kelly Damaceno Barros Cavalcante</v>
      </c>
      <c r="E324" s="35" t="s">
        <v>31</v>
      </c>
      <c r="F324" s="36">
        <v>46155</v>
      </c>
      <c r="G324" s="35" t="s">
        <v>1766</v>
      </c>
    </row>
    <row r="325" spans="1:7">
      <c r="A325" s="35" t="s">
        <v>1149</v>
      </c>
      <c r="B325" s="38" t="s">
        <v>1471</v>
      </c>
      <c r="C325" s="35" t="s">
        <v>1422</v>
      </c>
      <c r="D325" s="35" t="str">
        <f>_xlfn.XLOOKUP(E325,Organograma!G:G,Organograma!H:H,"")</f>
        <v>Janaina Bernardes Ayer</v>
      </c>
      <c r="E325" s="35" t="s">
        <v>75</v>
      </c>
      <c r="F325" s="36">
        <v>46155</v>
      </c>
      <c r="G325" s="35" t="s">
        <v>1766</v>
      </c>
    </row>
    <row r="326" spans="1:7">
      <c r="A326" s="35" t="s">
        <v>1768</v>
      </c>
      <c r="B326" s="38" t="s">
        <v>1585</v>
      </c>
      <c r="C326" s="35" t="s">
        <v>1761</v>
      </c>
      <c r="D326" s="35" t="str">
        <f>_xlfn.XLOOKUP(E326,Organograma!G:G,Organograma!H:H,"")</f>
        <v>Janaina Bernardes Ayer</v>
      </c>
      <c r="E326" s="35" t="s">
        <v>75</v>
      </c>
      <c r="F326" s="36">
        <v>46155</v>
      </c>
      <c r="G326" s="35" t="s">
        <v>1766</v>
      </c>
    </row>
    <row r="327" spans="1:7">
      <c r="A327" s="35" t="s">
        <v>1768</v>
      </c>
      <c r="B327" s="38" t="s">
        <v>1514</v>
      </c>
      <c r="C327" s="35" t="s">
        <v>1761</v>
      </c>
      <c r="D327" s="35" t="str">
        <f>_xlfn.XLOOKUP(E327,Organograma!G:G,Organograma!H:H,"")</f>
        <v>Olivia Alves dos Santos</v>
      </c>
      <c r="E327" s="35" t="s">
        <v>95</v>
      </c>
      <c r="F327" s="36">
        <v>46155</v>
      </c>
      <c r="G327" s="35" t="s">
        <v>1766</v>
      </c>
    </row>
    <row r="328" spans="1:7">
      <c r="A328" s="35" t="s">
        <v>1768</v>
      </c>
      <c r="B328" s="38" t="s">
        <v>1566</v>
      </c>
      <c r="C328" s="35" t="s">
        <v>1761</v>
      </c>
      <c r="D328" s="35" t="str">
        <f>_xlfn.XLOOKUP(E328,Organograma!G:G,Organograma!H:H,"")</f>
        <v>Rafaela Braga Simões</v>
      </c>
      <c r="E328" s="35" t="s">
        <v>1142</v>
      </c>
      <c r="F328" s="36">
        <v>46155</v>
      </c>
      <c r="G328" s="35" t="s">
        <v>1766</v>
      </c>
    </row>
    <row r="329" spans="1:7">
      <c r="A329" s="35" t="s">
        <v>1768</v>
      </c>
      <c r="B329" s="38" t="s">
        <v>1587</v>
      </c>
      <c r="C329" s="35" t="s">
        <v>1761</v>
      </c>
      <c r="D329" s="35" t="str">
        <f>_xlfn.XLOOKUP(E329,Organograma!G:G,Organograma!H:H,"")</f>
        <v>Samilly dos Santos Gurgel</v>
      </c>
      <c r="E329" s="35" t="s">
        <v>34</v>
      </c>
      <c r="F329" s="36">
        <v>46155</v>
      </c>
      <c r="G329" s="35" t="s">
        <v>1766</v>
      </c>
    </row>
    <row r="330" spans="1:7">
      <c r="A330" s="35" t="s">
        <v>1768</v>
      </c>
      <c r="B330" s="38" t="s">
        <v>1568</v>
      </c>
      <c r="C330" s="35" t="s">
        <v>1761</v>
      </c>
      <c r="D330" s="35" t="str">
        <f>_xlfn.XLOOKUP(E330,Organograma!G:G,Organograma!H:H,"")</f>
        <v>Mariana Lopes de Almeida</v>
      </c>
      <c r="E330" s="35" t="s">
        <v>87</v>
      </c>
      <c r="F330" s="36">
        <v>46155</v>
      </c>
      <c r="G330" s="35" t="s">
        <v>1766</v>
      </c>
    </row>
    <row r="331" spans="1:7">
      <c r="A331" s="35" t="s">
        <v>1768</v>
      </c>
      <c r="B331" s="38" t="s">
        <v>1589</v>
      </c>
      <c r="C331" s="35" t="s">
        <v>1761</v>
      </c>
      <c r="D331" s="35" t="str">
        <f>_xlfn.XLOOKUP(E331,Organograma!G:G,Organograma!H:H,"")</f>
        <v>Gustavo Cintra Silva</v>
      </c>
      <c r="E331" s="35" t="s">
        <v>125</v>
      </c>
      <c r="F331" s="36">
        <v>46155</v>
      </c>
      <c r="G331" s="35" t="s">
        <v>1766</v>
      </c>
    </row>
    <row r="332" spans="1:7">
      <c r="A332" s="35" t="s">
        <v>1768</v>
      </c>
      <c r="B332" s="38" t="s">
        <v>1515</v>
      </c>
      <c r="C332" s="35" t="s">
        <v>1761</v>
      </c>
      <c r="D332" s="35" t="str">
        <f>_xlfn.XLOOKUP(E332,Organograma!G:G,Organograma!H:H,"")</f>
        <v>Olivia Alves dos Santos</v>
      </c>
      <c r="E332" s="35" t="s">
        <v>95</v>
      </c>
      <c r="F332" s="36">
        <v>46155</v>
      </c>
      <c r="G332" s="35" t="s">
        <v>1766</v>
      </c>
    </row>
    <row r="333" spans="1:7">
      <c r="A333" s="35" t="s">
        <v>1768</v>
      </c>
      <c r="B333" s="38" t="s">
        <v>1590</v>
      </c>
      <c r="C333" s="35" t="s">
        <v>1761</v>
      </c>
      <c r="D333" s="35" t="str">
        <f>_xlfn.XLOOKUP(E333,Organograma!G:G,Organograma!H:H,"")</f>
        <v>Mylena Justino da Silva Brito</v>
      </c>
      <c r="E333" s="35" t="s">
        <v>42</v>
      </c>
      <c r="F333" s="36">
        <v>46155</v>
      </c>
      <c r="G333" s="35" t="s">
        <v>1766</v>
      </c>
    </row>
    <row r="334" spans="1:7">
      <c r="A334" s="35" t="s">
        <v>1768</v>
      </c>
      <c r="B334" s="38" t="s">
        <v>1500</v>
      </c>
      <c r="C334" s="35" t="s">
        <v>1761</v>
      </c>
      <c r="D334" s="35" t="str">
        <f>_xlfn.XLOOKUP(E334,Organograma!G:G,Organograma!H:H,"")</f>
        <v>Aliny Lopes Coelho</v>
      </c>
      <c r="E334" s="35" t="s">
        <v>54</v>
      </c>
      <c r="F334" s="36">
        <v>46155</v>
      </c>
      <c r="G334" s="35" t="s">
        <v>1766</v>
      </c>
    </row>
    <row r="335" spans="1:7">
      <c r="A335" s="35" t="s">
        <v>1768</v>
      </c>
      <c r="B335" s="38" t="s">
        <v>1591</v>
      </c>
      <c r="C335" s="35" t="s">
        <v>1761</v>
      </c>
      <c r="D335" s="35" t="str">
        <f>_xlfn.XLOOKUP(E335,Organograma!G:G,Organograma!H:H,"")</f>
        <v>Mylena Justino da Silva Brito</v>
      </c>
      <c r="E335" s="35" t="s">
        <v>42</v>
      </c>
      <c r="F335" s="36">
        <v>46155</v>
      </c>
      <c r="G335" s="35" t="s">
        <v>1766</v>
      </c>
    </row>
    <row r="336" spans="1:7">
      <c r="A336" s="35" t="s">
        <v>1768</v>
      </c>
      <c r="B336" s="38" t="s">
        <v>1504</v>
      </c>
      <c r="C336" s="35" t="s">
        <v>1761</v>
      </c>
      <c r="D336" s="35" t="str">
        <f>_xlfn.XLOOKUP(E336,Organograma!G:G,Organograma!H:H,"")</f>
        <v>Lorena do Nascimento Barreto</v>
      </c>
      <c r="E336" s="35" t="s">
        <v>80</v>
      </c>
      <c r="F336" s="36">
        <v>46155</v>
      </c>
      <c r="G336" s="35" t="s">
        <v>1766</v>
      </c>
    </row>
    <row r="337" spans="1:7">
      <c r="A337" s="35" t="s">
        <v>1768</v>
      </c>
      <c r="B337" s="38" t="s">
        <v>1540</v>
      </c>
      <c r="C337" s="35" t="s">
        <v>1761</v>
      </c>
      <c r="D337" s="35" t="str">
        <f>_xlfn.XLOOKUP(E337,Organograma!G:G,Organograma!H:H,"")</f>
        <v>Mylena Justino da Silva Brito</v>
      </c>
      <c r="E337" s="35" t="s">
        <v>42</v>
      </c>
      <c r="F337" s="36">
        <v>46155</v>
      </c>
      <c r="G337" s="35" t="s">
        <v>1766</v>
      </c>
    </row>
    <row r="338" spans="1:7">
      <c r="A338" s="35" t="s">
        <v>1768</v>
      </c>
      <c r="B338" s="38" t="s">
        <v>1592</v>
      </c>
      <c r="C338" s="35" t="s">
        <v>1761</v>
      </c>
      <c r="D338" s="35" t="str">
        <f>_xlfn.XLOOKUP(E338,Organograma!G:G,Organograma!H:H,"")</f>
        <v>Mylena Justino da Silva Brito</v>
      </c>
      <c r="E338" s="35" t="s">
        <v>42</v>
      </c>
      <c r="F338" s="36">
        <v>46155</v>
      </c>
      <c r="G338" s="35" t="s">
        <v>1766</v>
      </c>
    </row>
    <row r="339" spans="1:7">
      <c r="A339" s="35" t="s">
        <v>1768</v>
      </c>
      <c r="B339" s="38" t="s">
        <v>1593</v>
      </c>
      <c r="C339" s="35" t="s">
        <v>1761</v>
      </c>
      <c r="D339" s="35" t="str">
        <f>_xlfn.XLOOKUP(E339,Organograma!G:G,Organograma!H:H,"")</f>
        <v>Mylena Justino da Silva Brito</v>
      </c>
      <c r="E339" s="35" t="s">
        <v>42</v>
      </c>
      <c r="F339" s="36">
        <v>46155</v>
      </c>
      <c r="G339" s="35" t="s">
        <v>1766</v>
      </c>
    </row>
    <row r="340" spans="1:7">
      <c r="A340" s="35" t="s">
        <v>1768</v>
      </c>
      <c r="B340" s="38" t="s">
        <v>1532</v>
      </c>
      <c r="C340" s="35" t="s">
        <v>1761</v>
      </c>
      <c r="D340" s="35" t="str">
        <f>_xlfn.XLOOKUP(E340,Organograma!G:G,Organograma!H:H,"")</f>
        <v>Aliny Lopes Coelho</v>
      </c>
      <c r="E340" s="35" t="s">
        <v>1078</v>
      </c>
      <c r="F340" s="36">
        <v>46155</v>
      </c>
      <c r="G340" s="35" t="s">
        <v>1766</v>
      </c>
    </row>
    <row r="341" spans="1:7">
      <c r="A341" s="35" t="s">
        <v>1768</v>
      </c>
      <c r="B341" s="38" t="s">
        <v>1594</v>
      </c>
      <c r="C341" s="35" t="s">
        <v>1761</v>
      </c>
      <c r="D341" s="35" t="str">
        <f>_xlfn.XLOOKUP(E341,Organograma!G:G,Organograma!H:H,"")</f>
        <v>Mylena Justino da Silva Brito</v>
      </c>
      <c r="E341" s="35" t="s">
        <v>42</v>
      </c>
      <c r="F341" s="36">
        <v>46155</v>
      </c>
      <c r="G341" s="35" t="s">
        <v>1766</v>
      </c>
    </row>
    <row r="342" spans="1:7">
      <c r="A342" s="35" t="s">
        <v>1768</v>
      </c>
      <c r="B342" s="38" t="s">
        <v>1595</v>
      </c>
      <c r="C342" s="35" t="s">
        <v>1761</v>
      </c>
      <c r="D342" s="35" t="str">
        <f>_xlfn.XLOOKUP(E342,Organograma!G:G,Organograma!H:H,"")</f>
        <v>Mylena Justino da Silva Brito</v>
      </c>
      <c r="E342" s="35" t="s">
        <v>42</v>
      </c>
      <c r="F342" s="36">
        <v>46155</v>
      </c>
      <c r="G342" s="35" t="s">
        <v>1766</v>
      </c>
    </row>
    <row r="343" spans="1:7">
      <c r="A343" s="35" t="s">
        <v>1768</v>
      </c>
      <c r="B343" s="38" t="s">
        <v>1596</v>
      </c>
      <c r="C343" s="35" t="s">
        <v>1761</v>
      </c>
      <c r="D343" s="35" t="str">
        <f>_xlfn.XLOOKUP(E343,Organograma!G:G,Organograma!H:H,"")</f>
        <v>Camila Amanda Cardoso dos Santos</v>
      </c>
      <c r="E343" s="35" t="s">
        <v>58</v>
      </c>
      <c r="F343" s="36">
        <v>46155</v>
      </c>
      <c r="G343" s="35" t="s">
        <v>1766</v>
      </c>
    </row>
    <row r="344" spans="1:7">
      <c r="A344" s="35" t="s">
        <v>1768</v>
      </c>
      <c r="B344" s="38" t="s">
        <v>1597</v>
      </c>
      <c r="C344" s="35" t="s">
        <v>1761</v>
      </c>
      <c r="D344" s="35" t="str">
        <f>_xlfn.XLOOKUP(E344,Organograma!G:G,Organograma!H:H,"")</f>
        <v>Mylena Justino da Silva Brito</v>
      </c>
      <c r="E344" s="35" t="s">
        <v>42</v>
      </c>
      <c r="F344" s="36">
        <v>46155</v>
      </c>
      <c r="G344" s="35" t="s">
        <v>1766</v>
      </c>
    </row>
    <row r="345" spans="1:7">
      <c r="A345" s="35" t="s">
        <v>1768</v>
      </c>
      <c r="B345" s="38" t="s">
        <v>1598</v>
      </c>
      <c r="C345" s="35" t="s">
        <v>1761</v>
      </c>
      <c r="D345" s="35" t="str">
        <f>_xlfn.XLOOKUP(E345,Organograma!G:G,Organograma!H:H,"")</f>
        <v>Mylena Justino da Silva Brito</v>
      </c>
      <c r="E345" s="35" t="s">
        <v>42</v>
      </c>
      <c r="F345" s="36">
        <v>46155</v>
      </c>
      <c r="G345" s="35" t="s">
        <v>1766</v>
      </c>
    </row>
    <row r="346" spans="1:7">
      <c r="A346" s="35" t="s">
        <v>1768</v>
      </c>
      <c r="B346" s="38" t="s">
        <v>1599</v>
      </c>
      <c r="C346" s="35" t="s">
        <v>1761</v>
      </c>
      <c r="D346" s="35" t="str">
        <f>_xlfn.XLOOKUP(E346,Organograma!G:G,Organograma!H:H,"")</f>
        <v>Mylena Justino da Silva Brito</v>
      </c>
      <c r="E346" s="35" t="s">
        <v>42</v>
      </c>
      <c r="F346" s="36">
        <v>46155</v>
      </c>
      <c r="G346" s="35" t="s">
        <v>1766</v>
      </c>
    </row>
    <row r="347" spans="1:7">
      <c r="A347" s="35" t="s">
        <v>1768</v>
      </c>
      <c r="B347" s="38" t="s">
        <v>1466</v>
      </c>
      <c r="C347" s="35" t="s">
        <v>1761</v>
      </c>
      <c r="D347" s="35" t="str">
        <f>_xlfn.XLOOKUP(E347,Organograma!G:G,Organograma!H:H,"")</f>
        <v>Gleyce Kelly Damaceno Barros Cavalcante</v>
      </c>
      <c r="E347" s="35" t="s">
        <v>106</v>
      </c>
      <c r="F347" s="36">
        <v>46155</v>
      </c>
      <c r="G347" s="35" t="s">
        <v>1766</v>
      </c>
    </row>
    <row r="348" spans="1:7">
      <c r="A348" s="35" t="s">
        <v>1768</v>
      </c>
      <c r="B348" s="38" t="s">
        <v>1537</v>
      </c>
      <c r="C348" s="35" t="s">
        <v>1761</v>
      </c>
      <c r="D348" s="35" t="str">
        <f>_xlfn.XLOOKUP(E348,Organograma!G:G,Organograma!H:H,"")</f>
        <v>Aliny Lopes Coelho</v>
      </c>
      <c r="E348" s="35" t="s">
        <v>1078</v>
      </c>
      <c r="F348" s="36">
        <v>46155</v>
      </c>
      <c r="G348" s="35" t="s">
        <v>1766</v>
      </c>
    </row>
    <row r="349" spans="1:7">
      <c r="A349" s="35" t="s">
        <v>1768</v>
      </c>
      <c r="B349" s="38" t="s">
        <v>1601</v>
      </c>
      <c r="C349" s="35" t="s">
        <v>1761</v>
      </c>
      <c r="D349" s="35" t="str">
        <f>_xlfn.XLOOKUP(E349,Organograma!G:G,Organograma!H:H,"")</f>
        <v>Alfredo Gomes Barbosa</v>
      </c>
      <c r="E349" s="35" t="s">
        <v>52</v>
      </c>
      <c r="F349" s="36">
        <v>46155</v>
      </c>
      <c r="G349" s="35" t="s">
        <v>1766</v>
      </c>
    </row>
    <row r="350" spans="1:7">
      <c r="A350" s="35" t="s">
        <v>1768</v>
      </c>
      <c r="B350" s="38" t="s">
        <v>1509</v>
      </c>
      <c r="C350" s="35" t="s">
        <v>1761</v>
      </c>
      <c r="D350" s="35" t="str">
        <f>_xlfn.XLOOKUP(E350,Organograma!G:G,Organograma!H:H,"")</f>
        <v>Larissa Talita da Silva</v>
      </c>
      <c r="E350" s="35" t="s">
        <v>196</v>
      </c>
      <c r="F350" s="36">
        <v>46155</v>
      </c>
      <c r="G350" s="35" t="s">
        <v>1766</v>
      </c>
    </row>
    <row r="351" spans="1:7">
      <c r="A351" s="35" t="s">
        <v>1768</v>
      </c>
      <c r="B351" s="38" t="s">
        <v>1602</v>
      </c>
      <c r="C351" s="35" t="s">
        <v>1761</v>
      </c>
      <c r="D351" s="35" t="str">
        <f>_xlfn.XLOOKUP(E351,Organograma!G:G,Organograma!H:H,"")</f>
        <v>Mylena Justino da Silva Brito</v>
      </c>
      <c r="E351" s="35" t="s">
        <v>42</v>
      </c>
      <c r="F351" s="36">
        <v>46155</v>
      </c>
      <c r="G351" s="35" t="s">
        <v>1766</v>
      </c>
    </row>
    <row r="352" spans="1:7">
      <c r="A352" s="35" t="s">
        <v>1768</v>
      </c>
      <c r="B352" s="38" t="s">
        <v>1486</v>
      </c>
      <c r="C352" s="35" t="s">
        <v>1761</v>
      </c>
      <c r="D352" s="35" t="str">
        <f>_xlfn.XLOOKUP(E352,Organograma!G:G,Organograma!H:H,"")</f>
        <v>Janaina Bernardes Ayer</v>
      </c>
      <c r="E352" s="35" t="s">
        <v>77</v>
      </c>
      <c r="F352" s="36">
        <v>46155</v>
      </c>
      <c r="G352" s="35" t="s">
        <v>1766</v>
      </c>
    </row>
    <row r="353" spans="1:7">
      <c r="A353" s="35" t="s">
        <v>1768</v>
      </c>
      <c r="B353" s="38" t="s">
        <v>1539</v>
      </c>
      <c r="C353" s="35" t="s">
        <v>1761</v>
      </c>
      <c r="D353" s="35" t="str">
        <f>_xlfn.XLOOKUP(E353,Organograma!G:G,Organograma!H:H,"")</f>
        <v>Lorena do Nascimento Barreto</v>
      </c>
      <c r="E353" s="35" t="s">
        <v>80</v>
      </c>
      <c r="F353" s="36">
        <v>46155</v>
      </c>
      <c r="G353" s="35" t="s">
        <v>1766</v>
      </c>
    </row>
    <row r="354" spans="1:7">
      <c r="A354" s="35" t="s">
        <v>1768</v>
      </c>
      <c r="B354" s="38" t="s">
        <v>1543</v>
      </c>
      <c r="C354" s="35" t="s">
        <v>1761</v>
      </c>
      <c r="D354" s="35" t="str">
        <f>_xlfn.XLOOKUP(E354,Organograma!G:G,Organograma!H:H,"")</f>
        <v>Camila Amanda Cardoso dos Santos</v>
      </c>
      <c r="E354" s="35" t="s">
        <v>60</v>
      </c>
      <c r="F354" s="36">
        <v>46155</v>
      </c>
      <c r="G354" s="35" t="s">
        <v>1766</v>
      </c>
    </row>
    <row r="355" spans="1:7">
      <c r="A355" s="35" t="s">
        <v>1768</v>
      </c>
      <c r="B355" s="38" t="s">
        <v>1541</v>
      </c>
      <c r="C355" s="35" t="s">
        <v>1761</v>
      </c>
      <c r="D355" s="35" t="str">
        <f>_xlfn.XLOOKUP(E355,Organograma!G:G,Organograma!H:H,"")</f>
        <v>Larissa Talita da Silva</v>
      </c>
      <c r="E355" s="35" t="s">
        <v>195</v>
      </c>
      <c r="F355" s="36">
        <v>46155</v>
      </c>
      <c r="G355" s="35" t="s">
        <v>1766</v>
      </c>
    </row>
    <row r="356" spans="1:7">
      <c r="A356" s="35" t="s">
        <v>1768</v>
      </c>
      <c r="B356" s="38" t="s">
        <v>205</v>
      </c>
      <c r="C356" s="35" t="s">
        <v>1761</v>
      </c>
      <c r="D356" s="35" t="str">
        <f>_xlfn.XLOOKUP(E356,Organograma!G:G,Organograma!H:H,"")</f>
        <v>Antonio Carlos Martins de Sousa Junior</v>
      </c>
      <c r="E356" s="35" t="s">
        <v>108</v>
      </c>
      <c r="F356" s="36">
        <v>46155</v>
      </c>
      <c r="G356" s="35" t="s">
        <v>1766</v>
      </c>
    </row>
    <row r="357" spans="1:7">
      <c r="A357" s="35" t="s">
        <v>1768</v>
      </c>
      <c r="B357" s="38" t="s">
        <v>1603</v>
      </c>
      <c r="C357" s="35" t="s">
        <v>1761</v>
      </c>
      <c r="D357" s="35" t="str">
        <f>_xlfn.XLOOKUP(E357,Organograma!G:G,Organograma!H:H,"")</f>
        <v>Mylena Justino da Silva Brito</v>
      </c>
      <c r="E357" s="35" t="s">
        <v>42</v>
      </c>
      <c r="F357" s="36">
        <v>46155</v>
      </c>
      <c r="G357" s="35" t="s">
        <v>1766</v>
      </c>
    </row>
    <row r="358" spans="1:7">
      <c r="A358" s="35" t="s">
        <v>1768</v>
      </c>
      <c r="B358" s="38" t="s">
        <v>1604</v>
      </c>
      <c r="C358" s="35" t="s">
        <v>1761</v>
      </c>
      <c r="D358" s="35" t="str">
        <f>_xlfn.XLOOKUP(E358,Organograma!G:G,Organograma!H:H,"")</f>
        <v>Mylena Justino da Silva Brito</v>
      </c>
      <c r="E358" s="35" t="s">
        <v>42</v>
      </c>
      <c r="F358" s="36">
        <v>46155</v>
      </c>
      <c r="G358" s="35" t="s">
        <v>1766</v>
      </c>
    </row>
    <row r="359" spans="1:7">
      <c r="A359" s="35" t="s">
        <v>1768</v>
      </c>
      <c r="B359" s="38" t="s">
        <v>1605</v>
      </c>
      <c r="C359" s="35" t="s">
        <v>1761</v>
      </c>
      <c r="D359" s="35" t="str">
        <f>_xlfn.XLOOKUP(E359,Organograma!G:G,Organograma!H:H,"")</f>
        <v>Mylena Justino da Silva Brito</v>
      </c>
      <c r="E359" s="35" t="s">
        <v>42</v>
      </c>
      <c r="F359" s="36">
        <v>46155</v>
      </c>
      <c r="G359" s="35" t="s">
        <v>1766</v>
      </c>
    </row>
    <row r="360" spans="1:7">
      <c r="A360" s="35" t="s">
        <v>1768</v>
      </c>
      <c r="B360" s="38" t="s">
        <v>1606</v>
      </c>
      <c r="C360" s="35" t="s">
        <v>1761</v>
      </c>
      <c r="D360" s="35" t="str">
        <f>_xlfn.XLOOKUP(E360,Organograma!G:G,Organograma!H:H,"")</f>
        <v>Mylena Justino da Silva Brito</v>
      </c>
      <c r="E360" s="35" t="s">
        <v>42</v>
      </c>
      <c r="F360" s="36">
        <v>46155</v>
      </c>
      <c r="G360" s="35" t="s">
        <v>1766</v>
      </c>
    </row>
    <row r="361" spans="1:7">
      <c r="A361" s="35" t="s">
        <v>1768</v>
      </c>
      <c r="B361" s="38" t="s">
        <v>1607</v>
      </c>
      <c r="C361" s="35" t="s">
        <v>1761</v>
      </c>
      <c r="D361" s="35" t="str">
        <f>_xlfn.XLOOKUP(E361,Organograma!G:G,Organograma!H:H,"")</f>
        <v>Mylena Justino da Silva Brito</v>
      </c>
      <c r="E361" s="35" t="s">
        <v>42</v>
      </c>
      <c r="F361" s="36">
        <v>46155</v>
      </c>
      <c r="G361" s="35" t="s">
        <v>1766</v>
      </c>
    </row>
    <row r="362" spans="1:7">
      <c r="A362" s="35" t="s">
        <v>1768</v>
      </c>
      <c r="B362" s="38" t="s">
        <v>1608</v>
      </c>
      <c r="C362" s="35" t="s">
        <v>1761</v>
      </c>
      <c r="D362" s="35" t="str">
        <f>_xlfn.XLOOKUP(E362,Organograma!G:G,Organograma!H:H,"")</f>
        <v>Mylena Justino da Silva Brito</v>
      </c>
      <c r="E362" s="35" t="s">
        <v>42</v>
      </c>
      <c r="F362" s="36">
        <v>46155</v>
      </c>
      <c r="G362" s="35" t="s">
        <v>1766</v>
      </c>
    </row>
    <row r="363" spans="1:7">
      <c r="A363" s="35" t="s">
        <v>1768</v>
      </c>
      <c r="B363" s="38" t="s">
        <v>1609</v>
      </c>
      <c r="C363" s="35" t="s">
        <v>1761</v>
      </c>
      <c r="D363" s="35" t="str">
        <f>_xlfn.XLOOKUP(E363,Organograma!G:G,Organograma!H:H,"")</f>
        <v>Mylena Justino da Silva Brito</v>
      </c>
      <c r="E363" s="35" t="s">
        <v>42</v>
      </c>
      <c r="F363" s="36">
        <v>46155</v>
      </c>
      <c r="G363" s="35" t="s">
        <v>1766</v>
      </c>
    </row>
    <row r="364" spans="1:7">
      <c r="A364" s="35" t="s">
        <v>1768</v>
      </c>
      <c r="B364" s="38" t="s">
        <v>1610</v>
      </c>
      <c r="C364" s="35" t="s">
        <v>1761</v>
      </c>
      <c r="D364" s="35" t="str">
        <f>_xlfn.XLOOKUP(E364,Organograma!G:G,Organograma!H:H,"")</f>
        <v>Mylena Justino da Silva Brito</v>
      </c>
      <c r="E364" s="35" t="s">
        <v>42</v>
      </c>
      <c r="F364" s="36">
        <v>46155</v>
      </c>
      <c r="G364" s="35" t="s">
        <v>1766</v>
      </c>
    </row>
    <row r="365" spans="1:7">
      <c r="A365" s="35" t="s">
        <v>1768</v>
      </c>
      <c r="B365" s="38" t="s">
        <v>1611</v>
      </c>
      <c r="C365" s="35" t="s">
        <v>1761</v>
      </c>
      <c r="D365" s="35" t="str">
        <f>_xlfn.XLOOKUP(E365,Organograma!G:G,Organograma!H:H,"")</f>
        <v>Mylena Justino da Silva Brito</v>
      </c>
      <c r="E365" s="35" t="s">
        <v>42</v>
      </c>
      <c r="F365" s="36">
        <v>46155</v>
      </c>
      <c r="G365" s="35" t="s">
        <v>1766</v>
      </c>
    </row>
    <row r="366" spans="1:7">
      <c r="A366" s="35" t="s">
        <v>1768</v>
      </c>
      <c r="B366" s="38" t="s">
        <v>1612</v>
      </c>
      <c r="C366" s="35" t="s">
        <v>1761</v>
      </c>
      <c r="D366" s="35" t="str">
        <f>_xlfn.XLOOKUP(E366,Organograma!G:G,Organograma!H:H,"")</f>
        <v>Mylena Justino da Silva Brito</v>
      </c>
      <c r="E366" s="35" t="s">
        <v>42</v>
      </c>
      <c r="F366" s="36">
        <v>46155</v>
      </c>
      <c r="G366" s="35" t="s">
        <v>1766</v>
      </c>
    </row>
    <row r="367" spans="1:7">
      <c r="A367" s="35" t="s">
        <v>1768</v>
      </c>
      <c r="B367" s="38" t="s">
        <v>1613</v>
      </c>
      <c r="C367" s="35" t="s">
        <v>1761</v>
      </c>
      <c r="D367" s="35" t="str">
        <f>_xlfn.XLOOKUP(E367,Organograma!G:G,Organograma!H:H,"")</f>
        <v>Mylena Justino da Silva Brito</v>
      </c>
      <c r="E367" s="35" t="s">
        <v>42</v>
      </c>
      <c r="F367" s="36">
        <v>46155</v>
      </c>
      <c r="G367" s="35" t="s">
        <v>1766</v>
      </c>
    </row>
    <row r="368" spans="1:7">
      <c r="A368" s="35" t="s">
        <v>1768</v>
      </c>
      <c r="B368" s="38" t="s">
        <v>1614</v>
      </c>
      <c r="C368" s="35" t="s">
        <v>1761</v>
      </c>
      <c r="D368" s="35" t="str">
        <f>_xlfn.XLOOKUP(E368,Organograma!G:G,Organograma!H:H,"")</f>
        <v>Mylena Justino da Silva Brito</v>
      </c>
      <c r="E368" s="35" t="s">
        <v>42</v>
      </c>
      <c r="F368" s="36">
        <v>46155</v>
      </c>
      <c r="G368" s="35" t="s">
        <v>1766</v>
      </c>
    </row>
    <row r="369" spans="1:7">
      <c r="A369" s="35" t="s">
        <v>1768</v>
      </c>
      <c r="B369" s="38" t="s">
        <v>1615</v>
      </c>
      <c r="C369" s="35" t="s">
        <v>1761</v>
      </c>
      <c r="D369" s="35" t="str">
        <f>_xlfn.XLOOKUP(E369,Organograma!G:G,Organograma!H:H,"")</f>
        <v>Mylena Justino da Silva Brito</v>
      </c>
      <c r="E369" s="35" t="s">
        <v>42</v>
      </c>
      <c r="F369" s="36">
        <v>46155</v>
      </c>
      <c r="G369" s="35" t="s">
        <v>1766</v>
      </c>
    </row>
    <row r="370" spans="1:7">
      <c r="A370" s="35" t="s">
        <v>1768</v>
      </c>
      <c r="B370" s="38" t="s">
        <v>1616</v>
      </c>
      <c r="C370" s="35" t="s">
        <v>1761</v>
      </c>
      <c r="D370" s="35" t="str">
        <f>_xlfn.XLOOKUP(E370,Organograma!G:G,Organograma!H:H,"")</f>
        <v>Mylena Justino da Silva Brito</v>
      </c>
      <c r="E370" s="35" t="s">
        <v>42</v>
      </c>
      <c r="F370" s="36">
        <v>46155</v>
      </c>
      <c r="G370" s="35" t="s">
        <v>1766</v>
      </c>
    </row>
    <row r="371" spans="1:7">
      <c r="A371" s="35" t="s">
        <v>1768</v>
      </c>
      <c r="B371" s="38" t="s">
        <v>1617</v>
      </c>
      <c r="C371" s="35" t="s">
        <v>1761</v>
      </c>
      <c r="D371" s="35" t="str">
        <f>_xlfn.XLOOKUP(E371,Organograma!G:G,Organograma!H:H,"")</f>
        <v>Mylena Justino da Silva Brito</v>
      </c>
      <c r="E371" s="35" t="s">
        <v>42</v>
      </c>
      <c r="F371" s="36">
        <v>46155</v>
      </c>
      <c r="G371" s="35" t="s">
        <v>1766</v>
      </c>
    </row>
    <row r="372" spans="1:7">
      <c r="A372" s="35" t="s">
        <v>1768</v>
      </c>
      <c r="B372" s="38" t="s">
        <v>1618</v>
      </c>
      <c r="C372" s="35" t="s">
        <v>1761</v>
      </c>
      <c r="D372" s="35" t="str">
        <f>_xlfn.XLOOKUP(E372,Organograma!G:G,Organograma!H:H,"")</f>
        <v>Mylena Justino da Silva Brito</v>
      </c>
      <c r="E372" s="35" t="s">
        <v>42</v>
      </c>
      <c r="F372" s="36">
        <v>46155</v>
      </c>
      <c r="G372" s="35" t="s">
        <v>1766</v>
      </c>
    </row>
    <row r="373" spans="1:7">
      <c r="A373" s="35" t="s">
        <v>1768</v>
      </c>
      <c r="B373" s="38" t="s">
        <v>1619</v>
      </c>
      <c r="C373" s="35" t="s">
        <v>1761</v>
      </c>
      <c r="D373" s="35" t="str">
        <f>_xlfn.XLOOKUP(E373,Organograma!G:G,Organograma!H:H,"")</f>
        <v>Mylena Justino da Silva Brito</v>
      </c>
      <c r="E373" s="35" t="s">
        <v>42</v>
      </c>
      <c r="F373" s="36">
        <v>46155</v>
      </c>
      <c r="G373" s="35" t="s">
        <v>1766</v>
      </c>
    </row>
    <row r="374" spans="1:7">
      <c r="A374" s="35" t="s">
        <v>1768</v>
      </c>
      <c r="B374" s="38" t="s">
        <v>1620</v>
      </c>
      <c r="C374" s="35" t="s">
        <v>1761</v>
      </c>
      <c r="D374" s="35" t="str">
        <f>_xlfn.XLOOKUP(E374,Organograma!G:G,Organograma!H:H,"")</f>
        <v>Mylena Justino da Silva Brito</v>
      </c>
      <c r="E374" s="35" t="s">
        <v>42</v>
      </c>
      <c r="F374" s="36">
        <v>46155</v>
      </c>
      <c r="G374" s="35" t="s">
        <v>1766</v>
      </c>
    </row>
    <row r="375" spans="1:7">
      <c r="A375" s="35" t="s">
        <v>1768</v>
      </c>
      <c r="B375" s="38" t="s">
        <v>1621</v>
      </c>
      <c r="C375" s="35" t="s">
        <v>1761</v>
      </c>
      <c r="D375" s="35" t="str">
        <f>_xlfn.XLOOKUP(E375,Organograma!G:G,Organograma!H:H,"")</f>
        <v>Mylena Justino da Silva Brito</v>
      </c>
      <c r="E375" s="35" t="s">
        <v>42</v>
      </c>
      <c r="F375" s="36">
        <v>46155</v>
      </c>
      <c r="G375" s="35" t="s">
        <v>1766</v>
      </c>
    </row>
    <row r="376" spans="1:7">
      <c r="A376" s="35" t="s">
        <v>1768</v>
      </c>
      <c r="B376" s="38" t="s">
        <v>1622</v>
      </c>
      <c r="C376" s="35" t="s">
        <v>1761</v>
      </c>
      <c r="D376" s="35" t="str">
        <f>_xlfn.XLOOKUP(E376,Organograma!G:G,Organograma!H:H,"")</f>
        <v>Mylena Justino da Silva Brito</v>
      </c>
      <c r="E376" s="35" t="s">
        <v>42</v>
      </c>
      <c r="F376" s="36">
        <v>46155</v>
      </c>
      <c r="G376" s="35" t="s">
        <v>1766</v>
      </c>
    </row>
    <row r="377" spans="1:7">
      <c r="A377" s="35" t="s">
        <v>1768</v>
      </c>
      <c r="B377" s="38" t="s">
        <v>1623</v>
      </c>
      <c r="C377" s="35" t="s">
        <v>1761</v>
      </c>
      <c r="D377" s="35" t="str">
        <f>_xlfn.XLOOKUP(E377,Organograma!G:G,Organograma!H:H,"")</f>
        <v>Mylena Justino da Silva Brito</v>
      </c>
      <c r="E377" s="35" t="s">
        <v>42</v>
      </c>
      <c r="F377" s="36">
        <v>46155</v>
      </c>
      <c r="G377" s="35" t="s">
        <v>1766</v>
      </c>
    </row>
    <row r="378" spans="1:7">
      <c r="A378" s="35" t="s">
        <v>1768</v>
      </c>
      <c r="B378" s="38" t="s">
        <v>1624</v>
      </c>
      <c r="C378" s="35" t="s">
        <v>1761</v>
      </c>
      <c r="D378" s="35" t="str">
        <f>_xlfn.XLOOKUP(E378,Organograma!G:G,Organograma!H:H,"")</f>
        <v>Mylena Justino da Silva Brito</v>
      </c>
      <c r="E378" s="35" t="s">
        <v>42</v>
      </c>
      <c r="F378" s="36">
        <v>46155</v>
      </c>
      <c r="G378" s="35" t="s">
        <v>1766</v>
      </c>
    </row>
    <row r="379" spans="1:7">
      <c r="A379" s="35" t="s">
        <v>1768</v>
      </c>
      <c r="B379" s="38" t="s">
        <v>1625</v>
      </c>
      <c r="C379" s="35" t="s">
        <v>1761</v>
      </c>
      <c r="D379" s="35" t="str">
        <f>_xlfn.XLOOKUP(E379,Organograma!G:G,Organograma!H:H,"")</f>
        <v>Mylena Justino da Silva Brito</v>
      </c>
      <c r="E379" s="35" t="s">
        <v>42</v>
      </c>
      <c r="F379" s="36">
        <v>46155</v>
      </c>
      <c r="G379" s="35" t="s">
        <v>1766</v>
      </c>
    </row>
    <row r="380" spans="1:7">
      <c r="A380" s="35" t="s">
        <v>1768</v>
      </c>
      <c r="B380" s="38" t="s">
        <v>1626</v>
      </c>
      <c r="C380" s="35" t="s">
        <v>1761</v>
      </c>
      <c r="D380" s="35" t="str">
        <f>_xlfn.XLOOKUP(E380,Organograma!G:G,Organograma!H:H,"")</f>
        <v>Mylena Justino da Silva Brito</v>
      </c>
      <c r="E380" s="35" t="s">
        <v>42</v>
      </c>
      <c r="F380" s="36">
        <v>46155</v>
      </c>
      <c r="G380" s="35" t="s">
        <v>1766</v>
      </c>
    </row>
    <row r="381" spans="1:7">
      <c r="A381" s="35" t="s">
        <v>1768</v>
      </c>
      <c r="B381" s="38" t="s">
        <v>1627</v>
      </c>
      <c r="C381" s="35" t="s">
        <v>1761</v>
      </c>
      <c r="D381" s="35" t="str">
        <f>_xlfn.XLOOKUP(E381,Organograma!G:G,Organograma!H:H,"")</f>
        <v>Mylena Justino da Silva Brito</v>
      </c>
      <c r="E381" s="35" t="s">
        <v>42</v>
      </c>
      <c r="F381" s="36">
        <v>46155</v>
      </c>
      <c r="G381" s="35" t="s">
        <v>1766</v>
      </c>
    </row>
    <row r="382" spans="1:7">
      <c r="A382" s="35" t="s">
        <v>1768</v>
      </c>
      <c r="B382" s="38" t="s">
        <v>1628</v>
      </c>
      <c r="C382" s="35" t="s">
        <v>1761</v>
      </c>
      <c r="D382" s="35" t="str">
        <f>_xlfn.XLOOKUP(E382,Organograma!G:G,Organograma!H:H,"")</f>
        <v>Mylena Justino da Silva Brito</v>
      </c>
      <c r="E382" s="35" t="s">
        <v>42</v>
      </c>
      <c r="F382" s="36">
        <v>46155</v>
      </c>
      <c r="G382" s="35" t="s">
        <v>1766</v>
      </c>
    </row>
    <row r="383" spans="1:7">
      <c r="A383" s="35" t="s">
        <v>1768</v>
      </c>
      <c r="B383" s="38" t="s">
        <v>1629</v>
      </c>
      <c r="C383" s="35" t="s">
        <v>1761</v>
      </c>
      <c r="D383" s="35" t="str">
        <f>_xlfn.XLOOKUP(E383,Organograma!G:G,Organograma!H:H,"")</f>
        <v>Mylena Justino da Silva Brito</v>
      </c>
      <c r="E383" s="35" t="s">
        <v>42</v>
      </c>
      <c r="F383" s="36">
        <v>46155</v>
      </c>
      <c r="G383" s="35" t="s">
        <v>1766</v>
      </c>
    </row>
    <row r="384" spans="1:7">
      <c r="A384" s="35" t="s">
        <v>1768</v>
      </c>
      <c r="B384" s="38" t="s">
        <v>1630</v>
      </c>
      <c r="C384" s="35" t="s">
        <v>1761</v>
      </c>
      <c r="D384" s="35" t="str">
        <f>_xlfn.XLOOKUP(E384,Organograma!G:G,Organograma!H:H,"")</f>
        <v>Mylena Justino da Silva Brito</v>
      </c>
      <c r="E384" s="35" t="s">
        <v>42</v>
      </c>
      <c r="F384" s="36">
        <v>46155</v>
      </c>
      <c r="G384" s="35" t="s">
        <v>1766</v>
      </c>
    </row>
    <row r="385" spans="1:7">
      <c r="A385" s="35" t="s">
        <v>1768</v>
      </c>
      <c r="B385" s="38" t="s">
        <v>1631</v>
      </c>
      <c r="C385" s="35" t="s">
        <v>1761</v>
      </c>
      <c r="D385" s="35" t="str">
        <f>_xlfn.XLOOKUP(E385,Organograma!G:G,Organograma!H:H,"")</f>
        <v>Mylena Justino da Silva Brito</v>
      </c>
      <c r="E385" s="35" t="s">
        <v>42</v>
      </c>
      <c r="F385" s="36">
        <v>46155</v>
      </c>
      <c r="G385" s="35" t="s">
        <v>1766</v>
      </c>
    </row>
    <row r="386" spans="1:7">
      <c r="A386" s="35" t="s">
        <v>1768</v>
      </c>
      <c r="B386" s="38" t="s">
        <v>1632</v>
      </c>
      <c r="C386" s="35" t="s">
        <v>1761</v>
      </c>
      <c r="D386" s="35" t="str">
        <f>_xlfn.XLOOKUP(E386,Organograma!G:G,Organograma!H:H,"")</f>
        <v>Mylena Justino da Silva Brito</v>
      </c>
      <c r="E386" s="35" t="s">
        <v>42</v>
      </c>
      <c r="F386" s="36">
        <v>46155</v>
      </c>
      <c r="G386" s="35" t="s">
        <v>1766</v>
      </c>
    </row>
    <row r="387" spans="1:7">
      <c r="A387" s="35" t="s">
        <v>1768</v>
      </c>
      <c r="B387" s="38" t="s">
        <v>1633</v>
      </c>
      <c r="C387" s="35" t="s">
        <v>1761</v>
      </c>
      <c r="D387" s="35" t="str">
        <f>_xlfn.XLOOKUP(E387,Organograma!G:G,Organograma!H:H,"")</f>
        <v>Mylena Justino da Silva Brito</v>
      </c>
      <c r="E387" s="35" t="s">
        <v>42</v>
      </c>
      <c r="F387" s="36">
        <v>46155</v>
      </c>
      <c r="G387" s="35" t="s">
        <v>1766</v>
      </c>
    </row>
    <row r="388" spans="1:7">
      <c r="A388" s="35" t="s">
        <v>1768</v>
      </c>
      <c r="B388" s="38" t="s">
        <v>1634</v>
      </c>
      <c r="C388" s="35" t="s">
        <v>1761</v>
      </c>
      <c r="D388" s="35" t="str">
        <f>_xlfn.XLOOKUP(E388,Organograma!G:G,Organograma!H:H,"")</f>
        <v>Mylena Justino da Silva Brito</v>
      </c>
      <c r="E388" s="35" t="s">
        <v>42</v>
      </c>
      <c r="F388" s="36">
        <v>46155</v>
      </c>
      <c r="G388" s="35" t="s">
        <v>1766</v>
      </c>
    </row>
    <row r="389" spans="1:7">
      <c r="A389" s="35" t="s">
        <v>1768</v>
      </c>
      <c r="B389" s="38" t="s">
        <v>1635</v>
      </c>
      <c r="C389" s="35" t="s">
        <v>1761</v>
      </c>
      <c r="D389" s="35" t="str">
        <f>_xlfn.XLOOKUP(E389,Organograma!G:G,Organograma!H:H,"")</f>
        <v>Mylena Justino da Silva Brito</v>
      </c>
      <c r="E389" s="35" t="s">
        <v>42</v>
      </c>
      <c r="F389" s="36">
        <v>46155</v>
      </c>
      <c r="G389" s="35" t="s">
        <v>1766</v>
      </c>
    </row>
    <row r="390" spans="1:7">
      <c r="A390" s="35" t="s">
        <v>1768</v>
      </c>
      <c r="B390" s="38" t="s">
        <v>1636</v>
      </c>
      <c r="C390" s="35" t="s">
        <v>1761</v>
      </c>
      <c r="D390" s="35" t="str">
        <f>_xlfn.XLOOKUP(E390,Organograma!G:G,Organograma!H:H,"")</f>
        <v>Mylena Justino da Silva Brito</v>
      </c>
      <c r="E390" s="35" t="s">
        <v>42</v>
      </c>
      <c r="F390" s="36">
        <v>46155</v>
      </c>
      <c r="G390" s="35" t="s">
        <v>1766</v>
      </c>
    </row>
    <row r="391" spans="1:7">
      <c r="A391" s="35" t="s">
        <v>1768</v>
      </c>
      <c r="B391" s="38" t="s">
        <v>1637</v>
      </c>
      <c r="C391" s="35" t="s">
        <v>1761</v>
      </c>
      <c r="D391" s="35" t="str">
        <f>_xlfn.XLOOKUP(E391,Organograma!G:G,Organograma!H:H,"")</f>
        <v>Mylena Justino da Silva Brito</v>
      </c>
      <c r="E391" s="35" t="s">
        <v>42</v>
      </c>
      <c r="F391" s="36">
        <v>46155</v>
      </c>
      <c r="G391" s="35" t="s">
        <v>1766</v>
      </c>
    </row>
    <row r="392" spans="1:7">
      <c r="A392" s="35" t="s">
        <v>1768</v>
      </c>
      <c r="B392" s="38" t="s">
        <v>1638</v>
      </c>
      <c r="C392" s="35" t="s">
        <v>1761</v>
      </c>
      <c r="D392" s="35" t="str">
        <f>_xlfn.XLOOKUP(E392,Organograma!G:G,Organograma!H:H,"")</f>
        <v>Mylena Justino da Silva Brito</v>
      </c>
      <c r="E392" s="35" t="s">
        <v>42</v>
      </c>
      <c r="F392" s="36">
        <v>46155</v>
      </c>
      <c r="G392" s="35" t="s">
        <v>1766</v>
      </c>
    </row>
    <row r="393" spans="1:7">
      <c r="A393" s="35" t="s">
        <v>1768</v>
      </c>
      <c r="B393" s="38" t="s">
        <v>1639</v>
      </c>
      <c r="C393" s="35" t="s">
        <v>1761</v>
      </c>
      <c r="D393" s="35" t="str">
        <f>_xlfn.XLOOKUP(E393,Organograma!G:G,Organograma!H:H,"")</f>
        <v>Mylena Justino da Silva Brito</v>
      </c>
      <c r="E393" s="35" t="s">
        <v>42</v>
      </c>
      <c r="F393" s="36">
        <v>46155</v>
      </c>
      <c r="G393" s="35" t="s">
        <v>1766</v>
      </c>
    </row>
    <row r="394" spans="1:7">
      <c r="A394" s="35" t="s">
        <v>1768</v>
      </c>
      <c r="B394" s="38" t="s">
        <v>1640</v>
      </c>
      <c r="C394" s="35" t="s">
        <v>1761</v>
      </c>
      <c r="D394" s="35" t="str">
        <f>_xlfn.XLOOKUP(E394,Organograma!G:G,Organograma!H:H,"")</f>
        <v>Mylena Justino da Silva Brito</v>
      </c>
      <c r="E394" s="35" t="s">
        <v>42</v>
      </c>
      <c r="F394" s="36">
        <v>46155</v>
      </c>
      <c r="G394" s="35" t="s">
        <v>1766</v>
      </c>
    </row>
    <row r="395" spans="1:7">
      <c r="A395" s="35" t="s">
        <v>1768</v>
      </c>
      <c r="B395" s="38" t="s">
        <v>1641</v>
      </c>
      <c r="C395" s="35" t="s">
        <v>1761</v>
      </c>
      <c r="D395" s="35" t="str">
        <f>_xlfn.XLOOKUP(E395,Organograma!G:G,Organograma!H:H,"")</f>
        <v>Mylena Justino da Silva Brito</v>
      </c>
      <c r="E395" s="35" t="s">
        <v>42</v>
      </c>
      <c r="F395" s="36">
        <v>46155</v>
      </c>
      <c r="G395" s="35" t="s">
        <v>1766</v>
      </c>
    </row>
    <row r="396" spans="1:7">
      <c r="A396" s="35" t="s">
        <v>1768</v>
      </c>
      <c r="B396" s="38" t="s">
        <v>1642</v>
      </c>
      <c r="C396" s="35" t="s">
        <v>1761</v>
      </c>
      <c r="D396" s="35" t="str">
        <f>_xlfn.XLOOKUP(E396,Organograma!G:G,Organograma!H:H,"")</f>
        <v>Mylena Justino da Silva Brito</v>
      </c>
      <c r="E396" s="35" t="s">
        <v>42</v>
      </c>
      <c r="F396" s="36">
        <v>46155</v>
      </c>
      <c r="G396" s="35" t="s">
        <v>1766</v>
      </c>
    </row>
    <row r="397" spans="1:7">
      <c r="A397" s="35" t="s">
        <v>1768</v>
      </c>
      <c r="B397" s="38" t="s">
        <v>1643</v>
      </c>
      <c r="C397" s="35" t="s">
        <v>1761</v>
      </c>
      <c r="D397" s="35" t="str">
        <f>_xlfn.XLOOKUP(E397,Organograma!G:G,Organograma!H:H,"")</f>
        <v>Mylena Justino da Silva Brito</v>
      </c>
      <c r="E397" s="35" t="s">
        <v>42</v>
      </c>
      <c r="F397" s="36">
        <v>46155</v>
      </c>
      <c r="G397" s="35" t="s">
        <v>1766</v>
      </c>
    </row>
    <row r="398" spans="1:7">
      <c r="A398" s="35" t="s">
        <v>1768</v>
      </c>
      <c r="B398" s="38" t="s">
        <v>1644</v>
      </c>
      <c r="C398" s="35" t="s">
        <v>1761</v>
      </c>
      <c r="D398" s="35" t="str">
        <f>_xlfn.XLOOKUP(E398,Organograma!G:G,Organograma!H:H,"")</f>
        <v>Mylena Justino da Silva Brito</v>
      </c>
      <c r="E398" s="35" t="s">
        <v>42</v>
      </c>
      <c r="F398" s="36">
        <v>46155</v>
      </c>
      <c r="G398" s="35" t="s">
        <v>1766</v>
      </c>
    </row>
    <row r="399" spans="1:7">
      <c r="A399" s="35" t="s">
        <v>1768</v>
      </c>
      <c r="B399" s="38" t="s">
        <v>1645</v>
      </c>
      <c r="C399" s="35" t="s">
        <v>1761</v>
      </c>
      <c r="D399" s="35" t="str">
        <f>_xlfn.XLOOKUP(E399,Organograma!G:G,Organograma!H:H,"")</f>
        <v>Mylena Justino da Silva Brito</v>
      </c>
      <c r="E399" s="35" t="s">
        <v>42</v>
      </c>
      <c r="F399" s="36">
        <v>46155</v>
      </c>
      <c r="G399" s="35" t="s">
        <v>1766</v>
      </c>
    </row>
    <row r="400" spans="1:7">
      <c r="A400" s="35" t="s">
        <v>1768</v>
      </c>
      <c r="B400" s="38" t="s">
        <v>1646</v>
      </c>
      <c r="C400" s="35" t="s">
        <v>1761</v>
      </c>
      <c r="D400" s="35" t="str">
        <f>_xlfn.XLOOKUP(E400,Organograma!G:G,Organograma!H:H,"")</f>
        <v>Mylena Justino da Silva Brito</v>
      </c>
      <c r="E400" s="35" t="s">
        <v>42</v>
      </c>
      <c r="F400" s="36">
        <v>46155</v>
      </c>
      <c r="G400" s="35" t="s">
        <v>1766</v>
      </c>
    </row>
    <row r="401" spans="1:7">
      <c r="A401" s="35" t="s">
        <v>1768</v>
      </c>
      <c r="B401" s="38" t="s">
        <v>201</v>
      </c>
      <c r="C401" s="35" t="s">
        <v>1761</v>
      </c>
      <c r="D401" s="35" t="str">
        <f>_xlfn.XLOOKUP(E401,Organograma!G:G,Organograma!H:H,"")</f>
        <v>Madson de Souza Santos</v>
      </c>
      <c r="E401" s="35" t="s">
        <v>107</v>
      </c>
      <c r="F401" s="36">
        <v>46155</v>
      </c>
      <c r="G401" s="35" t="s">
        <v>1766</v>
      </c>
    </row>
    <row r="402" spans="1:7">
      <c r="A402" s="35" t="s">
        <v>1768</v>
      </c>
      <c r="B402" s="38" t="s">
        <v>1535</v>
      </c>
      <c r="C402" s="35" t="s">
        <v>1761</v>
      </c>
      <c r="D402" s="35" t="str">
        <f>_xlfn.XLOOKUP(E402,Organograma!G:G,Organograma!H:H,"")</f>
        <v>Aliny Lopes Coelho</v>
      </c>
      <c r="E402" s="35" t="s">
        <v>1078</v>
      </c>
      <c r="F402" s="36">
        <v>46155</v>
      </c>
      <c r="G402" s="35" t="s">
        <v>1766</v>
      </c>
    </row>
    <row r="403" spans="1:7">
      <c r="A403" s="35" t="s">
        <v>1768</v>
      </c>
      <c r="B403" s="38" t="s">
        <v>1534</v>
      </c>
      <c r="C403" s="35" t="s">
        <v>1761</v>
      </c>
      <c r="D403" s="35" t="str">
        <f>_xlfn.XLOOKUP(E403,Organograma!G:G,Organograma!H:H,"")</f>
        <v>Aliny Lopes Coelho</v>
      </c>
      <c r="E403" s="35" t="s">
        <v>1078</v>
      </c>
      <c r="F403" s="36">
        <v>46155</v>
      </c>
      <c r="G403" s="35" t="s">
        <v>1766</v>
      </c>
    </row>
    <row r="404" spans="1:7">
      <c r="A404" s="35" t="s">
        <v>1768</v>
      </c>
      <c r="B404" s="38" t="s">
        <v>1647</v>
      </c>
      <c r="C404" s="35" t="s">
        <v>1761</v>
      </c>
      <c r="D404" s="35" t="str">
        <f>_xlfn.XLOOKUP(E404,Organograma!G:G,Organograma!H:H,"")</f>
        <v>Mylena Justino da Silva Brito</v>
      </c>
      <c r="E404" s="35" t="s">
        <v>42</v>
      </c>
      <c r="F404" s="36">
        <v>46155</v>
      </c>
      <c r="G404" s="35" t="s">
        <v>1766</v>
      </c>
    </row>
    <row r="405" spans="1:7">
      <c r="A405" s="35" t="s">
        <v>1768</v>
      </c>
      <c r="B405" s="38" t="s">
        <v>1648</v>
      </c>
      <c r="C405" s="35" t="s">
        <v>1761</v>
      </c>
      <c r="D405" s="35" t="str">
        <f>_xlfn.XLOOKUP(E405,Organograma!G:G,Organograma!H:H,"")</f>
        <v>Mylena Justino da Silva Brito</v>
      </c>
      <c r="E405" s="35" t="s">
        <v>42</v>
      </c>
      <c r="F405" s="36">
        <v>46155</v>
      </c>
      <c r="G405" s="35" t="s">
        <v>1766</v>
      </c>
    </row>
    <row r="406" spans="1:7">
      <c r="A406" s="35" t="s">
        <v>1768</v>
      </c>
      <c r="B406" s="38" t="s">
        <v>1465</v>
      </c>
      <c r="C406" s="35" t="s">
        <v>1761</v>
      </c>
      <c r="D406" s="35" t="str">
        <f>_xlfn.XLOOKUP(E406,Organograma!G:G,Organograma!H:H,"")</f>
        <v>Madson de Souza Santos</v>
      </c>
      <c r="E406" s="35" t="s">
        <v>107</v>
      </c>
      <c r="F406" s="36">
        <v>46155</v>
      </c>
      <c r="G406" s="35" t="s">
        <v>1766</v>
      </c>
    </row>
    <row r="407" spans="1:7">
      <c r="A407" s="35" t="s">
        <v>1768</v>
      </c>
      <c r="B407" s="38" t="s">
        <v>1564</v>
      </c>
      <c r="C407" s="35" t="s">
        <v>1761</v>
      </c>
      <c r="D407" s="35" t="str">
        <f>_xlfn.XLOOKUP(E407,Organograma!G:G,Organograma!H:H,"")</f>
        <v>Andrew Silva de Lima</v>
      </c>
      <c r="E407" s="35" t="s">
        <v>38</v>
      </c>
      <c r="F407" s="36">
        <v>46155</v>
      </c>
      <c r="G407" s="35" t="s">
        <v>1766</v>
      </c>
    </row>
    <row r="408" spans="1:7">
      <c r="A408" s="35" t="s">
        <v>1768</v>
      </c>
      <c r="B408" s="38" t="s">
        <v>1467</v>
      </c>
      <c r="C408" s="35" t="s">
        <v>1761</v>
      </c>
      <c r="D408" s="35" t="str">
        <f>_xlfn.XLOOKUP(E408,Organograma!G:G,Organograma!H:H,"")</f>
        <v>Gleyce Kelly Damaceno Barros Cavalcante</v>
      </c>
      <c r="E408" s="35" t="s">
        <v>106</v>
      </c>
      <c r="F408" s="36">
        <v>46155</v>
      </c>
      <c r="G408" s="35" t="s">
        <v>1766</v>
      </c>
    </row>
    <row r="409" spans="1:7">
      <c r="A409" s="35" t="s">
        <v>1768</v>
      </c>
      <c r="B409" s="38" t="s">
        <v>1478</v>
      </c>
      <c r="C409" s="35" t="s">
        <v>1761</v>
      </c>
      <c r="D409" s="35" t="str">
        <f>_xlfn.XLOOKUP(E409,Organograma!G:G,Organograma!H:H,"")</f>
        <v>Aislan Azevedo Santos</v>
      </c>
      <c r="E409" s="35" t="s">
        <v>8</v>
      </c>
      <c r="F409" s="36">
        <v>46155</v>
      </c>
      <c r="G409" s="35" t="s">
        <v>1766</v>
      </c>
    </row>
    <row r="410" spans="1:7">
      <c r="A410" s="35" t="s">
        <v>1768</v>
      </c>
      <c r="B410" s="38" t="s">
        <v>1649</v>
      </c>
      <c r="C410" s="35" t="s">
        <v>1761</v>
      </c>
      <c r="D410" s="35" t="str">
        <f>_xlfn.XLOOKUP(E410,Organograma!G:G,Organograma!H:H,"")</f>
        <v>Mylena Justino da Silva Brito</v>
      </c>
      <c r="E410" s="35" t="s">
        <v>42</v>
      </c>
      <c r="F410" s="36">
        <v>46155</v>
      </c>
      <c r="G410" s="35" t="s">
        <v>1766</v>
      </c>
    </row>
    <row r="411" spans="1:7">
      <c r="A411" s="35" t="s">
        <v>1768</v>
      </c>
      <c r="B411" s="38" t="s">
        <v>207</v>
      </c>
      <c r="C411" s="35" t="s">
        <v>1761</v>
      </c>
      <c r="D411" s="35" t="str">
        <f>_xlfn.XLOOKUP(E411,Organograma!G:G,Organograma!H:H,"")</f>
        <v>Mylena Justino da Silva Brito</v>
      </c>
      <c r="E411" s="35" t="s">
        <v>42</v>
      </c>
      <c r="F411" s="36">
        <v>46155</v>
      </c>
      <c r="G411" s="35" t="s">
        <v>1766</v>
      </c>
    </row>
    <row r="412" spans="1:7">
      <c r="A412" s="35" t="s">
        <v>1768</v>
      </c>
      <c r="B412" s="38" t="s">
        <v>1650</v>
      </c>
      <c r="C412" s="35" t="s">
        <v>1761</v>
      </c>
      <c r="D412" s="35" t="str">
        <f>_xlfn.XLOOKUP(E412,Organograma!G:G,Organograma!H:H,"")</f>
        <v>Mylena Justino da Silva Brito</v>
      </c>
      <c r="E412" s="35" t="s">
        <v>42</v>
      </c>
      <c r="F412" s="36">
        <v>46155</v>
      </c>
      <c r="G412" s="35" t="s">
        <v>1766</v>
      </c>
    </row>
    <row r="413" spans="1:7">
      <c r="A413" s="35" t="s">
        <v>1768</v>
      </c>
      <c r="B413" s="38" t="s">
        <v>1469</v>
      </c>
      <c r="C413" s="35" t="s">
        <v>1761</v>
      </c>
      <c r="D413" s="35" t="str">
        <f>_xlfn.XLOOKUP(E413,Organograma!G:G,Organograma!H:H,"")</f>
        <v>Mylena Justino da Silva Brito</v>
      </c>
      <c r="E413" s="35" t="s">
        <v>42</v>
      </c>
      <c r="F413" s="36">
        <v>46155</v>
      </c>
      <c r="G413" s="35" t="s">
        <v>1766</v>
      </c>
    </row>
    <row r="414" spans="1:7">
      <c r="A414" s="35" t="s">
        <v>1768</v>
      </c>
      <c r="B414" s="38" t="s">
        <v>1489</v>
      </c>
      <c r="C414" s="35" t="s">
        <v>1761</v>
      </c>
      <c r="D414" s="35" t="str">
        <f>_xlfn.XLOOKUP(E414,Organograma!G:G,Organograma!H:H,"")</f>
        <v>Mylena Justino da Silva Brito</v>
      </c>
      <c r="E414" s="35" t="s">
        <v>42</v>
      </c>
      <c r="F414" s="36">
        <v>46155</v>
      </c>
      <c r="G414" s="35" t="s">
        <v>1766</v>
      </c>
    </row>
    <row r="415" spans="1:7">
      <c r="A415" s="35" t="s">
        <v>1768</v>
      </c>
      <c r="B415" s="38" t="s">
        <v>1651</v>
      </c>
      <c r="C415" s="35" t="s">
        <v>1761</v>
      </c>
      <c r="D415" s="35" t="str">
        <f>_xlfn.XLOOKUP(E415,Organograma!G:G,Organograma!H:H,"")</f>
        <v>Mylena Justino da Silva Brito</v>
      </c>
      <c r="E415" s="35" t="s">
        <v>42</v>
      </c>
      <c r="F415" s="36">
        <v>46155</v>
      </c>
      <c r="G415" s="35" t="s">
        <v>1766</v>
      </c>
    </row>
    <row r="416" spans="1:7">
      <c r="A416" s="35" t="s">
        <v>1768</v>
      </c>
      <c r="B416" s="38" t="s">
        <v>1652</v>
      </c>
      <c r="C416" s="35" t="s">
        <v>1761</v>
      </c>
      <c r="D416" s="35" t="str">
        <f>_xlfn.XLOOKUP(E416,Organograma!G:G,Organograma!H:H,"")</f>
        <v>Mylena Justino da Silva Brito</v>
      </c>
      <c r="E416" s="35" t="s">
        <v>42</v>
      </c>
      <c r="F416" s="36">
        <v>46155</v>
      </c>
      <c r="G416" s="35" t="s">
        <v>1766</v>
      </c>
    </row>
    <row r="417" spans="1:7">
      <c r="A417" s="35" t="s">
        <v>1768</v>
      </c>
      <c r="B417" s="38" t="s">
        <v>1475</v>
      </c>
      <c r="C417" s="35" t="s">
        <v>1761</v>
      </c>
      <c r="D417" s="35" t="str">
        <f>_xlfn.XLOOKUP(E417,Organograma!G:G,Organograma!H:H,"")</f>
        <v>Mylena Justino da Silva Brito</v>
      </c>
      <c r="E417" s="35" t="s">
        <v>42</v>
      </c>
      <c r="F417" s="36">
        <v>46155</v>
      </c>
      <c r="G417" s="35" t="s">
        <v>1766</v>
      </c>
    </row>
    <row r="418" spans="1:7">
      <c r="A418" s="35" t="s">
        <v>1768</v>
      </c>
      <c r="B418" s="38" t="s">
        <v>1542</v>
      </c>
      <c r="C418" s="35" t="s">
        <v>1761</v>
      </c>
      <c r="D418" s="35" t="str">
        <f>_xlfn.XLOOKUP(E418,Organograma!G:G,Organograma!H:H,"")</f>
        <v>Mylena Justino da Silva Brito</v>
      </c>
      <c r="E418" s="35" t="s">
        <v>42</v>
      </c>
      <c r="F418" s="36">
        <v>46155</v>
      </c>
      <c r="G418" s="35" t="s">
        <v>1766</v>
      </c>
    </row>
    <row r="419" spans="1:7">
      <c r="A419" s="35" t="s">
        <v>1768</v>
      </c>
      <c r="B419" s="38" t="s">
        <v>1653</v>
      </c>
      <c r="C419" s="35" t="s">
        <v>1761</v>
      </c>
      <c r="D419" s="35" t="str">
        <f>_xlfn.XLOOKUP(E419,Organograma!G:G,Organograma!H:H,"")</f>
        <v>Janaina Bernardes Ayer</v>
      </c>
      <c r="E419" s="35" t="s">
        <v>193</v>
      </c>
      <c r="F419" s="36">
        <v>46155</v>
      </c>
      <c r="G419" s="35" t="s">
        <v>1766</v>
      </c>
    </row>
    <row r="420" spans="1:7">
      <c r="A420" s="35" t="s">
        <v>1768</v>
      </c>
      <c r="B420" s="38" t="s">
        <v>1525</v>
      </c>
      <c r="C420" s="35" t="s">
        <v>1761</v>
      </c>
      <c r="D420" s="35" t="str">
        <f>_xlfn.XLOOKUP(E420,Organograma!G:G,Organograma!H:H,"")</f>
        <v>Mylena Justino da Silva Brito</v>
      </c>
      <c r="E420" s="35" t="s">
        <v>42</v>
      </c>
      <c r="F420" s="36">
        <v>46155</v>
      </c>
      <c r="G420" s="35" t="s">
        <v>1766</v>
      </c>
    </row>
    <row r="421" spans="1:7">
      <c r="A421" s="35" t="s">
        <v>1768</v>
      </c>
      <c r="B421" s="38" t="s">
        <v>1654</v>
      </c>
      <c r="C421" s="35" t="s">
        <v>1761</v>
      </c>
      <c r="D421" s="35" t="str">
        <f>_xlfn.XLOOKUP(E421,Organograma!G:G,Organograma!H:H,"")</f>
        <v>Mylena Justino da Silva Brito</v>
      </c>
      <c r="E421" s="35" t="s">
        <v>42</v>
      </c>
      <c r="F421" s="36">
        <v>46155</v>
      </c>
      <c r="G421" s="35" t="s">
        <v>1766</v>
      </c>
    </row>
    <row r="422" spans="1:7">
      <c r="A422" s="35" t="s">
        <v>1768</v>
      </c>
      <c r="B422" s="38" t="s">
        <v>1493</v>
      </c>
      <c r="C422" s="35" t="s">
        <v>1761</v>
      </c>
      <c r="D422" s="35" t="str">
        <f>_xlfn.XLOOKUP(E422,Organograma!G:G,Organograma!H:H,"")</f>
        <v>Janaina Bernardes Ayer</v>
      </c>
      <c r="E422" s="35" t="s">
        <v>75</v>
      </c>
      <c r="F422" s="36">
        <v>46155</v>
      </c>
      <c r="G422" s="35" t="s">
        <v>1766</v>
      </c>
    </row>
    <row r="423" spans="1:7">
      <c r="A423" s="35" t="s">
        <v>1768</v>
      </c>
      <c r="B423" s="38" t="s">
        <v>1565</v>
      </c>
      <c r="C423" s="35" t="s">
        <v>1761</v>
      </c>
      <c r="D423" s="35" t="str">
        <f>_xlfn.XLOOKUP(E423,Organograma!G:G,Organograma!H:H,"")</f>
        <v>Mylena Justino da Silva Brito</v>
      </c>
      <c r="E423" s="35" t="s">
        <v>42</v>
      </c>
      <c r="F423" s="36">
        <v>46155</v>
      </c>
      <c r="G423" s="35" t="s">
        <v>1766</v>
      </c>
    </row>
    <row r="424" spans="1:7">
      <c r="A424" s="35" t="s">
        <v>1768</v>
      </c>
      <c r="B424" s="38" t="s">
        <v>206</v>
      </c>
      <c r="C424" s="35" t="s">
        <v>1761</v>
      </c>
      <c r="D424" s="35" t="str">
        <f>_xlfn.XLOOKUP(E424,Organograma!G:G,Organograma!H:H,"")</f>
        <v>Mylena Justino da Silva Brito</v>
      </c>
      <c r="E424" s="35" t="s">
        <v>42</v>
      </c>
      <c r="F424" s="36">
        <v>46155</v>
      </c>
      <c r="G424" s="35" t="s">
        <v>1766</v>
      </c>
    </row>
    <row r="425" spans="1:7">
      <c r="A425" s="35" t="s">
        <v>1768</v>
      </c>
      <c r="B425" s="38" t="s">
        <v>200</v>
      </c>
      <c r="C425" s="35" t="s">
        <v>1761</v>
      </c>
      <c r="D425" s="35" t="str">
        <f>_xlfn.XLOOKUP(E425,Organograma!G:G,Organograma!H:H,"")</f>
        <v>Madson de Souza Santos</v>
      </c>
      <c r="E425" s="35" t="s">
        <v>107</v>
      </c>
      <c r="F425" s="36">
        <v>46155</v>
      </c>
      <c r="G425" s="35" t="s">
        <v>1766</v>
      </c>
    </row>
    <row r="426" spans="1:7">
      <c r="A426" s="35" t="s">
        <v>1768</v>
      </c>
      <c r="B426" s="38" t="s">
        <v>1655</v>
      </c>
      <c r="C426" s="35" t="s">
        <v>1761</v>
      </c>
      <c r="D426" s="35" t="str">
        <f>_xlfn.XLOOKUP(E426,Organograma!G:G,Organograma!H:H,"")</f>
        <v>Mylena Justino da Silva Brito</v>
      </c>
      <c r="E426" s="35" t="s">
        <v>42</v>
      </c>
      <c r="F426" s="36">
        <v>46155</v>
      </c>
      <c r="G426" s="35" t="s">
        <v>1766</v>
      </c>
    </row>
    <row r="427" spans="1:7">
      <c r="A427" s="35" t="s">
        <v>1768</v>
      </c>
      <c r="B427" s="38" t="s">
        <v>1656</v>
      </c>
      <c r="C427" s="35" t="s">
        <v>1761</v>
      </c>
      <c r="D427" s="35" t="str">
        <f>_xlfn.XLOOKUP(E427,Organograma!G:G,Organograma!H:H,"")</f>
        <v>Mylena Justino da Silva Brito</v>
      </c>
      <c r="E427" s="35" t="s">
        <v>42</v>
      </c>
      <c r="F427" s="36">
        <v>46155</v>
      </c>
      <c r="G427" s="35" t="s">
        <v>1766</v>
      </c>
    </row>
    <row r="428" spans="1:7">
      <c r="A428" s="35" t="s">
        <v>1768</v>
      </c>
      <c r="B428" s="38" t="s">
        <v>1501</v>
      </c>
      <c r="C428" s="35" t="s">
        <v>1761</v>
      </c>
      <c r="D428" s="35" t="str">
        <f>_xlfn.XLOOKUP(E428,Organograma!G:G,Organograma!H:H,"")</f>
        <v>Mylena Justino da Silva Brito</v>
      </c>
      <c r="E428" s="35" t="s">
        <v>42</v>
      </c>
      <c r="F428" s="36">
        <v>46155</v>
      </c>
      <c r="G428" s="35" t="s">
        <v>1766</v>
      </c>
    </row>
    <row r="429" spans="1:7">
      <c r="A429" s="35" t="s">
        <v>1768</v>
      </c>
      <c r="B429" s="38" t="s">
        <v>1657</v>
      </c>
      <c r="C429" s="35" t="s">
        <v>1761</v>
      </c>
      <c r="D429" s="35" t="str">
        <f>_xlfn.XLOOKUP(E429,Organograma!G:G,Organograma!H:H,"")</f>
        <v>Mylena Justino da Silva Brito</v>
      </c>
      <c r="E429" s="35" t="s">
        <v>42</v>
      </c>
      <c r="F429" s="36">
        <v>46155</v>
      </c>
      <c r="G429" s="35" t="s">
        <v>1766</v>
      </c>
    </row>
    <row r="430" spans="1:7">
      <c r="A430" s="35" t="s">
        <v>1768</v>
      </c>
      <c r="B430" s="38" t="s">
        <v>203</v>
      </c>
      <c r="C430" s="35" t="s">
        <v>1761</v>
      </c>
      <c r="D430" s="35" t="str">
        <f>_xlfn.XLOOKUP(E430,Organograma!G:G,Organograma!H:H,"")</f>
        <v>Mylena Justino da Silva Brito</v>
      </c>
      <c r="E430" s="35" t="s">
        <v>42</v>
      </c>
      <c r="F430" s="36">
        <v>46155</v>
      </c>
      <c r="G430" s="35" t="s">
        <v>1766</v>
      </c>
    </row>
    <row r="431" spans="1:7">
      <c r="A431" s="35" t="s">
        <v>1768</v>
      </c>
      <c r="B431" s="38" t="s">
        <v>204</v>
      </c>
      <c r="C431" s="35" t="s">
        <v>1761</v>
      </c>
      <c r="D431" s="35" t="str">
        <f>_xlfn.XLOOKUP(E431,Organograma!G:G,Organograma!H:H,"")</f>
        <v>Mylena Justino da Silva Brito</v>
      </c>
      <c r="E431" s="35" t="s">
        <v>42</v>
      </c>
      <c r="F431" s="36">
        <v>46155</v>
      </c>
      <c r="G431" s="35" t="s">
        <v>1766</v>
      </c>
    </row>
    <row r="432" spans="1:7">
      <c r="A432" s="35" t="s">
        <v>1768</v>
      </c>
      <c r="B432" s="38" t="s">
        <v>1658</v>
      </c>
      <c r="C432" s="35" t="s">
        <v>1761</v>
      </c>
      <c r="D432" s="35" t="str">
        <f>_xlfn.XLOOKUP(E432,Organograma!G:G,Organograma!H:H,"")</f>
        <v>Mylena Justino da Silva Brito</v>
      </c>
      <c r="E432" s="35" t="s">
        <v>42</v>
      </c>
      <c r="F432" s="36">
        <v>46155</v>
      </c>
      <c r="G432" s="35" t="s">
        <v>1766</v>
      </c>
    </row>
    <row r="433" spans="1:7">
      <c r="A433" s="35" t="s">
        <v>1768</v>
      </c>
      <c r="B433" s="38" t="s">
        <v>199</v>
      </c>
      <c r="C433" s="35" t="s">
        <v>1761</v>
      </c>
      <c r="D433" s="35" t="str">
        <f>_xlfn.XLOOKUP(E433,Organograma!G:G,Organograma!H:H,"")</f>
        <v>Madson de Souza Santos</v>
      </c>
      <c r="E433" s="35" t="s">
        <v>107</v>
      </c>
      <c r="F433" s="36">
        <v>46155</v>
      </c>
      <c r="G433" s="35" t="s">
        <v>1766</v>
      </c>
    </row>
    <row r="434" spans="1:7">
      <c r="A434" s="35" t="s">
        <v>1768</v>
      </c>
      <c r="B434" s="38" t="s">
        <v>202</v>
      </c>
      <c r="C434" s="35" t="s">
        <v>1761</v>
      </c>
      <c r="D434" s="35" t="str">
        <f>_xlfn.XLOOKUP(E434,Organograma!G:G,Organograma!H:H,"")</f>
        <v>Mylena Justino da Silva Brito</v>
      </c>
      <c r="E434" s="35" t="s">
        <v>42</v>
      </c>
      <c r="F434" s="36">
        <v>46155</v>
      </c>
      <c r="G434" s="35" t="s">
        <v>1766</v>
      </c>
    </row>
    <row r="435" spans="1:7">
      <c r="A435" s="35" t="s">
        <v>1768</v>
      </c>
      <c r="B435" s="38" t="s">
        <v>1470</v>
      </c>
      <c r="C435" s="35" t="s">
        <v>1761</v>
      </c>
      <c r="D435" s="35" t="str">
        <f>_xlfn.XLOOKUP(E435,Organograma!G:G,Organograma!H:H,"")</f>
        <v>Gustavo Cintra Silva</v>
      </c>
      <c r="E435" s="35" t="s">
        <v>124</v>
      </c>
      <c r="F435" s="36">
        <v>46155</v>
      </c>
      <c r="G435" s="35" t="s">
        <v>1766</v>
      </c>
    </row>
    <row r="436" spans="1:7">
      <c r="A436" s="35" t="s">
        <v>1768</v>
      </c>
      <c r="B436" s="38" t="s">
        <v>1659</v>
      </c>
      <c r="C436" s="35" t="s">
        <v>1761</v>
      </c>
      <c r="D436" s="35" t="str">
        <f>_xlfn.XLOOKUP(E436,Organograma!G:G,Organograma!H:H,"")</f>
        <v>Mylena Justino da Silva Brito</v>
      </c>
      <c r="E436" s="35" t="s">
        <v>42</v>
      </c>
      <c r="F436" s="36">
        <v>46155</v>
      </c>
      <c r="G436" s="35" t="s">
        <v>1766</v>
      </c>
    </row>
    <row r="437" spans="1:7">
      <c r="A437" s="35" t="s">
        <v>1768</v>
      </c>
      <c r="B437" s="38" t="s">
        <v>1474</v>
      </c>
      <c r="C437" s="35" t="s">
        <v>1761</v>
      </c>
      <c r="D437" s="35" t="str">
        <f>_xlfn.XLOOKUP(E437,Organograma!G:G,Organograma!H:H,"")</f>
        <v>Mylena Justino da Silva Brito</v>
      </c>
      <c r="E437" s="35" t="s">
        <v>42</v>
      </c>
      <c r="F437" s="36">
        <v>46155</v>
      </c>
      <c r="G437" s="35" t="s">
        <v>1766</v>
      </c>
    </row>
    <row r="438" spans="1:7">
      <c r="A438" s="35" t="s">
        <v>1768</v>
      </c>
      <c r="B438" s="38" t="s">
        <v>1660</v>
      </c>
      <c r="C438" s="35" t="s">
        <v>1761</v>
      </c>
      <c r="D438" s="35" t="str">
        <f>_xlfn.XLOOKUP(E438,Organograma!G:G,Organograma!H:H,"")</f>
        <v>Mylena Justino da Silva Brito</v>
      </c>
      <c r="E438" s="35" t="s">
        <v>42</v>
      </c>
      <c r="F438" s="36">
        <v>46155</v>
      </c>
      <c r="G438" s="35" t="s">
        <v>1766</v>
      </c>
    </row>
    <row r="439" spans="1:7">
      <c r="A439" s="35" t="s">
        <v>1768</v>
      </c>
      <c r="B439" s="38" t="s">
        <v>1517</v>
      </c>
      <c r="C439" s="35" t="s">
        <v>1761</v>
      </c>
      <c r="D439" s="35" t="str">
        <f>_xlfn.XLOOKUP(E439,Organograma!G:G,Organograma!H:H,"")</f>
        <v>Mylena Justino da Silva Brito</v>
      </c>
      <c r="E439" s="35" t="s">
        <v>42</v>
      </c>
      <c r="F439" s="36">
        <v>46155</v>
      </c>
      <c r="G439" s="35" t="s">
        <v>1766</v>
      </c>
    </row>
    <row r="440" spans="1:7">
      <c r="A440" s="35" t="s">
        <v>1768</v>
      </c>
      <c r="B440" s="38" t="s">
        <v>1661</v>
      </c>
      <c r="C440" s="35" t="s">
        <v>1761</v>
      </c>
      <c r="D440" s="35" t="str">
        <f>_xlfn.XLOOKUP(E440,Organograma!G:G,Organograma!H:H,"")</f>
        <v>Mylena Justino da Silva Brito</v>
      </c>
      <c r="E440" s="35" t="s">
        <v>42</v>
      </c>
      <c r="F440" s="36">
        <v>46155</v>
      </c>
      <c r="G440" s="35" t="s">
        <v>1766</v>
      </c>
    </row>
    <row r="441" spans="1:7">
      <c r="A441" s="35" t="s">
        <v>1768</v>
      </c>
      <c r="B441" s="38" t="s">
        <v>1476</v>
      </c>
      <c r="C441" s="35" t="s">
        <v>1761</v>
      </c>
      <c r="D441" s="35" t="str">
        <f>_xlfn.XLOOKUP(E441,Organograma!G:G,Organograma!H:H,"")</f>
        <v>Mylena Justino da Silva Brito</v>
      </c>
      <c r="E441" s="35" t="s">
        <v>42</v>
      </c>
      <c r="F441" s="36">
        <v>46155</v>
      </c>
      <c r="G441" s="35" t="s">
        <v>1766</v>
      </c>
    </row>
    <row r="442" spans="1:7">
      <c r="A442" s="35" t="s">
        <v>1768</v>
      </c>
      <c r="B442" s="38" t="s">
        <v>1662</v>
      </c>
      <c r="C442" s="35" t="s">
        <v>1761</v>
      </c>
      <c r="D442" s="35" t="str">
        <f>_xlfn.XLOOKUP(E442,Organograma!G:G,Organograma!H:H,"")</f>
        <v>Mylena Justino da Silva Brito</v>
      </c>
      <c r="E442" s="35" t="s">
        <v>42</v>
      </c>
      <c r="F442" s="36">
        <v>46155</v>
      </c>
      <c r="G442" s="35" t="s">
        <v>1766</v>
      </c>
    </row>
    <row r="443" spans="1:7">
      <c r="A443" s="35" t="s">
        <v>1768</v>
      </c>
      <c r="B443" s="38" t="s">
        <v>1547</v>
      </c>
      <c r="C443" s="35" t="s">
        <v>1761</v>
      </c>
      <c r="D443" s="35" t="str">
        <f>_xlfn.XLOOKUP(E443,Organograma!G:G,Organograma!H:H,"")</f>
        <v>Mylena Justino da Silva Brito</v>
      </c>
      <c r="E443" s="35" t="s">
        <v>42</v>
      </c>
      <c r="F443" s="36">
        <v>46155</v>
      </c>
      <c r="G443" s="35" t="s">
        <v>1766</v>
      </c>
    </row>
    <row r="444" spans="1:7">
      <c r="A444" s="35" t="s">
        <v>1768</v>
      </c>
      <c r="B444" s="38" t="s">
        <v>1663</v>
      </c>
      <c r="C444" s="35" t="s">
        <v>1761</v>
      </c>
      <c r="D444" s="35" t="str">
        <f>_xlfn.XLOOKUP(E444,Organograma!G:G,Organograma!H:H,"")</f>
        <v>Mylena Justino da Silva Brito</v>
      </c>
      <c r="E444" s="35" t="s">
        <v>42</v>
      </c>
      <c r="F444" s="36">
        <v>46155</v>
      </c>
      <c r="G444" s="35" t="s">
        <v>1766</v>
      </c>
    </row>
    <row r="445" spans="1:7">
      <c r="A445" s="35" t="s">
        <v>1768</v>
      </c>
      <c r="B445" s="38" t="s">
        <v>1664</v>
      </c>
      <c r="C445" s="35" t="s">
        <v>1761</v>
      </c>
      <c r="D445" s="35" t="str">
        <f>_xlfn.XLOOKUP(E445,Organograma!G:G,Organograma!H:H,"")</f>
        <v>Mylena Justino da Silva Brito</v>
      </c>
      <c r="E445" s="35" t="s">
        <v>42</v>
      </c>
      <c r="F445" s="36">
        <v>46155</v>
      </c>
      <c r="G445" s="35" t="s">
        <v>1766</v>
      </c>
    </row>
    <row r="446" spans="1:7">
      <c r="A446" s="35" t="s">
        <v>1768</v>
      </c>
      <c r="B446" s="38" t="s">
        <v>1665</v>
      </c>
      <c r="C446" s="35" t="s">
        <v>1761</v>
      </c>
      <c r="D446" s="35" t="str">
        <f>_xlfn.XLOOKUP(E446,Organograma!G:G,Organograma!H:H,"")</f>
        <v>Mylena Justino da Silva Brito</v>
      </c>
      <c r="E446" s="35" t="s">
        <v>42</v>
      </c>
      <c r="F446" s="36">
        <v>46155</v>
      </c>
      <c r="G446" s="35" t="s">
        <v>1766</v>
      </c>
    </row>
    <row r="447" spans="1:7">
      <c r="A447" s="35" t="s">
        <v>1149</v>
      </c>
      <c r="B447" s="38" t="s">
        <v>1494</v>
      </c>
      <c r="C447" s="35" t="s">
        <v>1422</v>
      </c>
      <c r="D447" s="35" t="str">
        <f>_xlfn.XLOOKUP(E447,Organograma!G:G,Organograma!H:H,"")</f>
        <v>Janaina Bernardes Ayer</v>
      </c>
      <c r="E447" s="35" t="s">
        <v>78</v>
      </c>
      <c r="F447" s="36">
        <v>46155</v>
      </c>
      <c r="G447" s="35" t="s">
        <v>1766</v>
      </c>
    </row>
    <row r="448" spans="1:7">
      <c r="A448" s="35" t="s">
        <v>1768</v>
      </c>
      <c r="B448" s="38" t="s">
        <v>1666</v>
      </c>
      <c r="C448" s="35" t="s">
        <v>1761</v>
      </c>
      <c r="D448" s="35" t="str">
        <f>_xlfn.XLOOKUP(E448,Organograma!G:G,Organograma!H:H,"")</f>
        <v>Mylena Justino da Silva Brito</v>
      </c>
      <c r="E448" s="35" t="s">
        <v>42</v>
      </c>
      <c r="F448" s="36">
        <v>46155</v>
      </c>
      <c r="G448" s="35" t="s">
        <v>1766</v>
      </c>
    </row>
    <row r="449" spans="1:7">
      <c r="A449" s="35" t="s">
        <v>1768</v>
      </c>
      <c r="B449" s="38" t="s">
        <v>1667</v>
      </c>
      <c r="C449" s="35" t="s">
        <v>1761</v>
      </c>
      <c r="D449" s="35" t="str">
        <f>_xlfn.XLOOKUP(E449,Organograma!G:G,Organograma!H:H,"")</f>
        <v>Mylena Justino da Silva Brito</v>
      </c>
      <c r="E449" s="35" t="s">
        <v>42</v>
      </c>
      <c r="F449" s="36">
        <v>46155</v>
      </c>
      <c r="G449" s="35" t="s">
        <v>1766</v>
      </c>
    </row>
    <row r="450" spans="1:7">
      <c r="A450" s="35" t="s">
        <v>1768</v>
      </c>
      <c r="B450" s="38" t="s">
        <v>1668</v>
      </c>
      <c r="C450" s="35" t="s">
        <v>1761</v>
      </c>
      <c r="D450" s="35" t="str">
        <f>_xlfn.XLOOKUP(E450,Organograma!G:G,Organograma!H:H,"")</f>
        <v>Mylena Justino da Silva Brito</v>
      </c>
      <c r="E450" s="35" t="s">
        <v>42</v>
      </c>
      <c r="F450" s="36">
        <v>46155</v>
      </c>
      <c r="G450" s="35" t="s">
        <v>1766</v>
      </c>
    </row>
    <row r="451" spans="1:7">
      <c r="A451" s="35" t="s">
        <v>1768</v>
      </c>
      <c r="B451" s="38" t="s">
        <v>1518</v>
      </c>
      <c r="C451" s="35" t="s">
        <v>1761</v>
      </c>
      <c r="D451" s="35" t="str">
        <f>_xlfn.XLOOKUP(E451,Organograma!G:G,Organograma!H:H,"")</f>
        <v>Mylena Justino da Silva Brito</v>
      </c>
      <c r="E451" s="35" t="s">
        <v>42</v>
      </c>
      <c r="F451" s="36">
        <v>46155</v>
      </c>
      <c r="G451" s="35" t="s">
        <v>1766</v>
      </c>
    </row>
    <row r="452" spans="1:7">
      <c r="A452" s="35" t="s">
        <v>1768</v>
      </c>
      <c r="B452" s="38" t="s">
        <v>1560</v>
      </c>
      <c r="C452" s="35" t="s">
        <v>1761</v>
      </c>
      <c r="D452" s="35" t="str">
        <f>_xlfn.XLOOKUP(E452,Organograma!G:G,Organograma!H:H,"")</f>
        <v>Mylena Justino da Silva Brito</v>
      </c>
      <c r="E452" s="35" t="s">
        <v>42</v>
      </c>
      <c r="F452" s="36">
        <v>46155</v>
      </c>
      <c r="G452" s="35" t="s">
        <v>1766</v>
      </c>
    </row>
    <row r="453" spans="1:7">
      <c r="A453" s="35" t="s">
        <v>1768</v>
      </c>
      <c r="B453" s="38" t="s">
        <v>1562</v>
      </c>
      <c r="C453" s="35" t="s">
        <v>1761</v>
      </c>
      <c r="D453" s="35" t="str">
        <f>_xlfn.XLOOKUP(E453,Organograma!G:G,Organograma!H:H,"")</f>
        <v>Mylena Justino da Silva Brito</v>
      </c>
      <c r="E453" s="35" t="s">
        <v>42</v>
      </c>
      <c r="F453" s="36">
        <v>46155</v>
      </c>
      <c r="G453" s="35" t="s">
        <v>1766</v>
      </c>
    </row>
    <row r="454" spans="1:7">
      <c r="A454" s="35" t="s">
        <v>1768</v>
      </c>
      <c r="B454" s="38" t="s">
        <v>1669</v>
      </c>
      <c r="C454" s="35" t="s">
        <v>1761</v>
      </c>
      <c r="D454" s="35" t="str">
        <f>_xlfn.XLOOKUP(E454,Organograma!G:G,Organograma!H:H,"")</f>
        <v>Mylena Justino da Silva Brito</v>
      </c>
      <c r="E454" s="35" t="s">
        <v>42</v>
      </c>
      <c r="F454" s="36">
        <v>46155</v>
      </c>
      <c r="G454" s="35" t="s">
        <v>1766</v>
      </c>
    </row>
    <row r="455" spans="1:7">
      <c r="A455" s="35" t="s">
        <v>1768</v>
      </c>
      <c r="B455" s="38" t="s">
        <v>1670</v>
      </c>
      <c r="C455" s="35" t="s">
        <v>1761</v>
      </c>
      <c r="D455" s="35" t="str">
        <f>_xlfn.XLOOKUP(E455,Organograma!G:G,Organograma!H:H,"")</f>
        <v>Mylena Justino da Silva Brito</v>
      </c>
      <c r="E455" s="35" t="s">
        <v>42</v>
      </c>
      <c r="F455" s="36">
        <v>46155</v>
      </c>
      <c r="G455" s="35" t="s">
        <v>1766</v>
      </c>
    </row>
    <row r="456" spans="1:7">
      <c r="A456" s="35" t="s">
        <v>1768</v>
      </c>
      <c r="B456" s="38" t="s">
        <v>1671</v>
      </c>
      <c r="C456" s="35" t="s">
        <v>1761</v>
      </c>
      <c r="D456" s="35" t="str">
        <f>_xlfn.XLOOKUP(E456,Organograma!G:G,Organograma!H:H,"")</f>
        <v>Mylena Justino da Silva Brito</v>
      </c>
      <c r="E456" s="35" t="s">
        <v>42</v>
      </c>
      <c r="F456" s="36">
        <v>46155</v>
      </c>
      <c r="G456" s="35" t="s">
        <v>1766</v>
      </c>
    </row>
    <row r="457" spans="1:7">
      <c r="A457" s="35" t="s">
        <v>1768</v>
      </c>
      <c r="B457" s="38" t="s">
        <v>1672</v>
      </c>
      <c r="C457" s="35" t="s">
        <v>1761</v>
      </c>
      <c r="D457" s="35" t="str">
        <f>_xlfn.XLOOKUP(E457,Organograma!G:G,Organograma!H:H,"")</f>
        <v>Mylena Justino da Silva Brito</v>
      </c>
      <c r="E457" s="35" t="s">
        <v>42</v>
      </c>
      <c r="F457" s="36">
        <v>46155</v>
      </c>
      <c r="G457" s="35" t="s">
        <v>1766</v>
      </c>
    </row>
    <row r="458" spans="1:7">
      <c r="A458" s="35" t="s">
        <v>1768</v>
      </c>
      <c r="B458" s="38" t="s">
        <v>1673</v>
      </c>
      <c r="C458" s="35" t="s">
        <v>1761</v>
      </c>
      <c r="D458" s="35" t="str">
        <f>_xlfn.XLOOKUP(E458,Organograma!G:G,Organograma!H:H,"")</f>
        <v>Mylena Justino da Silva Brito</v>
      </c>
      <c r="E458" s="35" t="s">
        <v>42</v>
      </c>
      <c r="F458" s="36">
        <v>46155</v>
      </c>
      <c r="G458" s="35" t="s">
        <v>1766</v>
      </c>
    </row>
    <row r="459" spans="1:7">
      <c r="A459" s="35" t="s">
        <v>1768</v>
      </c>
      <c r="B459" s="38" t="s">
        <v>1544</v>
      </c>
      <c r="C459" s="35" t="s">
        <v>1761</v>
      </c>
      <c r="D459" s="35" t="str">
        <f>_xlfn.XLOOKUP(E459,Organograma!G:G,Organograma!H:H,"")</f>
        <v>Mylena Justino da Silva Brito</v>
      </c>
      <c r="E459" s="35" t="s">
        <v>42</v>
      </c>
      <c r="F459" s="36">
        <v>46155</v>
      </c>
      <c r="G459" s="35" t="s">
        <v>1766</v>
      </c>
    </row>
    <row r="460" spans="1:7">
      <c r="A460" s="35" t="s">
        <v>1768</v>
      </c>
      <c r="B460" s="38" t="s">
        <v>1674</v>
      </c>
      <c r="C460" s="35" t="s">
        <v>1761</v>
      </c>
      <c r="D460" s="35" t="str">
        <f>_xlfn.XLOOKUP(E460,Organograma!G:G,Organograma!H:H,"")</f>
        <v>Mylena Justino da Silva Brito</v>
      </c>
      <c r="E460" s="35" t="s">
        <v>42</v>
      </c>
      <c r="F460" s="36">
        <v>46155</v>
      </c>
      <c r="G460" s="35" t="s">
        <v>1766</v>
      </c>
    </row>
    <row r="461" spans="1:7">
      <c r="A461" s="35" t="s">
        <v>1768</v>
      </c>
      <c r="B461" s="38" t="s">
        <v>1675</v>
      </c>
      <c r="C461" s="35" t="s">
        <v>1761</v>
      </c>
      <c r="D461" s="35" t="str">
        <f>_xlfn.XLOOKUP(E461,Organograma!G:G,Organograma!H:H,"")</f>
        <v>Mylena Justino da Silva Brito</v>
      </c>
      <c r="E461" s="35" t="s">
        <v>42</v>
      </c>
      <c r="F461" s="36">
        <v>46155</v>
      </c>
      <c r="G461" s="35" t="s">
        <v>1766</v>
      </c>
    </row>
    <row r="462" spans="1:7">
      <c r="A462" s="35" t="s">
        <v>1768</v>
      </c>
      <c r="B462" s="38" t="s">
        <v>1676</v>
      </c>
      <c r="C462" s="35" t="s">
        <v>1761</v>
      </c>
      <c r="D462" s="35" t="str">
        <f>_xlfn.XLOOKUP(E462,Organograma!G:G,Organograma!H:H,"")</f>
        <v>Mylena Justino da Silva Brito</v>
      </c>
      <c r="E462" s="35" t="s">
        <v>42</v>
      </c>
      <c r="F462" s="36">
        <v>46155</v>
      </c>
      <c r="G462" s="35" t="s">
        <v>1766</v>
      </c>
    </row>
    <row r="463" spans="1:7">
      <c r="A463" s="35" t="s">
        <v>1768</v>
      </c>
      <c r="B463" s="38" t="s">
        <v>1677</v>
      </c>
      <c r="C463" s="35" t="s">
        <v>1761</v>
      </c>
      <c r="D463" s="35" t="str">
        <f>_xlfn.XLOOKUP(E463,Organograma!G:G,Organograma!H:H,"")</f>
        <v>Mylena Justino da Silva Brito</v>
      </c>
      <c r="E463" s="35" t="s">
        <v>42</v>
      </c>
      <c r="F463" s="36">
        <v>46155</v>
      </c>
      <c r="G463" s="35" t="s">
        <v>1766</v>
      </c>
    </row>
    <row r="464" spans="1:7">
      <c r="A464" s="35" t="s">
        <v>1768</v>
      </c>
      <c r="B464" s="38" t="s">
        <v>1678</v>
      </c>
      <c r="C464" s="35" t="s">
        <v>1761</v>
      </c>
      <c r="D464" s="35" t="str">
        <f>_xlfn.XLOOKUP(E464,Organograma!G:G,Organograma!H:H,"")</f>
        <v>Mylena Justino da Silva Brito</v>
      </c>
      <c r="E464" s="35" t="s">
        <v>42</v>
      </c>
      <c r="F464" s="36">
        <v>46155</v>
      </c>
      <c r="G464" s="35" t="s">
        <v>1766</v>
      </c>
    </row>
    <row r="465" spans="1:7">
      <c r="A465" s="35" t="s">
        <v>1768</v>
      </c>
      <c r="B465" s="38" t="s">
        <v>1679</v>
      </c>
      <c r="C465" s="35" t="s">
        <v>1761</v>
      </c>
      <c r="D465" s="35" t="str">
        <f>_xlfn.XLOOKUP(E465,Organograma!G:G,Organograma!H:H,"")</f>
        <v>Mylena Justino da Silva Brito</v>
      </c>
      <c r="E465" s="35" t="s">
        <v>42</v>
      </c>
      <c r="F465" s="36">
        <v>46155</v>
      </c>
      <c r="G465" s="35" t="s">
        <v>1766</v>
      </c>
    </row>
    <row r="466" spans="1:7">
      <c r="A466" s="35" t="s">
        <v>1768</v>
      </c>
      <c r="B466" s="38" t="s">
        <v>1680</v>
      </c>
      <c r="C466" s="35" t="s">
        <v>1761</v>
      </c>
      <c r="D466" s="35" t="str">
        <f>_xlfn.XLOOKUP(E466,Organograma!G:G,Organograma!H:H,"")</f>
        <v>Mylena Justino da Silva Brito</v>
      </c>
      <c r="E466" s="35" t="s">
        <v>42</v>
      </c>
      <c r="F466" s="36">
        <v>46155</v>
      </c>
      <c r="G466" s="35" t="s">
        <v>1766</v>
      </c>
    </row>
    <row r="467" spans="1:7">
      <c r="A467" s="35" t="s">
        <v>1768</v>
      </c>
      <c r="B467" s="38" t="s">
        <v>1681</v>
      </c>
      <c r="C467" s="35" t="s">
        <v>1761</v>
      </c>
      <c r="D467" s="35" t="str">
        <f>_xlfn.XLOOKUP(E467,Organograma!G:G,Organograma!H:H,"")</f>
        <v>Mylena Justino da Silva Brito</v>
      </c>
      <c r="E467" s="35" t="s">
        <v>42</v>
      </c>
      <c r="F467" s="36">
        <v>46155</v>
      </c>
      <c r="G467" s="35" t="s">
        <v>1766</v>
      </c>
    </row>
    <row r="468" spans="1:7">
      <c r="A468" s="35" t="s">
        <v>1768</v>
      </c>
      <c r="B468" s="38" t="s">
        <v>1682</v>
      </c>
      <c r="C468" s="35" t="s">
        <v>1761</v>
      </c>
      <c r="D468" s="35" t="str">
        <f>_xlfn.XLOOKUP(E468,Organograma!G:G,Organograma!H:H,"")</f>
        <v>Mylena Justino da Silva Brito</v>
      </c>
      <c r="E468" s="35" t="s">
        <v>42</v>
      </c>
      <c r="F468" s="36">
        <v>46155</v>
      </c>
      <c r="G468" s="35" t="s">
        <v>1766</v>
      </c>
    </row>
    <row r="469" spans="1:7">
      <c r="A469" s="35" t="s">
        <v>1768</v>
      </c>
      <c r="B469" s="38" t="s">
        <v>1683</v>
      </c>
      <c r="C469" s="35" t="s">
        <v>1761</v>
      </c>
      <c r="D469" s="35" t="str">
        <f>_xlfn.XLOOKUP(E469,Organograma!G:G,Organograma!H:H,"")</f>
        <v>Mylena Justino da Silva Brito</v>
      </c>
      <c r="E469" s="35" t="s">
        <v>42</v>
      </c>
      <c r="F469" s="36">
        <v>46155</v>
      </c>
      <c r="G469" s="35" t="s">
        <v>1766</v>
      </c>
    </row>
    <row r="470" spans="1:7">
      <c r="A470" s="35" t="s">
        <v>1768</v>
      </c>
      <c r="B470" s="38" t="s">
        <v>1684</v>
      </c>
      <c r="C470" s="35" t="s">
        <v>1761</v>
      </c>
      <c r="D470" s="35" t="str">
        <f>_xlfn.XLOOKUP(E470,Organograma!G:G,Organograma!H:H,"")</f>
        <v>Mylena Justino da Silva Brito</v>
      </c>
      <c r="E470" s="35" t="s">
        <v>42</v>
      </c>
      <c r="F470" s="36">
        <v>46155</v>
      </c>
      <c r="G470" s="35" t="s">
        <v>1766</v>
      </c>
    </row>
    <row r="471" spans="1:7">
      <c r="A471" s="35" t="s">
        <v>1768</v>
      </c>
      <c r="B471" s="38" t="s">
        <v>1521</v>
      </c>
      <c r="C471" s="35" t="s">
        <v>1761</v>
      </c>
      <c r="D471" s="35" t="str">
        <f>_xlfn.XLOOKUP(E471,Organograma!G:G,Organograma!H:H,"")</f>
        <v>Mylena Justino da Silva Brito</v>
      </c>
      <c r="E471" s="35" t="s">
        <v>42</v>
      </c>
      <c r="F471" s="36">
        <v>46155</v>
      </c>
      <c r="G471" s="35" t="s">
        <v>1766</v>
      </c>
    </row>
    <row r="472" spans="1:7">
      <c r="A472" s="35" t="s">
        <v>1768</v>
      </c>
      <c r="B472" s="38" t="s">
        <v>1685</v>
      </c>
      <c r="C472" s="35" t="s">
        <v>1761</v>
      </c>
      <c r="D472" s="35" t="str">
        <f>_xlfn.XLOOKUP(E472,Organograma!G:G,Organograma!H:H,"")</f>
        <v>Mylena Justino da Silva Brito</v>
      </c>
      <c r="E472" s="35" t="s">
        <v>42</v>
      </c>
      <c r="F472" s="36">
        <v>46155</v>
      </c>
      <c r="G472" s="35" t="s">
        <v>1766</v>
      </c>
    </row>
    <row r="473" spans="1:7">
      <c r="A473" s="35" t="s">
        <v>1149</v>
      </c>
      <c r="B473" s="38" t="s">
        <v>1482</v>
      </c>
      <c r="C473" s="35" t="s">
        <v>1422</v>
      </c>
      <c r="D473" s="35" t="str">
        <f>_xlfn.XLOOKUP(E473,Organograma!G:G,Organograma!H:H,"")</f>
        <v>Janaina Bernardes Ayer</v>
      </c>
      <c r="E473" s="35" t="s">
        <v>193</v>
      </c>
      <c r="F473" s="36">
        <v>46155</v>
      </c>
      <c r="G473" s="35" t="s">
        <v>1766</v>
      </c>
    </row>
    <row r="474" spans="1:7">
      <c r="A474" s="35" t="s">
        <v>1768</v>
      </c>
      <c r="B474" s="38" t="s">
        <v>1557</v>
      </c>
      <c r="C474" s="35" t="s">
        <v>1761</v>
      </c>
      <c r="D474" s="35" t="str">
        <f>_xlfn.XLOOKUP(E474,Organograma!G:G,Organograma!H:H,"")</f>
        <v>Mylena Justino da Silva Brito</v>
      </c>
      <c r="E474" s="35" t="s">
        <v>42</v>
      </c>
      <c r="F474" s="36">
        <v>46155</v>
      </c>
      <c r="G474" s="35" t="s">
        <v>1766</v>
      </c>
    </row>
    <row r="475" spans="1:7">
      <c r="A475" s="35" t="s">
        <v>1768</v>
      </c>
      <c r="B475" s="38" t="s">
        <v>1686</v>
      </c>
      <c r="C475" s="35" t="s">
        <v>1761</v>
      </c>
      <c r="D475" s="35" t="str">
        <f>_xlfn.XLOOKUP(E475,Organograma!G:G,Organograma!H:H,"")</f>
        <v>Mylena Justino da Silva Brito</v>
      </c>
      <c r="E475" s="35" t="s">
        <v>42</v>
      </c>
      <c r="F475" s="36">
        <v>46155</v>
      </c>
      <c r="G475" s="35" t="s">
        <v>1766</v>
      </c>
    </row>
    <row r="476" spans="1:7">
      <c r="A476" s="35" t="s">
        <v>1768</v>
      </c>
      <c r="B476" s="38" t="s">
        <v>1687</v>
      </c>
      <c r="C476" s="35" t="s">
        <v>1761</v>
      </c>
      <c r="D476" s="35" t="str">
        <f>_xlfn.XLOOKUP(E476,Organograma!G:G,Organograma!H:H,"")</f>
        <v>Mylena Justino da Silva Brito</v>
      </c>
      <c r="E476" s="35" t="s">
        <v>42</v>
      </c>
      <c r="F476" s="36">
        <v>46155</v>
      </c>
      <c r="G476" s="35" t="s">
        <v>1766</v>
      </c>
    </row>
    <row r="477" spans="1:7">
      <c r="A477" s="35" t="s">
        <v>1768</v>
      </c>
      <c r="B477" s="38" t="s">
        <v>1688</v>
      </c>
      <c r="C477" s="35" t="s">
        <v>1761</v>
      </c>
      <c r="D477" s="35" t="str">
        <f>_xlfn.XLOOKUP(E477,Organograma!G:G,Organograma!H:H,"")</f>
        <v>Mylena Justino da Silva Brito</v>
      </c>
      <c r="E477" s="35" t="s">
        <v>42</v>
      </c>
      <c r="F477" s="36">
        <v>46155</v>
      </c>
      <c r="G477" s="35" t="s">
        <v>1766</v>
      </c>
    </row>
    <row r="478" spans="1:7">
      <c r="A478" s="35" t="s">
        <v>1768</v>
      </c>
      <c r="B478" s="38" t="s">
        <v>1550</v>
      </c>
      <c r="C478" s="35" t="s">
        <v>1761</v>
      </c>
      <c r="D478" s="35" t="str">
        <f>_xlfn.XLOOKUP(E478,Organograma!G:G,Organograma!H:H,"")</f>
        <v>Mylena Justino da Silva Brito</v>
      </c>
      <c r="E478" s="35" t="s">
        <v>42</v>
      </c>
      <c r="F478" s="36">
        <v>46155</v>
      </c>
      <c r="G478" s="35" t="s">
        <v>1766</v>
      </c>
    </row>
    <row r="479" spans="1:7">
      <c r="A479" s="35" t="s">
        <v>1768</v>
      </c>
      <c r="B479" s="38" t="s">
        <v>1689</v>
      </c>
      <c r="C479" s="35" t="s">
        <v>1761</v>
      </c>
      <c r="D479" s="35" t="str">
        <f>_xlfn.XLOOKUP(E479,Organograma!G:G,Organograma!H:H,"")</f>
        <v>Mylena Justino da Silva Brito</v>
      </c>
      <c r="E479" s="35" t="s">
        <v>42</v>
      </c>
      <c r="F479" s="36">
        <v>46155</v>
      </c>
      <c r="G479" s="35" t="s">
        <v>1766</v>
      </c>
    </row>
    <row r="480" spans="1:7">
      <c r="A480" s="35" t="s">
        <v>1768</v>
      </c>
      <c r="B480" s="38" t="s">
        <v>1472</v>
      </c>
      <c r="C480" s="35" t="s">
        <v>1761</v>
      </c>
      <c r="D480" s="35" t="str">
        <f>_xlfn.XLOOKUP(E480,Organograma!G:G,Organograma!H:H,"")</f>
        <v>Mylena Justino da Silva Brito</v>
      </c>
      <c r="E480" s="35" t="s">
        <v>42</v>
      </c>
      <c r="F480" s="36">
        <v>46155</v>
      </c>
      <c r="G480" s="35" t="s">
        <v>1766</v>
      </c>
    </row>
    <row r="481" spans="1:7">
      <c r="A481" s="35" t="s">
        <v>1768</v>
      </c>
      <c r="B481" s="38" t="s">
        <v>1516</v>
      </c>
      <c r="C481" s="35" t="s">
        <v>1761</v>
      </c>
      <c r="D481" s="35" t="str">
        <f>_xlfn.XLOOKUP(E481,Organograma!G:G,Organograma!H:H,"")</f>
        <v>Mylena Justino da Silva Brito</v>
      </c>
      <c r="E481" s="35" t="s">
        <v>42</v>
      </c>
      <c r="F481" s="36">
        <v>46155</v>
      </c>
      <c r="G481" s="35" t="s">
        <v>1766</v>
      </c>
    </row>
    <row r="482" spans="1:7">
      <c r="A482" s="35" t="s">
        <v>1768</v>
      </c>
      <c r="B482" s="38" t="s">
        <v>1523</v>
      </c>
      <c r="C482" s="35" t="s">
        <v>1761</v>
      </c>
      <c r="D482" s="35" t="str">
        <f>_xlfn.XLOOKUP(E482,Organograma!G:G,Organograma!H:H,"")</f>
        <v>Mylena Justino da Silva Brito</v>
      </c>
      <c r="E482" s="35" t="s">
        <v>42</v>
      </c>
      <c r="F482" s="36">
        <v>46155</v>
      </c>
      <c r="G482" s="35" t="s">
        <v>1766</v>
      </c>
    </row>
    <row r="483" spans="1:7">
      <c r="A483" s="35" t="s">
        <v>1768</v>
      </c>
      <c r="B483" s="38" t="s">
        <v>1520</v>
      </c>
      <c r="C483" s="35" t="s">
        <v>1761</v>
      </c>
      <c r="D483" s="35" t="str">
        <f>_xlfn.XLOOKUP(E483,Organograma!G:G,Organograma!H:H,"")</f>
        <v>Mylena Justino da Silva Brito</v>
      </c>
      <c r="E483" s="35" t="s">
        <v>42</v>
      </c>
      <c r="F483" s="36">
        <v>46155</v>
      </c>
      <c r="G483" s="35" t="s">
        <v>1766</v>
      </c>
    </row>
    <row r="484" spans="1:7">
      <c r="A484" s="35" t="s">
        <v>1768</v>
      </c>
      <c r="B484" s="38" t="s">
        <v>1690</v>
      </c>
      <c r="C484" s="35" t="s">
        <v>1761</v>
      </c>
      <c r="D484" s="35" t="str">
        <f>_xlfn.XLOOKUP(E484,Organograma!G:G,Organograma!H:H,"")</f>
        <v>Mylena Justino da Silva Brito</v>
      </c>
      <c r="E484" s="35" t="s">
        <v>42</v>
      </c>
      <c r="F484" s="36">
        <v>46155</v>
      </c>
      <c r="G484" s="35" t="s">
        <v>1766</v>
      </c>
    </row>
    <row r="485" spans="1:7">
      <c r="A485" s="35" t="s">
        <v>1768</v>
      </c>
      <c r="B485" s="38" t="s">
        <v>1691</v>
      </c>
      <c r="C485" s="35" t="s">
        <v>1761</v>
      </c>
      <c r="D485" s="35" t="str">
        <f>_xlfn.XLOOKUP(E485,Organograma!G:G,Organograma!H:H,"")</f>
        <v>Mylena Justino da Silva Brito</v>
      </c>
      <c r="E485" s="35" t="s">
        <v>42</v>
      </c>
      <c r="F485" s="36">
        <v>46155</v>
      </c>
      <c r="G485" s="35" t="s">
        <v>1766</v>
      </c>
    </row>
    <row r="486" spans="1:7">
      <c r="A486" s="35" t="s">
        <v>1768</v>
      </c>
      <c r="B486" s="38" t="s">
        <v>1692</v>
      </c>
      <c r="C486" s="35" t="s">
        <v>1761</v>
      </c>
      <c r="D486" s="35" t="str">
        <f>_xlfn.XLOOKUP(E486,Organograma!G:G,Organograma!H:H,"")</f>
        <v>Mylena Justino da Silva Brito</v>
      </c>
      <c r="E486" s="35" t="s">
        <v>42</v>
      </c>
      <c r="F486" s="36">
        <v>46155</v>
      </c>
      <c r="G486" s="35" t="s">
        <v>1766</v>
      </c>
    </row>
    <row r="487" spans="1:7">
      <c r="A487" s="35" t="s">
        <v>1149</v>
      </c>
      <c r="B487" s="38" t="s">
        <v>1530</v>
      </c>
      <c r="C487" s="35" t="s">
        <v>1422</v>
      </c>
      <c r="D487" s="35" t="str">
        <f>_xlfn.XLOOKUP(E487,Organograma!G:G,Organograma!H:H,"")</f>
        <v>Janaina Bernardes Ayer</v>
      </c>
      <c r="E487" s="35" t="s">
        <v>76</v>
      </c>
      <c r="F487" s="36">
        <v>46155</v>
      </c>
      <c r="G487" s="35" t="s">
        <v>1766</v>
      </c>
    </row>
    <row r="488" spans="1:7">
      <c r="A488" s="35" t="s">
        <v>1768</v>
      </c>
      <c r="B488" s="38" t="s">
        <v>1693</v>
      </c>
      <c r="C488" s="35" t="s">
        <v>1761</v>
      </c>
      <c r="D488" s="35" t="str">
        <f>_xlfn.XLOOKUP(E488,Organograma!G:G,Organograma!H:H,"")</f>
        <v>Mylena Justino da Silva Brito</v>
      </c>
      <c r="E488" s="35" t="s">
        <v>42</v>
      </c>
      <c r="F488" s="36">
        <v>46155</v>
      </c>
      <c r="G488" s="35" t="s">
        <v>1766</v>
      </c>
    </row>
    <row r="489" spans="1:7">
      <c r="A489" s="35" t="s">
        <v>1768</v>
      </c>
      <c r="B489" s="38" t="s">
        <v>1694</v>
      </c>
      <c r="C489" s="35" t="s">
        <v>1761</v>
      </c>
      <c r="D489" s="35" t="str">
        <f>_xlfn.XLOOKUP(E489,Organograma!G:G,Organograma!H:H,"")</f>
        <v>Mylena Justino da Silva Brito</v>
      </c>
      <c r="E489" s="35" t="s">
        <v>42</v>
      </c>
      <c r="F489" s="36">
        <v>46155</v>
      </c>
      <c r="G489" s="35" t="s">
        <v>1766</v>
      </c>
    </row>
    <row r="490" spans="1:7">
      <c r="A490" s="35" t="s">
        <v>1768</v>
      </c>
      <c r="B490" s="38" t="s">
        <v>1695</v>
      </c>
      <c r="C490" s="35" t="s">
        <v>1761</v>
      </c>
      <c r="D490" s="35" t="str">
        <f>_xlfn.XLOOKUP(E490,Organograma!G:G,Organograma!H:H,"")</f>
        <v>Mylena Justino da Silva Brito</v>
      </c>
      <c r="E490" s="35" t="s">
        <v>42</v>
      </c>
      <c r="F490" s="36">
        <v>46155</v>
      </c>
      <c r="G490" s="35" t="s">
        <v>1766</v>
      </c>
    </row>
    <row r="491" spans="1:7">
      <c r="A491" s="35" t="s">
        <v>1768</v>
      </c>
      <c r="B491" s="38" t="s">
        <v>1696</v>
      </c>
      <c r="C491" s="35" t="s">
        <v>1761</v>
      </c>
      <c r="D491" s="35" t="str">
        <f>_xlfn.XLOOKUP(E491,Organograma!G:G,Organograma!H:H,"")</f>
        <v>Mylena Justino da Silva Brito</v>
      </c>
      <c r="E491" s="35" t="s">
        <v>42</v>
      </c>
      <c r="F491" s="36">
        <v>46155</v>
      </c>
      <c r="G491" s="35" t="s">
        <v>1766</v>
      </c>
    </row>
    <row r="492" spans="1:7">
      <c r="A492" s="35" t="s">
        <v>1768</v>
      </c>
      <c r="B492" s="38" t="s">
        <v>1697</v>
      </c>
      <c r="C492" s="35" t="s">
        <v>1761</v>
      </c>
      <c r="D492" s="35" t="str">
        <f>_xlfn.XLOOKUP(E492,Organograma!G:G,Organograma!H:H,"")</f>
        <v>Mylena Justino da Silva Brito</v>
      </c>
      <c r="E492" s="35" t="s">
        <v>42</v>
      </c>
      <c r="F492" s="36">
        <v>46155</v>
      </c>
      <c r="G492" s="35" t="s">
        <v>1766</v>
      </c>
    </row>
    <row r="493" spans="1:7">
      <c r="A493" s="35" t="s">
        <v>1768</v>
      </c>
      <c r="B493" s="38" t="s">
        <v>1698</v>
      </c>
      <c r="C493" s="35" t="s">
        <v>1761</v>
      </c>
      <c r="D493" s="35" t="str">
        <f>_xlfn.XLOOKUP(E493,Organograma!G:G,Organograma!H:H,"")</f>
        <v>Mylena Justino da Silva Brito</v>
      </c>
      <c r="E493" s="35" t="s">
        <v>42</v>
      </c>
      <c r="F493" s="36">
        <v>46155</v>
      </c>
      <c r="G493" s="35" t="s">
        <v>1766</v>
      </c>
    </row>
    <row r="494" spans="1:7">
      <c r="A494" s="35" t="s">
        <v>1768</v>
      </c>
      <c r="B494" s="38" t="s">
        <v>1699</v>
      </c>
      <c r="C494" s="35" t="s">
        <v>1761</v>
      </c>
      <c r="D494" s="35" t="str">
        <f>_xlfn.XLOOKUP(E494,Organograma!G:G,Organograma!H:H,"")</f>
        <v>Mylena Justino da Silva Brito</v>
      </c>
      <c r="E494" s="35" t="s">
        <v>42</v>
      </c>
      <c r="F494" s="36">
        <v>46155</v>
      </c>
      <c r="G494" s="35" t="s">
        <v>1766</v>
      </c>
    </row>
    <row r="495" spans="1:7">
      <c r="A495" s="35" t="s">
        <v>1768</v>
      </c>
      <c r="B495" s="38" t="s">
        <v>1700</v>
      </c>
      <c r="C495" s="35" t="s">
        <v>1761</v>
      </c>
      <c r="D495" s="35" t="str">
        <f>_xlfn.XLOOKUP(E495,Organograma!G:G,Organograma!H:H,"")</f>
        <v>Mylena Justino da Silva Brito</v>
      </c>
      <c r="E495" s="35" t="s">
        <v>42</v>
      </c>
      <c r="F495" s="36">
        <v>46155</v>
      </c>
      <c r="G495" s="35" t="s">
        <v>1766</v>
      </c>
    </row>
    <row r="496" spans="1:7">
      <c r="A496" s="35" t="s">
        <v>1768</v>
      </c>
      <c r="B496" s="38" t="s">
        <v>1701</v>
      </c>
      <c r="C496" s="35" t="s">
        <v>1761</v>
      </c>
      <c r="D496" s="35" t="str">
        <f>_xlfn.XLOOKUP(E496,Organograma!G:G,Organograma!H:H,"")</f>
        <v>Mylena Justino da Silva Brito</v>
      </c>
      <c r="E496" s="35" t="s">
        <v>42</v>
      </c>
      <c r="F496" s="36">
        <v>46155</v>
      </c>
      <c r="G496" s="35" t="s">
        <v>1766</v>
      </c>
    </row>
    <row r="497" spans="1:7">
      <c r="A497" s="35" t="s">
        <v>1768</v>
      </c>
      <c r="B497" s="38" t="s">
        <v>1702</v>
      </c>
      <c r="C497" s="35" t="s">
        <v>1761</v>
      </c>
      <c r="D497" s="35" t="str">
        <f>_xlfn.XLOOKUP(E497,Organograma!G:G,Organograma!H:H,"")</f>
        <v>Mylena Justino da Silva Brito</v>
      </c>
      <c r="E497" s="35" t="s">
        <v>42</v>
      </c>
      <c r="F497" s="36">
        <v>46155</v>
      </c>
      <c r="G497" s="35" t="s">
        <v>1766</v>
      </c>
    </row>
    <row r="498" spans="1:7">
      <c r="A498" s="35" t="s">
        <v>1768</v>
      </c>
      <c r="B498" s="38" t="s">
        <v>1703</v>
      </c>
      <c r="C498" s="35" t="s">
        <v>1761</v>
      </c>
      <c r="D498" s="35" t="str">
        <f>_xlfn.XLOOKUP(E498,Organograma!G:G,Organograma!H:H,"")</f>
        <v>Mylena Justino da Silva Brito</v>
      </c>
      <c r="E498" s="35" t="s">
        <v>42</v>
      </c>
      <c r="F498" s="36">
        <v>46155</v>
      </c>
      <c r="G498" s="35" t="s">
        <v>1766</v>
      </c>
    </row>
    <row r="499" spans="1:7">
      <c r="A499" s="35" t="s">
        <v>1768</v>
      </c>
      <c r="B499" s="38" t="s">
        <v>1704</v>
      </c>
      <c r="C499" s="35" t="s">
        <v>1761</v>
      </c>
      <c r="D499" s="35" t="str">
        <f>_xlfn.XLOOKUP(E499,Organograma!G:G,Organograma!H:H,"")</f>
        <v>Mylena Justino da Silva Brito</v>
      </c>
      <c r="E499" s="35" t="s">
        <v>42</v>
      </c>
      <c r="F499" s="36">
        <v>46155</v>
      </c>
      <c r="G499" s="35" t="s">
        <v>1766</v>
      </c>
    </row>
    <row r="500" spans="1:7">
      <c r="A500" s="35" t="s">
        <v>1768</v>
      </c>
      <c r="B500" s="38" t="s">
        <v>1705</v>
      </c>
      <c r="C500" s="35" t="s">
        <v>1761</v>
      </c>
      <c r="D500" s="35" t="str">
        <f>_xlfn.XLOOKUP(E500,Organograma!G:G,Organograma!H:H,"")</f>
        <v>Mylena Justino da Silva Brito</v>
      </c>
      <c r="E500" s="35" t="s">
        <v>42</v>
      </c>
      <c r="F500" s="36">
        <v>46155</v>
      </c>
      <c r="G500" s="35" t="s">
        <v>1766</v>
      </c>
    </row>
    <row r="501" spans="1:7">
      <c r="A501" s="35" t="s">
        <v>1768</v>
      </c>
      <c r="B501" s="38" t="s">
        <v>1706</v>
      </c>
      <c r="C501" s="35" t="s">
        <v>1761</v>
      </c>
      <c r="D501" s="35" t="str">
        <f>_xlfn.XLOOKUP(E501,Organograma!G:G,Organograma!H:H,"")</f>
        <v>Mylena Justino da Silva Brito</v>
      </c>
      <c r="E501" s="35" t="s">
        <v>42</v>
      </c>
      <c r="F501" s="36">
        <v>46155</v>
      </c>
      <c r="G501" s="35" t="s">
        <v>1766</v>
      </c>
    </row>
    <row r="502" spans="1:7">
      <c r="A502" s="35" t="s">
        <v>1768</v>
      </c>
      <c r="B502" s="38" t="s">
        <v>1707</v>
      </c>
      <c r="C502" s="35" t="s">
        <v>1761</v>
      </c>
      <c r="D502" s="35" t="str">
        <f>_xlfn.XLOOKUP(E502,Organograma!G:G,Organograma!H:H,"")</f>
        <v>Mylena Justino da Silva Brito</v>
      </c>
      <c r="E502" s="35" t="s">
        <v>42</v>
      </c>
      <c r="F502" s="36">
        <v>46155</v>
      </c>
      <c r="G502" s="35" t="s">
        <v>1766</v>
      </c>
    </row>
    <row r="503" spans="1:7">
      <c r="A503" s="35" t="s">
        <v>1768</v>
      </c>
      <c r="B503" s="38" t="s">
        <v>1708</v>
      </c>
      <c r="C503" s="35" t="s">
        <v>1761</v>
      </c>
      <c r="D503" s="35" t="str">
        <f>_xlfn.XLOOKUP(E503,Organograma!G:G,Organograma!H:H,"")</f>
        <v>Mylena Justino da Silva Brito</v>
      </c>
      <c r="E503" s="35" t="s">
        <v>42</v>
      </c>
      <c r="F503" s="36">
        <v>46155</v>
      </c>
      <c r="G503" s="35" t="s">
        <v>1766</v>
      </c>
    </row>
    <row r="504" spans="1:7">
      <c r="A504" s="35" t="s">
        <v>1768</v>
      </c>
      <c r="B504" s="38" t="s">
        <v>1709</v>
      </c>
      <c r="C504" s="35" t="s">
        <v>1761</v>
      </c>
      <c r="D504" s="35" t="str">
        <f>_xlfn.XLOOKUP(E504,Organograma!G:G,Organograma!H:H,"")</f>
        <v>Mylena Justino da Silva Brito</v>
      </c>
      <c r="E504" s="35" t="s">
        <v>42</v>
      </c>
      <c r="F504" s="36">
        <v>46155</v>
      </c>
      <c r="G504" s="35" t="s">
        <v>1766</v>
      </c>
    </row>
    <row r="505" spans="1:7">
      <c r="A505" s="35" t="s">
        <v>1768</v>
      </c>
      <c r="B505" s="38" t="s">
        <v>1710</v>
      </c>
      <c r="C505" s="35" t="s">
        <v>1761</v>
      </c>
      <c r="D505" s="35" t="str">
        <f>_xlfn.XLOOKUP(E505,Organograma!G:G,Organograma!H:H,"")</f>
        <v>Mylena Justino da Silva Brito</v>
      </c>
      <c r="E505" s="35" t="s">
        <v>42</v>
      </c>
      <c r="F505" s="36">
        <v>46155</v>
      </c>
      <c r="G505" s="35" t="s">
        <v>1766</v>
      </c>
    </row>
    <row r="506" spans="1:7">
      <c r="A506" s="35" t="s">
        <v>1768</v>
      </c>
      <c r="B506" s="38" t="s">
        <v>1711</v>
      </c>
      <c r="C506" s="35" t="s">
        <v>1761</v>
      </c>
      <c r="D506" s="35" t="str">
        <f>_xlfn.XLOOKUP(E506,Organograma!G:G,Organograma!H:H,"")</f>
        <v>Mylena Justino da Silva Brito</v>
      </c>
      <c r="E506" s="35" t="s">
        <v>42</v>
      </c>
      <c r="F506" s="36">
        <v>46155</v>
      </c>
      <c r="G506" s="35" t="s">
        <v>1766</v>
      </c>
    </row>
    <row r="507" spans="1:7">
      <c r="A507" s="35" t="s">
        <v>1768</v>
      </c>
      <c r="B507" s="38" t="s">
        <v>1712</v>
      </c>
      <c r="C507" s="35" t="s">
        <v>1761</v>
      </c>
      <c r="D507" s="35" t="str">
        <f>_xlfn.XLOOKUP(E507,Organograma!G:G,Organograma!H:H,"")</f>
        <v>Mylena Justino da Silva Brito</v>
      </c>
      <c r="E507" s="35" t="s">
        <v>42</v>
      </c>
      <c r="F507" s="36">
        <v>46155</v>
      </c>
      <c r="G507" s="35" t="s">
        <v>1766</v>
      </c>
    </row>
    <row r="508" spans="1:7">
      <c r="A508" s="35" t="s">
        <v>1768</v>
      </c>
      <c r="B508" s="38" t="s">
        <v>1713</v>
      </c>
      <c r="C508" s="35" t="s">
        <v>1761</v>
      </c>
      <c r="D508" s="35" t="str">
        <f>_xlfn.XLOOKUP(E508,Organograma!G:G,Organograma!H:H,"")</f>
        <v>Mylena Justino da Silva Brito</v>
      </c>
      <c r="E508" s="35" t="s">
        <v>42</v>
      </c>
      <c r="F508" s="36">
        <v>46155</v>
      </c>
      <c r="G508" s="35" t="s">
        <v>1766</v>
      </c>
    </row>
    <row r="509" spans="1:7">
      <c r="A509" s="35" t="s">
        <v>1768</v>
      </c>
      <c r="B509" s="38" t="s">
        <v>1477</v>
      </c>
      <c r="C509" s="35" t="s">
        <v>1761</v>
      </c>
      <c r="D509" s="35" t="str">
        <f>_xlfn.XLOOKUP(E509,Organograma!G:G,Organograma!H:H,"")</f>
        <v>Mylena Justino da Silva Brito</v>
      </c>
      <c r="E509" s="35" t="s">
        <v>42</v>
      </c>
      <c r="F509" s="36">
        <v>46155</v>
      </c>
      <c r="G509" s="35" t="s">
        <v>1766</v>
      </c>
    </row>
    <row r="510" spans="1:7">
      <c r="A510" s="35" t="s">
        <v>1768</v>
      </c>
      <c r="B510" s="38" t="s">
        <v>1714</v>
      </c>
      <c r="C510" s="35" t="s">
        <v>1761</v>
      </c>
      <c r="D510" s="35" t="str">
        <f>_xlfn.XLOOKUP(E510,Organograma!G:G,Organograma!H:H,"")</f>
        <v>Mylena Justino da Silva Brito</v>
      </c>
      <c r="E510" s="35" t="s">
        <v>42</v>
      </c>
      <c r="F510" s="36">
        <v>46155</v>
      </c>
      <c r="G510" s="35" t="s">
        <v>1766</v>
      </c>
    </row>
    <row r="511" spans="1:7">
      <c r="A511" s="35" t="s">
        <v>1768</v>
      </c>
      <c r="B511" s="38" t="s">
        <v>1715</v>
      </c>
      <c r="C511" s="35" t="s">
        <v>1761</v>
      </c>
      <c r="D511" s="35" t="str">
        <f>_xlfn.XLOOKUP(E511,Organograma!G:G,Organograma!H:H,"")</f>
        <v>Mylena Justino da Silva Brito</v>
      </c>
      <c r="E511" s="35" t="s">
        <v>42</v>
      </c>
      <c r="F511" s="36">
        <v>46155</v>
      </c>
      <c r="G511" s="35" t="s">
        <v>1766</v>
      </c>
    </row>
    <row r="512" spans="1:7">
      <c r="A512" s="35" t="s">
        <v>1768</v>
      </c>
      <c r="B512" s="38" t="s">
        <v>1716</v>
      </c>
      <c r="C512" s="35" t="s">
        <v>1761</v>
      </c>
      <c r="D512" s="35" t="str">
        <f>_xlfn.XLOOKUP(E512,Organograma!G:G,Organograma!H:H,"")</f>
        <v>Mylena Justino da Silva Brito</v>
      </c>
      <c r="E512" s="35" t="s">
        <v>42</v>
      </c>
      <c r="F512" s="36">
        <v>46155</v>
      </c>
      <c r="G512" s="35" t="s">
        <v>1766</v>
      </c>
    </row>
    <row r="513" spans="1:7">
      <c r="A513" s="35" t="s">
        <v>1768</v>
      </c>
      <c r="B513" s="38" t="s">
        <v>1546</v>
      </c>
      <c r="C513" s="35" t="s">
        <v>1761</v>
      </c>
      <c r="D513" s="35" t="str">
        <f>_xlfn.XLOOKUP(E513,Organograma!G:G,Organograma!H:H,"")</f>
        <v>Mylena Justino da Silva Brito</v>
      </c>
      <c r="E513" s="35" t="s">
        <v>42</v>
      </c>
      <c r="F513" s="36">
        <v>46155</v>
      </c>
      <c r="G513" s="35" t="s">
        <v>1766</v>
      </c>
    </row>
    <row r="514" spans="1:7">
      <c r="A514" s="35" t="s">
        <v>1768</v>
      </c>
      <c r="B514" s="38" t="s">
        <v>1717</v>
      </c>
      <c r="C514" s="35" t="s">
        <v>1761</v>
      </c>
      <c r="D514" s="35" t="str">
        <f>_xlfn.XLOOKUP(E514,Organograma!G:G,Organograma!H:H,"")</f>
        <v>Mylena Justino da Silva Brito</v>
      </c>
      <c r="E514" s="35" t="s">
        <v>42</v>
      </c>
      <c r="F514" s="36">
        <v>46155</v>
      </c>
      <c r="G514" s="35" t="s">
        <v>1766</v>
      </c>
    </row>
    <row r="515" spans="1:7">
      <c r="A515" s="35" t="s">
        <v>1768</v>
      </c>
      <c r="B515" s="38" t="s">
        <v>1760</v>
      </c>
      <c r="C515" s="35" t="s">
        <v>1761</v>
      </c>
      <c r="D515" s="35" t="str">
        <f>_xlfn.XLOOKUP(E515,Organograma!G:G,Organograma!H:H,"")</f>
        <v>Mylena Justino da Silva Brito</v>
      </c>
      <c r="E515" s="35" t="s">
        <v>42</v>
      </c>
      <c r="F515" s="36">
        <v>46155</v>
      </c>
      <c r="G515" s="35" t="s">
        <v>1766</v>
      </c>
    </row>
    <row r="516" spans="1:7">
      <c r="A516" s="35" t="s">
        <v>1768</v>
      </c>
      <c r="B516" s="38" t="s">
        <v>1718</v>
      </c>
      <c r="C516" s="35" t="s">
        <v>1761</v>
      </c>
      <c r="D516" s="35" t="str">
        <f>_xlfn.XLOOKUP(E516,Organograma!G:G,Organograma!H:H,"")</f>
        <v>Mylena Justino da Silva Brito</v>
      </c>
      <c r="E516" s="35" t="s">
        <v>42</v>
      </c>
      <c r="F516" s="36">
        <v>46155</v>
      </c>
      <c r="G516" s="35" t="s">
        <v>1766</v>
      </c>
    </row>
    <row r="517" spans="1:7">
      <c r="A517" s="35" t="s">
        <v>1768</v>
      </c>
      <c r="B517" s="38" t="s">
        <v>1503</v>
      </c>
      <c r="C517" s="35" t="s">
        <v>1761</v>
      </c>
      <c r="D517" s="35" t="str">
        <f>_xlfn.XLOOKUP(E517,Organograma!G:G,Organograma!H:H,"")</f>
        <v>Mylena Justino da Silva Brito</v>
      </c>
      <c r="E517" s="35" t="s">
        <v>42</v>
      </c>
      <c r="F517" s="36">
        <v>46155</v>
      </c>
      <c r="G517" s="35" t="s">
        <v>1766</v>
      </c>
    </row>
    <row r="518" spans="1:7">
      <c r="A518" s="35" t="s">
        <v>1768</v>
      </c>
      <c r="B518" s="38" t="s">
        <v>1719</v>
      </c>
      <c r="C518" s="35" t="s">
        <v>1761</v>
      </c>
      <c r="D518" s="35" t="str">
        <f>_xlfn.XLOOKUP(E518,Organograma!G:G,Organograma!H:H,"")</f>
        <v>Mylena Justino da Silva Brito</v>
      </c>
      <c r="E518" s="35" t="s">
        <v>42</v>
      </c>
      <c r="F518" s="36">
        <v>46155</v>
      </c>
      <c r="G518" s="35" t="s">
        <v>1766</v>
      </c>
    </row>
    <row r="519" spans="1:7">
      <c r="A519" s="35" t="s">
        <v>1768</v>
      </c>
      <c r="B519" s="38" t="s">
        <v>1720</v>
      </c>
      <c r="C519" s="35" t="s">
        <v>1761</v>
      </c>
      <c r="D519" s="35" t="str">
        <f>_xlfn.XLOOKUP(E519,Organograma!G:G,Organograma!H:H,"")</f>
        <v>Mylena Justino da Silva Brito</v>
      </c>
      <c r="E519" s="35" t="s">
        <v>42</v>
      </c>
      <c r="F519" s="36">
        <v>46155</v>
      </c>
      <c r="G519" s="35" t="s">
        <v>1766</v>
      </c>
    </row>
    <row r="520" spans="1:7">
      <c r="A520" s="35" t="s">
        <v>1768</v>
      </c>
      <c r="B520" s="38" t="s">
        <v>1721</v>
      </c>
      <c r="C520" s="35" t="s">
        <v>1761</v>
      </c>
      <c r="D520" s="35" t="str">
        <f>_xlfn.XLOOKUP(E520,Organograma!G:G,Organograma!H:H,"")</f>
        <v>Mylena Justino da Silva Brito</v>
      </c>
      <c r="E520" s="35" t="s">
        <v>42</v>
      </c>
      <c r="F520" s="36">
        <v>46155</v>
      </c>
      <c r="G520" s="35" t="s">
        <v>1766</v>
      </c>
    </row>
    <row r="521" spans="1:7">
      <c r="A521" s="35" t="s">
        <v>1768</v>
      </c>
      <c r="B521" s="38" t="s">
        <v>1533</v>
      </c>
      <c r="C521" s="35" t="s">
        <v>1761</v>
      </c>
      <c r="D521" s="35" t="str">
        <f>_xlfn.XLOOKUP(E521,Organograma!G:G,Organograma!H:H,"")</f>
        <v>Mylena Justino da Silva Brito</v>
      </c>
      <c r="E521" s="35" t="s">
        <v>42</v>
      </c>
      <c r="F521" s="36">
        <v>46155</v>
      </c>
      <c r="G521" s="35" t="s">
        <v>1766</v>
      </c>
    </row>
    <row r="522" spans="1:7">
      <c r="A522" s="35" t="s">
        <v>1768</v>
      </c>
      <c r="B522" s="38" t="s">
        <v>1536</v>
      </c>
      <c r="C522" s="35" t="s">
        <v>1761</v>
      </c>
      <c r="D522" s="35" t="str">
        <f>_xlfn.XLOOKUP(E522,Organograma!G:G,Organograma!H:H,"")</f>
        <v>Mylena Justino da Silva Brito</v>
      </c>
      <c r="E522" s="35" t="s">
        <v>42</v>
      </c>
      <c r="F522" s="36">
        <v>46155</v>
      </c>
      <c r="G522" s="35" t="s">
        <v>1766</v>
      </c>
    </row>
    <row r="523" spans="1:7">
      <c r="A523" s="35" t="s">
        <v>1768</v>
      </c>
      <c r="B523" s="38" t="s">
        <v>1552</v>
      </c>
      <c r="C523" s="35" t="s">
        <v>1761</v>
      </c>
      <c r="D523" s="35" t="str">
        <f>_xlfn.XLOOKUP(E523,Organograma!G:G,Organograma!H:H,"")</f>
        <v>Mylena Justino da Silva Brito</v>
      </c>
      <c r="E523" s="35" t="s">
        <v>42</v>
      </c>
      <c r="F523" s="36">
        <v>46155</v>
      </c>
      <c r="G523" s="35" t="s">
        <v>1766</v>
      </c>
    </row>
    <row r="524" spans="1:7">
      <c r="A524" s="35" t="s">
        <v>1768</v>
      </c>
      <c r="B524" s="38" t="s">
        <v>1722</v>
      </c>
      <c r="C524" s="35" t="s">
        <v>1761</v>
      </c>
      <c r="D524" s="35" t="str">
        <f>_xlfn.XLOOKUP(E524,Organograma!G:G,Organograma!H:H,"")</f>
        <v>Mylena Justino da Silva Brito</v>
      </c>
      <c r="E524" s="35" t="s">
        <v>42</v>
      </c>
      <c r="F524" s="36">
        <v>46155</v>
      </c>
      <c r="G524" s="35" t="s">
        <v>1766</v>
      </c>
    </row>
    <row r="525" spans="1:7">
      <c r="A525" s="35" t="s">
        <v>1149</v>
      </c>
      <c r="B525" s="38" t="s">
        <v>1484</v>
      </c>
      <c r="C525" s="35" t="s">
        <v>1422</v>
      </c>
      <c r="D525" s="35" t="str">
        <f>_xlfn.XLOOKUP(E525,Organograma!G:G,Organograma!H:H,"")</f>
        <v>Janaina Bernardes Ayer</v>
      </c>
      <c r="E525" s="35" t="s">
        <v>193</v>
      </c>
      <c r="F525" s="36">
        <v>46155</v>
      </c>
      <c r="G525" s="35" t="s">
        <v>1766</v>
      </c>
    </row>
    <row r="526" spans="1:7">
      <c r="A526" s="35" t="s">
        <v>1768</v>
      </c>
      <c r="B526" s="38" t="s">
        <v>1723</v>
      </c>
      <c r="C526" s="35" t="s">
        <v>1761</v>
      </c>
      <c r="D526" s="35" t="str">
        <f>_xlfn.XLOOKUP(E526,Organograma!G:G,Organograma!H:H,"")</f>
        <v>Mylena Justino da Silva Brito</v>
      </c>
      <c r="E526" s="35" t="s">
        <v>42</v>
      </c>
      <c r="F526" s="36">
        <v>46155</v>
      </c>
      <c r="G526" s="35" t="s">
        <v>1766</v>
      </c>
    </row>
    <row r="527" spans="1:7">
      <c r="A527" s="35" t="s">
        <v>1768</v>
      </c>
      <c r="B527" s="38" t="s">
        <v>1538</v>
      </c>
      <c r="C527" s="35" t="s">
        <v>1761</v>
      </c>
      <c r="D527" s="35" t="str">
        <f>_xlfn.XLOOKUP(E527,Organograma!G:G,Organograma!H:H,"")</f>
        <v>Mylena Justino da Silva Brito</v>
      </c>
      <c r="E527" s="35" t="s">
        <v>42</v>
      </c>
      <c r="F527" s="36">
        <v>46155</v>
      </c>
      <c r="G527" s="35" t="s">
        <v>1766</v>
      </c>
    </row>
    <row r="528" spans="1:7">
      <c r="A528" s="35" t="s">
        <v>1768</v>
      </c>
      <c r="B528" s="38" t="s">
        <v>1507</v>
      </c>
      <c r="C528" s="35" t="s">
        <v>1761</v>
      </c>
      <c r="D528" s="35" t="str">
        <f>_xlfn.XLOOKUP(E528,Organograma!G:G,Organograma!H:H,"")</f>
        <v>Mylena Justino da Silva Brito</v>
      </c>
      <c r="E528" s="35" t="s">
        <v>42</v>
      </c>
      <c r="F528" s="36">
        <v>46155</v>
      </c>
      <c r="G528" s="35" t="s">
        <v>1766</v>
      </c>
    </row>
    <row r="529" spans="1:7">
      <c r="A529" s="35" t="s">
        <v>1768</v>
      </c>
      <c r="B529" s="38" t="s">
        <v>1724</v>
      </c>
      <c r="C529" s="35" t="s">
        <v>1761</v>
      </c>
      <c r="D529" s="35" t="str">
        <f>_xlfn.XLOOKUP(E529,Organograma!G:G,Organograma!H:H,"")</f>
        <v>Mylena Justino da Silva Brito</v>
      </c>
      <c r="E529" s="35" t="s">
        <v>42</v>
      </c>
      <c r="F529" s="36">
        <v>46155</v>
      </c>
      <c r="G529" s="35" t="s">
        <v>1766</v>
      </c>
    </row>
    <row r="530" spans="1:7">
      <c r="A530" s="35" t="s">
        <v>1768</v>
      </c>
      <c r="B530" s="38" t="s">
        <v>1725</v>
      </c>
      <c r="C530" s="35" t="s">
        <v>1761</v>
      </c>
      <c r="D530" s="35" t="str">
        <f>_xlfn.XLOOKUP(E530,Organograma!G:G,Organograma!H:H,"")</f>
        <v>Mylena Justino da Silva Brito</v>
      </c>
      <c r="E530" s="35" t="s">
        <v>42</v>
      </c>
      <c r="F530" s="36">
        <v>46155</v>
      </c>
      <c r="G530" s="35" t="s">
        <v>1766</v>
      </c>
    </row>
    <row r="531" spans="1:7">
      <c r="A531" s="35" t="s">
        <v>1768</v>
      </c>
      <c r="B531" s="38" t="s">
        <v>1563</v>
      </c>
      <c r="C531" s="35" t="s">
        <v>1761</v>
      </c>
      <c r="D531" s="35" t="str">
        <f>_xlfn.XLOOKUP(E531,Organograma!G:G,Organograma!H:H,"")</f>
        <v>Mylena Justino da Silva Brito</v>
      </c>
      <c r="E531" s="35" t="s">
        <v>42</v>
      </c>
      <c r="F531" s="36">
        <v>46155</v>
      </c>
      <c r="G531" s="35" t="s">
        <v>1766</v>
      </c>
    </row>
    <row r="532" spans="1:7">
      <c r="A532" s="35" t="s">
        <v>1768</v>
      </c>
      <c r="B532" s="38" t="s">
        <v>1726</v>
      </c>
      <c r="C532" s="35" t="s">
        <v>1761</v>
      </c>
      <c r="D532" s="35" t="str">
        <f>_xlfn.XLOOKUP(E532,Organograma!G:G,Organograma!H:H,"")</f>
        <v>Mylena Justino da Silva Brito</v>
      </c>
      <c r="E532" s="35" t="s">
        <v>42</v>
      </c>
      <c r="F532" s="36">
        <v>46155</v>
      </c>
      <c r="G532" s="35" t="s">
        <v>1766</v>
      </c>
    </row>
    <row r="533" spans="1:7">
      <c r="A533" s="35" t="s">
        <v>1768</v>
      </c>
      <c r="B533" s="38" t="s">
        <v>1727</v>
      </c>
      <c r="C533" s="35" t="s">
        <v>1761</v>
      </c>
      <c r="D533" s="35" t="str">
        <f>_xlfn.XLOOKUP(E533,Organograma!G:G,Organograma!H:H,"")</f>
        <v>Mylena Justino da Silva Brito</v>
      </c>
      <c r="E533" s="35" t="s">
        <v>42</v>
      </c>
      <c r="F533" s="36">
        <v>46155</v>
      </c>
      <c r="G533" s="35" t="s">
        <v>1766</v>
      </c>
    </row>
    <row r="534" spans="1:7">
      <c r="A534" s="35" t="s">
        <v>1768</v>
      </c>
      <c r="B534" s="38" t="s">
        <v>1556</v>
      </c>
      <c r="C534" s="35" t="s">
        <v>1761</v>
      </c>
      <c r="D534" s="35" t="str">
        <f>_xlfn.XLOOKUP(E534,Organograma!G:G,Organograma!H:H,"")</f>
        <v>Mylena Justino da Silva Brito</v>
      </c>
      <c r="E534" s="35" t="s">
        <v>42</v>
      </c>
      <c r="F534" s="36">
        <v>46155</v>
      </c>
      <c r="G534" s="35" t="s">
        <v>1766</v>
      </c>
    </row>
    <row r="535" spans="1:7">
      <c r="A535" s="35" t="s">
        <v>1768</v>
      </c>
      <c r="B535" s="38" t="s">
        <v>1559</v>
      </c>
      <c r="C535" s="35" t="s">
        <v>1761</v>
      </c>
      <c r="D535" s="35" t="str">
        <f>_xlfn.XLOOKUP(E535,Organograma!G:G,Organograma!H:H,"")</f>
        <v>Mylena Justino da Silva Brito</v>
      </c>
      <c r="E535" s="35" t="s">
        <v>42</v>
      </c>
      <c r="F535" s="36">
        <v>46155</v>
      </c>
      <c r="G535" s="35" t="s">
        <v>1766</v>
      </c>
    </row>
    <row r="536" spans="1:7">
      <c r="A536" s="35" t="s">
        <v>1768</v>
      </c>
      <c r="B536" s="38" t="s">
        <v>1551</v>
      </c>
      <c r="C536" s="35" t="s">
        <v>1761</v>
      </c>
      <c r="D536" s="35" t="str">
        <f>_xlfn.XLOOKUP(E536,Organograma!G:G,Organograma!H:H,"")</f>
        <v>Mylena Justino da Silva Brito</v>
      </c>
      <c r="E536" s="35" t="s">
        <v>42</v>
      </c>
      <c r="F536" s="36">
        <v>46155</v>
      </c>
      <c r="G536" s="35" t="s">
        <v>1766</v>
      </c>
    </row>
    <row r="537" spans="1:7">
      <c r="A537" s="35" t="s">
        <v>1768</v>
      </c>
      <c r="B537" s="38" t="s">
        <v>1728</v>
      </c>
      <c r="C537" s="35" t="s">
        <v>1761</v>
      </c>
      <c r="D537" s="35" t="str">
        <f>_xlfn.XLOOKUP(E537,Organograma!G:G,Organograma!H:H,"")</f>
        <v>Mylena Justino da Silva Brito</v>
      </c>
      <c r="E537" s="35" t="s">
        <v>42</v>
      </c>
      <c r="F537" s="36">
        <v>46155</v>
      </c>
      <c r="G537" s="35" t="s">
        <v>1766</v>
      </c>
    </row>
    <row r="538" spans="1:7">
      <c r="A538" s="35" t="s">
        <v>1768</v>
      </c>
      <c r="B538" s="38" t="s">
        <v>1729</v>
      </c>
      <c r="C538" s="35" t="s">
        <v>1761</v>
      </c>
      <c r="D538" s="35" t="str">
        <f>_xlfn.XLOOKUP(E538,Organograma!G:G,Organograma!H:H,"")</f>
        <v>Mylena Justino da Silva Brito</v>
      </c>
      <c r="E538" s="35" t="s">
        <v>42</v>
      </c>
      <c r="F538" s="36">
        <v>46155</v>
      </c>
      <c r="G538" s="35" t="s">
        <v>1766</v>
      </c>
    </row>
    <row r="539" spans="1:7">
      <c r="A539" s="35" t="s">
        <v>1768</v>
      </c>
      <c r="B539" s="38" t="s">
        <v>1510</v>
      </c>
      <c r="C539" s="35" t="s">
        <v>1761</v>
      </c>
      <c r="D539" s="35" t="str">
        <f>_xlfn.XLOOKUP(E539,Organograma!G:G,Organograma!H:H,"")</f>
        <v>Mylena Justino da Silva Brito</v>
      </c>
      <c r="E539" s="35" t="s">
        <v>42</v>
      </c>
      <c r="F539" s="36">
        <v>46155</v>
      </c>
      <c r="G539" s="35" t="s">
        <v>1766</v>
      </c>
    </row>
    <row r="540" spans="1:7">
      <c r="A540" s="35" t="s">
        <v>1768</v>
      </c>
      <c r="B540" s="38" t="s">
        <v>1730</v>
      </c>
      <c r="C540" s="35" t="s">
        <v>1761</v>
      </c>
      <c r="D540" s="35" t="str">
        <f>_xlfn.XLOOKUP(E540,Organograma!G:G,Organograma!H:H,"")</f>
        <v>Mylena Justino da Silva Brito</v>
      </c>
      <c r="E540" s="35" t="s">
        <v>42</v>
      </c>
      <c r="F540" s="36">
        <v>46155</v>
      </c>
      <c r="G540" s="35" t="s">
        <v>1766</v>
      </c>
    </row>
    <row r="541" spans="1:7">
      <c r="A541" s="35" t="s">
        <v>1768</v>
      </c>
      <c r="B541" s="38" t="s">
        <v>1731</v>
      </c>
      <c r="C541" s="35" t="s">
        <v>1761</v>
      </c>
      <c r="D541" s="35" t="str">
        <f>_xlfn.XLOOKUP(E541,Organograma!G:G,Organograma!H:H,"")</f>
        <v>Mylena Justino da Silva Brito</v>
      </c>
      <c r="E541" s="35" t="s">
        <v>42</v>
      </c>
      <c r="F541" s="36">
        <v>46155</v>
      </c>
      <c r="G541" s="35" t="s">
        <v>1766</v>
      </c>
    </row>
    <row r="542" spans="1:7">
      <c r="A542" s="35" t="s">
        <v>1768</v>
      </c>
      <c r="B542" s="38" t="s">
        <v>1732</v>
      </c>
      <c r="C542" s="35" t="s">
        <v>1761</v>
      </c>
      <c r="D542" s="35" t="str">
        <f>_xlfn.XLOOKUP(E542,Organograma!G:G,Organograma!H:H,"")</f>
        <v>Mylena Justino da Silva Brito</v>
      </c>
      <c r="E542" s="35" t="s">
        <v>42</v>
      </c>
      <c r="F542" s="36">
        <v>46155</v>
      </c>
      <c r="G542" s="35" t="s">
        <v>1766</v>
      </c>
    </row>
    <row r="543" spans="1:7">
      <c r="A543" s="35" t="s">
        <v>1768</v>
      </c>
      <c r="B543" s="38" t="s">
        <v>1733</v>
      </c>
      <c r="C543" s="35" t="s">
        <v>1761</v>
      </c>
      <c r="D543" s="35" t="str">
        <f>_xlfn.XLOOKUP(E543,Organograma!G:G,Organograma!H:H,"")</f>
        <v>Mylena Justino da Silva Brito</v>
      </c>
      <c r="E543" s="35" t="s">
        <v>42</v>
      </c>
      <c r="F543" s="36">
        <v>46155</v>
      </c>
      <c r="G543" s="35" t="s">
        <v>1766</v>
      </c>
    </row>
    <row r="544" spans="1:7">
      <c r="A544" s="35" t="s">
        <v>1768</v>
      </c>
      <c r="B544" s="38" t="s">
        <v>1488</v>
      </c>
      <c r="C544" s="35" t="s">
        <v>1761</v>
      </c>
      <c r="D544" s="35" t="str">
        <f>_xlfn.XLOOKUP(E544,Organograma!G:G,Organograma!H:H,"")</f>
        <v>Mylena Justino da Silva Brito</v>
      </c>
      <c r="E544" s="35" t="s">
        <v>42</v>
      </c>
      <c r="F544" s="36">
        <v>46155</v>
      </c>
      <c r="G544" s="35" t="s">
        <v>1766</v>
      </c>
    </row>
    <row r="545" spans="1:7">
      <c r="A545" s="35" t="s">
        <v>1149</v>
      </c>
      <c r="B545" s="38" t="s">
        <v>1734</v>
      </c>
      <c r="C545" s="35" t="s">
        <v>1422</v>
      </c>
      <c r="D545" s="35" t="str">
        <f>_xlfn.XLOOKUP(E545,Organograma!G:G,Organograma!H:H,"")</f>
        <v>Janaina Bernardes Ayer</v>
      </c>
      <c r="E545" s="35" t="s">
        <v>77</v>
      </c>
      <c r="F545" s="36">
        <v>46155</v>
      </c>
      <c r="G545" s="35" t="s">
        <v>1766</v>
      </c>
    </row>
    <row r="546" spans="1:7">
      <c r="A546" s="35" t="s">
        <v>1768</v>
      </c>
      <c r="B546" s="38" t="s">
        <v>1735</v>
      </c>
      <c r="C546" s="35" t="s">
        <v>1761</v>
      </c>
      <c r="D546" s="35" t="str">
        <f>_xlfn.XLOOKUP(E546,Organograma!G:G,Organograma!H:H,"")</f>
        <v>Mylena Justino da Silva Brito</v>
      </c>
      <c r="E546" s="35" t="s">
        <v>42</v>
      </c>
      <c r="F546" s="36">
        <v>46155</v>
      </c>
      <c r="G546" s="35" t="s">
        <v>1766</v>
      </c>
    </row>
    <row r="547" spans="1:7">
      <c r="A547" s="35" t="s">
        <v>1768</v>
      </c>
      <c r="B547" s="38" t="s">
        <v>1736</v>
      </c>
      <c r="C547" s="35" t="s">
        <v>1761</v>
      </c>
      <c r="D547" s="35" t="str">
        <f>_xlfn.XLOOKUP(E547,Organograma!G:G,Organograma!H:H,"")</f>
        <v>Mylena Justino da Silva Brito</v>
      </c>
      <c r="E547" s="35" t="s">
        <v>42</v>
      </c>
      <c r="F547" s="36">
        <v>46155</v>
      </c>
      <c r="G547" s="35" t="s">
        <v>1766</v>
      </c>
    </row>
    <row r="548" spans="1:7">
      <c r="A548" s="35" t="s">
        <v>1768</v>
      </c>
      <c r="B548" s="38" t="s">
        <v>1737</v>
      </c>
      <c r="C548" s="35" t="s">
        <v>1761</v>
      </c>
      <c r="D548" s="35" t="str">
        <f>_xlfn.XLOOKUP(E548,Organograma!G:G,Organograma!H:H,"")</f>
        <v>Mylena Justino da Silva Brito</v>
      </c>
      <c r="E548" s="35" t="s">
        <v>42</v>
      </c>
      <c r="F548" s="36">
        <v>46155</v>
      </c>
      <c r="G548" s="35" t="s">
        <v>1766</v>
      </c>
    </row>
    <row r="549" spans="1:7">
      <c r="A549" s="35" t="s">
        <v>1768</v>
      </c>
      <c r="B549" s="38" t="s">
        <v>1548</v>
      </c>
      <c r="C549" s="35" t="s">
        <v>1761</v>
      </c>
      <c r="D549" s="35" t="str">
        <f>_xlfn.XLOOKUP(E549,Organograma!G:G,Organograma!H:H,"")</f>
        <v>Mylena Justino da Silva Brito</v>
      </c>
      <c r="E549" s="35" t="s">
        <v>42</v>
      </c>
      <c r="F549" s="36">
        <v>46155</v>
      </c>
      <c r="G549" s="35" t="s">
        <v>1766</v>
      </c>
    </row>
    <row r="550" spans="1:7">
      <c r="A550" s="35" t="s">
        <v>1768</v>
      </c>
      <c r="B550" s="38" t="s">
        <v>1738</v>
      </c>
      <c r="C550" s="35" t="s">
        <v>1761</v>
      </c>
      <c r="D550" s="35" t="str">
        <f>_xlfn.XLOOKUP(E550,Organograma!G:G,Organograma!H:H,"")</f>
        <v>Mylena Justino da Silva Brito</v>
      </c>
      <c r="E550" s="35" t="s">
        <v>42</v>
      </c>
      <c r="F550" s="36">
        <v>46155</v>
      </c>
      <c r="G550" s="35" t="s">
        <v>1766</v>
      </c>
    </row>
    <row r="551" spans="1:7">
      <c r="A551" s="35" t="s">
        <v>1768</v>
      </c>
      <c r="B551" s="38" t="s">
        <v>1739</v>
      </c>
      <c r="C551" s="35" t="s">
        <v>1761</v>
      </c>
      <c r="D551" s="35" t="str">
        <f>_xlfn.XLOOKUP(E551,Organograma!G:G,Organograma!H:H,"")</f>
        <v>Mylena Justino da Silva Brito</v>
      </c>
      <c r="E551" s="35" t="s">
        <v>42</v>
      </c>
      <c r="F551" s="36">
        <v>46155</v>
      </c>
      <c r="G551" s="35" t="s">
        <v>1766</v>
      </c>
    </row>
    <row r="552" spans="1:7">
      <c r="A552" s="35" t="s">
        <v>1768</v>
      </c>
      <c r="B552" s="38" t="s">
        <v>1740</v>
      </c>
      <c r="C552" s="35" t="s">
        <v>1761</v>
      </c>
      <c r="D552" s="35" t="str">
        <f>_xlfn.XLOOKUP(E552,Organograma!G:G,Organograma!H:H,"")</f>
        <v>Mylena Justino da Silva Brito</v>
      </c>
      <c r="E552" s="35" t="s">
        <v>42</v>
      </c>
      <c r="F552" s="36">
        <v>46155</v>
      </c>
      <c r="G552" s="35" t="s">
        <v>1766</v>
      </c>
    </row>
    <row r="553" spans="1:7">
      <c r="A553" s="35" t="s">
        <v>1768</v>
      </c>
      <c r="B553" s="38" t="s">
        <v>1508</v>
      </c>
      <c r="C553" s="35" t="s">
        <v>1761</v>
      </c>
      <c r="D553" s="35" t="str">
        <f>_xlfn.XLOOKUP(E553,Organograma!G:G,Organograma!H:H,"")</f>
        <v>Mylena Justino da Silva Brito</v>
      </c>
      <c r="E553" s="35" t="s">
        <v>42</v>
      </c>
      <c r="F553" s="36">
        <v>46155</v>
      </c>
      <c r="G553" s="35" t="s">
        <v>1766</v>
      </c>
    </row>
    <row r="554" spans="1:7">
      <c r="A554" s="35" t="s">
        <v>1768</v>
      </c>
      <c r="B554" s="38" t="s">
        <v>1485</v>
      </c>
      <c r="C554" s="35" t="s">
        <v>1761</v>
      </c>
      <c r="D554" s="35" t="str">
        <f>_xlfn.XLOOKUP(E554,Organograma!G:G,Organograma!H:H,"")</f>
        <v>Janaina Bernardes Ayer</v>
      </c>
      <c r="E554" s="35" t="s">
        <v>193</v>
      </c>
      <c r="F554" s="36">
        <v>46155</v>
      </c>
      <c r="G554" s="35" t="s">
        <v>1766</v>
      </c>
    </row>
    <row r="555" spans="1:7">
      <c r="A555" s="35" t="s">
        <v>1768</v>
      </c>
      <c r="B555" s="38" t="s">
        <v>1479</v>
      </c>
      <c r="C555" s="35" t="s">
        <v>1761</v>
      </c>
      <c r="D555" s="35" t="str">
        <f>_xlfn.XLOOKUP(E555,Organograma!G:G,Organograma!H:H,"")</f>
        <v>Mylena Justino da Silva Brito</v>
      </c>
      <c r="E555" s="35" t="s">
        <v>42</v>
      </c>
      <c r="F555" s="36">
        <v>46155</v>
      </c>
      <c r="G555" s="35" t="s">
        <v>1766</v>
      </c>
    </row>
    <row r="556" spans="1:7">
      <c r="A556" s="35" t="s">
        <v>1768</v>
      </c>
      <c r="B556" s="38" t="s">
        <v>1741</v>
      </c>
      <c r="C556" s="35" t="s">
        <v>1761</v>
      </c>
      <c r="D556" s="35" t="str">
        <f>_xlfn.XLOOKUP(E556,Organograma!G:G,Organograma!H:H,"")</f>
        <v>Mylena Justino da Silva Brito</v>
      </c>
      <c r="E556" s="35" t="s">
        <v>42</v>
      </c>
      <c r="F556" s="36">
        <v>46155</v>
      </c>
      <c r="G556" s="35" t="s">
        <v>1766</v>
      </c>
    </row>
    <row r="557" spans="1:7">
      <c r="A557" s="35" t="s">
        <v>1768</v>
      </c>
      <c r="B557" s="38" t="s">
        <v>1742</v>
      </c>
      <c r="C557" s="35" t="s">
        <v>1761</v>
      </c>
      <c r="D557" s="35" t="str">
        <f>_xlfn.XLOOKUP(E557,Organograma!G:G,Organograma!H:H,"")</f>
        <v>Mylena Justino da Silva Brito</v>
      </c>
      <c r="E557" s="35" t="s">
        <v>42</v>
      </c>
      <c r="F557" s="36">
        <v>46155</v>
      </c>
      <c r="G557" s="35" t="s">
        <v>1766</v>
      </c>
    </row>
    <row r="558" spans="1:7">
      <c r="A558" s="35" t="s">
        <v>1768</v>
      </c>
      <c r="B558" s="38" t="s">
        <v>1743</v>
      </c>
      <c r="C558" s="35" t="s">
        <v>1761</v>
      </c>
      <c r="D558" s="35" t="str">
        <f>_xlfn.XLOOKUP(E558,Organograma!G:G,Organograma!H:H,"")</f>
        <v>Mylena Justino da Silva Brito</v>
      </c>
      <c r="E558" s="35" t="s">
        <v>42</v>
      </c>
      <c r="F558" s="36">
        <v>46155</v>
      </c>
      <c r="G558" s="35" t="s">
        <v>1766</v>
      </c>
    </row>
    <row r="559" spans="1:7">
      <c r="A559" s="35" t="s">
        <v>1768</v>
      </c>
      <c r="B559" s="38" t="s">
        <v>1744</v>
      </c>
      <c r="C559" s="35" t="s">
        <v>1761</v>
      </c>
      <c r="D559" s="35" t="str">
        <f>_xlfn.XLOOKUP(E559,Organograma!G:G,Organograma!H:H,"")</f>
        <v>Mylena Justino da Silva Brito</v>
      </c>
      <c r="E559" s="35" t="s">
        <v>42</v>
      </c>
      <c r="F559" s="36">
        <v>46155</v>
      </c>
      <c r="G559" s="35" t="s">
        <v>1766</v>
      </c>
    </row>
    <row r="560" spans="1:7">
      <c r="A560" s="35" t="s">
        <v>1149</v>
      </c>
      <c r="B560" s="38" t="s">
        <v>1483</v>
      </c>
      <c r="C560" s="35" t="s">
        <v>1422</v>
      </c>
      <c r="D560" s="35" t="str">
        <f>_xlfn.XLOOKUP(E560,Organograma!G:G,Organograma!H:H,"")</f>
        <v>Janaina Bernardes Ayer</v>
      </c>
      <c r="E560" s="35" t="s">
        <v>193</v>
      </c>
      <c r="F560" s="36">
        <v>46155</v>
      </c>
      <c r="G560" s="35" t="s">
        <v>1766</v>
      </c>
    </row>
    <row r="561" spans="1:7">
      <c r="A561" s="35" t="s">
        <v>1768</v>
      </c>
      <c r="B561" s="38" t="s">
        <v>1505</v>
      </c>
      <c r="C561" s="35" t="s">
        <v>1761</v>
      </c>
      <c r="D561" s="35" t="str">
        <f>_xlfn.XLOOKUP(E561,Organograma!G:G,Organograma!H:H,"")</f>
        <v>Mylena Justino da Silva Brito</v>
      </c>
      <c r="E561" s="35" t="s">
        <v>42</v>
      </c>
      <c r="F561" s="36">
        <v>46155</v>
      </c>
      <c r="G561" s="35" t="s">
        <v>1766</v>
      </c>
    </row>
    <row r="562" spans="1:7">
      <c r="A562" s="35" t="s">
        <v>1768</v>
      </c>
      <c r="B562" s="38" t="s">
        <v>1506</v>
      </c>
      <c r="C562" s="35" t="s">
        <v>1761</v>
      </c>
      <c r="D562" s="35" t="str">
        <f>_xlfn.XLOOKUP(E562,Organograma!G:G,Organograma!H:H,"")</f>
        <v>Mylena Justino da Silva Brito</v>
      </c>
      <c r="E562" s="35" t="s">
        <v>42</v>
      </c>
      <c r="F562" s="36">
        <v>46155</v>
      </c>
      <c r="G562" s="35" t="s">
        <v>1766</v>
      </c>
    </row>
    <row r="563" spans="1:7">
      <c r="A563" s="35" t="s">
        <v>1768</v>
      </c>
      <c r="B563" s="38" t="s">
        <v>1511</v>
      </c>
      <c r="C563" s="35" t="s">
        <v>1761</v>
      </c>
      <c r="D563" s="35" t="str">
        <f>_xlfn.XLOOKUP(E563,Organograma!G:G,Organograma!H:H,"")</f>
        <v>Mylena Justino da Silva Brito</v>
      </c>
      <c r="E563" s="35" t="s">
        <v>42</v>
      </c>
      <c r="F563" s="36">
        <v>46155</v>
      </c>
      <c r="G563" s="35" t="s">
        <v>1766</v>
      </c>
    </row>
    <row r="564" spans="1:7">
      <c r="A564" s="35" t="s">
        <v>1149</v>
      </c>
      <c r="B564" s="38" t="s">
        <v>1497</v>
      </c>
      <c r="C564" s="35" t="s">
        <v>1422</v>
      </c>
      <c r="D564" s="35" t="str">
        <f>_xlfn.XLOOKUP(E564,Organograma!G:G,Organograma!H:H,"")</f>
        <v>Janaina Bernardes Ayer</v>
      </c>
      <c r="E564" s="35" t="s">
        <v>78</v>
      </c>
      <c r="F564" s="36">
        <v>46155</v>
      </c>
      <c r="G564" s="35" t="s">
        <v>1766</v>
      </c>
    </row>
    <row r="565" spans="1:7">
      <c r="A565" s="35" t="s">
        <v>1149</v>
      </c>
      <c r="B565" s="38" t="s">
        <v>1498</v>
      </c>
      <c r="C565" s="35" t="s">
        <v>1422</v>
      </c>
      <c r="D565" s="35" t="str">
        <f>_xlfn.XLOOKUP(E565,Organograma!G:G,Organograma!H:H,"")</f>
        <v>Janaina Bernardes Ayer</v>
      </c>
      <c r="E565" s="35" t="s">
        <v>78</v>
      </c>
      <c r="F565" s="36">
        <v>46155</v>
      </c>
      <c r="G565" s="35" t="s">
        <v>1766</v>
      </c>
    </row>
    <row r="566" spans="1:7">
      <c r="A566" s="35" t="s">
        <v>1768</v>
      </c>
      <c r="B566" s="38" t="s">
        <v>1746</v>
      </c>
      <c r="C566" s="35" t="s">
        <v>1761</v>
      </c>
      <c r="D566" s="35" t="str">
        <f>_xlfn.XLOOKUP(E566,Organograma!G:G,Organograma!H:H,"")</f>
        <v>Mylena Justino da Silva Brito</v>
      </c>
      <c r="E566" s="35" t="s">
        <v>42</v>
      </c>
      <c r="F566" s="36">
        <v>46155</v>
      </c>
      <c r="G566" s="35" t="s">
        <v>1766</v>
      </c>
    </row>
    <row r="567" spans="1:7">
      <c r="A567" s="35" t="s">
        <v>1768</v>
      </c>
      <c r="B567" s="38" t="s">
        <v>1745</v>
      </c>
      <c r="C567" s="35" t="s">
        <v>1761</v>
      </c>
      <c r="D567" s="35" t="str">
        <f>_xlfn.XLOOKUP(E567,Organograma!G:G,Organograma!H:H,"")</f>
        <v>Mylena Justino da Silva Brito</v>
      </c>
      <c r="E567" s="35" t="s">
        <v>42</v>
      </c>
      <c r="F567" s="36">
        <v>46155</v>
      </c>
      <c r="G567" s="35" t="s">
        <v>1766</v>
      </c>
    </row>
    <row r="568" spans="1:7">
      <c r="A568" s="35" t="s">
        <v>1768</v>
      </c>
      <c r="B568" s="38" t="s">
        <v>1747</v>
      </c>
      <c r="C568" s="35" t="s">
        <v>1761</v>
      </c>
      <c r="D568" s="35" t="str">
        <f>_xlfn.XLOOKUP(E568,Organograma!G:G,Organograma!H:H,"")</f>
        <v>Mylena Justino da Silva Brito</v>
      </c>
      <c r="E568" s="35" t="s">
        <v>42</v>
      </c>
      <c r="F568" s="36">
        <v>46155</v>
      </c>
      <c r="G568" s="35" t="s">
        <v>1766</v>
      </c>
    </row>
    <row r="569" spans="1:7">
      <c r="A569" s="35" t="s">
        <v>1149</v>
      </c>
      <c r="B569" s="38" t="s">
        <v>1524</v>
      </c>
      <c r="C569" s="35" t="s">
        <v>1422</v>
      </c>
      <c r="D569" s="35" t="str">
        <f>_xlfn.XLOOKUP(E569,Organograma!G:G,Organograma!H:H,"")</f>
        <v>Janaina Bernardes Ayer</v>
      </c>
      <c r="E569" s="35" t="s">
        <v>193</v>
      </c>
      <c r="F569" s="36">
        <v>46155</v>
      </c>
      <c r="G569" s="35" t="s">
        <v>1766</v>
      </c>
    </row>
    <row r="570" spans="1:7">
      <c r="A570" s="35" t="s">
        <v>1768</v>
      </c>
      <c r="B570" s="38" t="s">
        <v>1748</v>
      </c>
      <c r="C570" s="35" t="s">
        <v>1761</v>
      </c>
      <c r="D570" s="35" t="str">
        <f>_xlfn.XLOOKUP(E570,Organograma!G:G,Organograma!H:H,"")</f>
        <v>Mylena Justino da Silva Brito</v>
      </c>
      <c r="E570" s="35" t="s">
        <v>42</v>
      </c>
      <c r="F570" s="36">
        <v>46155</v>
      </c>
      <c r="G570" s="35" t="s">
        <v>1766</v>
      </c>
    </row>
    <row r="571" spans="1:7">
      <c r="A571" s="35" t="s">
        <v>1768</v>
      </c>
      <c r="B571" s="38" t="s">
        <v>1545</v>
      </c>
      <c r="C571" s="35" t="s">
        <v>1761</v>
      </c>
      <c r="D571" s="35" t="str">
        <f>_xlfn.XLOOKUP(E571,Organograma!G:G,Organograma!H:H,"")</f>
        <v>Mylena Justino da Silva Brito</v>
      </c>
      <c r="E571" s="35" t="s">
        <v>42</v>
      </c>
      <c r="F571" s="36">
        <v>46155</v>
      </c>
      <c r="G571" s="35" t="s">
        <v>1766</v>
      </c>
    </row>
    <row r="572" spans="1:7">
      <c r="A572" s="35" t="s">
        <v>1768</v>
      </c>
      <c r="B572" s="38" t="s">
        <v>1749</v>
      </c>
      <c r="C572" s="35" t="s">
        <v>1761</v>
      </c>
      <c r="D572" s="35" t="str">
        <f>_xlfn.XLOOKUP(E572,Organograma!G:G,Organograma!H:H,"")</f>
        <v>Mylena Justino da Silva Brito</v>
      </c>
      <c r="E572" s="35" t="s">
        <v>42</v>
      </c>
      <c r="F572" s="36">
        <v>46155</v>
      </c>
      <c r="G572" s="35" t="s">
        <v>1766</v>
      </c>
    </row>
    <row r="573" spans="1:7">
      <c r="A573" s="35" t="s">
        <v>1768</v>
      </c>
      <c r="B573" s="38" t="s">
        <v>1750</v>
      </c>
      <c r="C573" s="35" t="s">
        <v>1761</v>
      </c>
      <c r="D573" s="35" t="str">
        <f>_xlfn.XLOOKUP(E573,Organograma!G:G,Organograma!H:H,"")</f>
        <v>Mylena Justino da Silva Brito</v>
      </c>
      <c r="E573" s="35" t="s">
        <v>42</v>
      </c>
      <c r="F573" s="36">
        <v>46155</v>
      </c>
      <c r="G573" s="35" t="s">
        <v>1766</v>
      </c>
    </row>
    <row r="574" spans="1:7">
      <c r="A574" s="35" t="s">
        <v>1768</v>
      </c>
      <c r="B574" s="38" t="s">
        <v>1561</v>
      </c>
      <c r="C574" s="35" t="s">
        <v>1761</v>
      </c>
      <c r="D574" s="35" t="str">
        <f>_xlfn.XLOOKUP(E574,Organograma!G:G,Organograma!H:H,"")</f>
        <v>Mylena Justino da Silva Brito</v>
      </c>
      <c r="E574" s="35" t="s">
        <v>42</v>
      </c>
      <c r="F574" s="36">
        <v>46155</v>
      </c>
      <c r="G574" s="35" t="s">
        <v>1766</v>
      </c>
    </row>
    <row r="575" spans="1:7">
      <c r="A575" s="35" t="s">
        <v>1768</v>
      </c>
      <c r="B575" s="38" t="s">
        <v>1558</v>
      </c>
      <c r="C575" s="35" t="s">
        <v>1761</v>
      </c>
      <c r="D575" s="35" t="str">
        <f>_xlfn.XLOOKUP(E575,Organograma!G:G,Organograma!H:H,"")</f>
        <v>Mylena Justino da Silva Brito</v>
      </c>
      <c r="E575" s="35" t="s">
        <v>42</v>
      </c>
      <c r="F575" s="36">
        <v>46155</v>
      </c>
      <c r="G575" s="35" t="s">
        <v>1766</v>
      </c>
    </row>
    <row r="576" spans="1:7">
      <c r="A576" s="35" t="s">
        <v>1768</v>
      </c>
      <c r="B576" s="38" t="s">
        <v>1554</v>
      </c>
      <c r="C576" s="35" t="s">
        <v>1761</v>
      </c>
      <c r="D576" s="35" t="str">
        <f>_xlfn.XLOOKUP(E576,Organograma!G:G,Organograma!H:H,"")</f>
        <v>Mylena Justino da Silva Brito</v>
      </c>
      <c r="E576" s="35" t="s">
        <v>42</v>
      </c>
      <c r="F576" s="36">
        <v>46155</v>
      </c>
      <c r="G576" s="35" t="s">
        <v>1766</v>
      </c>
    </row>
    <row r="577" spans="1:7">
      <c r="A577" s="35" t="s">
        <v>1768</v>
      </c>
      <c r="B577" s="38" t="s">
        <v>1751</v>
      </c>
      <c r="C577" s="35" t="s">
        <v>1761</v>
      </c>
      <c r="D577" s="35" t="str">
        <f>_xlfn.XLOOKUP(E577,Organograma!G:G,Organograma!H:H,"")</f>
        <v>Mylena Justino da Silva Brito</v>
      </c>
      <c r="E577" s="35" t="s">
        <v>42</v>
      </c>
      <c r="F577" s="36">
        <v>46155</v>
      </c>
      <c r="G577" s="35" t="s">
        <v>1766</v>
      </c>
    </row>
    <row r="578" spans="1:7">
      <c r="A578" s="35" t="s">
        <v>1149</v>
      </c>
      <c r="B578" s="38" t="s">
        <v>1529</v>
      </c>
      <c r="C578" s="35" t="s">
        <v>1422</v>
      </c>
      <c r="D578" s="35" t="str">
        <f>_xlfn.XLOOKUP(E578,Organograma!G:G,Organograma!H:H,"")</f>
        <v>Janaina Bernardes Ayer</v>
      </c>
      <c r="E578" s="35" t="s">
        <v>76</v>
      </c>
      <c r="F578" s="36">
        <v>46155</v>
      </c>
      <c r="G578" s="35" t="s">
        <v>1766</v>
      </c>
    </row>
    <row r="579" spans="1:7">
      <c r="A579" s="35" t="s">
        <v>1149</v>
      </c>
      <c r="B579" s="38" t="s">
        <v>1527</v>
      </c>
      <c r="C579" s="35" t="s">
        <v>1422</v>
      </c>
      <c r="D579" s="35" t="str">
        <f>_xlfn.XLOOKUP(E579,Organograma!G:G,Organograma!H:H,"")</f>
        <v>Janaina Bernardes Ayer</v>
      </c>
      <c r="E579" s="35" t="s">
        <v>76</v>
      </c>
      <c r="F579" s="36">
        <v>46155</v>
      </c>
      <c r="G579" s="35" t="s">
        <v>1766</v>
      </c>
    </row>
    <row r="580" spans="1:7">
      <c r="A580" s="35" t="s">
        <v>1149</v>
      </c>
      <c r="B580" s="38" t="s">
        <v>1528</v>
      </c>
      <c r="C580" s="35" t="s">
        <v>1422</v>
      </c>
      <c r="D580" s="35" t="str">
        <f>_xlfn.XLOOKUP(E580,Organograma!G:G,Organograma!H:H,"")</f>
        <v>Janaina Bernardes Ayer</v>
      </c>
      <c r="E580" s="35" t="s">
        <v>76</v>
      </c>
      <c r="F580" s="36">
        <v>46155</v>
      </c>
      <c r="G580" s="35" t="s">
        <v>1766</v>
      </c>
    </row>
    <row r="581" spans="1:7">
      <c r="A581" s="35" t="s">
        <v>1768</v>
      </c>
      <c r="B581" s="38" t="s">
        <v>1480</v>
      </c>
      <c r="C581" s="35" t="s">
        <v>1761</v>
      </c>
      <c r="D581" s="35" t="str">
        <f>_xlfn.XLOOKUP(E581,Organograma!G:G,Organograma!H:H,"")</f>
        <v>Mylena Justino da Silva Brito</v>
      </c>
      <c r="E581" s="35" t="s">
        <v>42</v>
      </c>
      <c r="F581" s="36">
        <v>46155</v>
      </c>
      <c r="G581" s="35" t="s">
        <v>1766</v>
      </c>
    </row>
    <row r="582" spans="1:7">
      <c r="A582" s="35" t="s">
        <v>1149</v>
      </c>
      <c r="B582" s="38" t="s">
        <v>1752</v>
      </c>
      <c r="C582" s="35" t="s">
        <v>1422</v>
      </c>
      <c r="D582" s="35" t="str">
        <f>_xlfn.XLOOKUP(E582,Organograma!G:G,Organograma!H:H,"")</f>
        <v>Janaina Bernardes Ayer</v>
      </c>
      <c r="E582" s="35" t="s">
        <v>76</v>
      </c>
      <c r="F582" s="36">
        <v>46155</v>
      </c>
      <c r="G582" s="35" t="s">
        <v>1766</v>
      </c>
    </row>
    <row r="583" spans="1:7">
      <c r="A583" s="35" t="s">
        <v>1768</v>
      </c>
      <c r="B583" s="38" t="s">
        <v>1502</v>
      </c>
      <c r="C583" s="35" t="s">
        <v>1761</v>
      </c>
      <c r="D583" s="35" t="str">
        <f>_xlfn.XLOOKUP(E583,Organograma!G:G,Organograma!H:H,"")</f>
        <v>Mylena Justino da Silva Brito</v>
      </c>
      <c r="E583" s="35" t="s">
        <v>42</v>
      </c>
      <c r="F583" s="36">
        <v>46155</v>
      </c>
      <c r="G583" s="35" t="s">
        <v>1766</v>
      </c>
    </row>
    <row r="584" spans="1:7">
      <c r="A584" s="35" t="s">
        <v>1768</v>
      </c>
      <c r="B584" s="38" t="s">
        <v>1753</v>
      </c>
      <c r="C584" s="35" t="s">
        <v>1761</v>
      </c>
      <c r="D584" s="35" t="str">
        <f>_xlfn.XLOOKUP(E584,Organograma!G:G,Organograma!H:H,"")</f>
        <v>Mylena Justino da Silva Brito</v>
      </c>
      <c r="E584" s="35" t="s">
        <v>42</v>
      </c>
      <c r="F584" s="36">
        <v>46155</v>
      </c>
      <c r="G584" s="35" t="s">
        <v>1766</v>
      </c>
    </row>
    <row r="585" spans="1:7">
      <c r="A585" s="35" t="s">
        <v>1768</v>
      </c>
      <c r="B585" s="38" t="s">
        <v>1490</v>
      </c>
      <c r="C585" s="35" t="s">
        <v>1761</v>
      </c>
      <c r="D585" s="35" t="str">
        <f>_xlfn.XLOOKUP(E585,Organograma!G:G,Organograma!H:H,"")</f>
        <v>Mylena Justino da Silva Brito</v>
      </c>
      <c r="E585" s="35" t="s">
        <v>42</v>
      </c>
      <c r="F585" s="36">
        <v>46155</v>
      </c>
      <c r="G585" s="35" t="s">
        <v>1766</v>
      </c>
    </row>
    <row r="586" spans="1:7">
      <c r="A586" s="35" t="s">
        <v>1768</v>
      </c>
      <c r="B586" s="38" t="s">
        <v>1487</v>
      </c>
      <c r="C586" s="35" t="s">
        <v>1761</v>
      </c>
      <c r="D586" s="35" t="str">
        <f>_xlfn.XLOOKUP(E586,Organograma!G:G,Organograma!H:H,"")</f>
        <v>Mylena Justino da Silva Brito</v>
      </c>
      <c r="E586" s="35" t="s">
        <v>42</v>
      </c>
      <c r="F586" s="36">
        <v>46155</v>
      </c>
      <c r="G586" s="35" t="s">
        <v>1766</v>
      </c>
    </row>
    <row r="587" spans="1:7">
      <c r="A587" s="35" t="s">
        <v>1768</v>
      </c>
      <c r="B587" s="38" t="s">
        <v>1754</v>
      </c>
      <c r="C587" s="35" t="s">
        <v>1761</v>
      </c>
      <c r="D587" s="35" t="str">
        <f>_xlfn.XLOOKUP(E587,Organograma!G:G,Organograma!H:H,"")</f>
        <v>Mylena Justino da Silva Brito</v>
      </c>
      <c r="E587" s="35" t="s">
        <v>42</v>
      </c>
      <c r="F587" s="36">
        <v>46155</v>
      </c>
      <c r="G587" s="35" t="s">
        <v>1766</v>
      </c>
    </row>
    <row r="588" spans="1:7">
      <c r="A588" s="35" t="s">
        <v>1768</v>
      </c>
      <c r="B588" s="38" t="s">
        <v>1755</v>
      </c>
      <c r="C588" s="35" t="s">
        <v>1761</v>
      </c>
      <c r="D588" s="35" t="str">
        <f>_xlfn.XLOOKUP(E588,Organograma!G:G,Organograma!H:H,"")</f>
        <v>Mylena Justino da Silva Brito</v>
      </c>
      <c r="E588" s="35" t="s">
        <v>42</v>
      </c>
      <c r="F588" s="36">
        <v>46155</v>
      </c>
      <c r="G588" s="35" t="s">
        <v>1766</v>
      </c>
    </row>
    <row r="589" spans="1:7">
      <c r="A589" s="35" t="s">
        <v>1768</v>
      </c>
      <c r="B589" s="38" t="s">
        <v>1756</v>
      </c>
      <c r="C589" s="35" t="s">
        <v>1761</v>
      </c>
      <c r="D589" s="35" t="str">
        <f>_xlfn.XLOOKUP(E589,Organograma!G:G,Organograma!H:H,"")</f>
        <v>Mylena Justino da Silva Brito</v>
      </c>
      <c r="E589" s="35" t="s">
        <v>42</v>
      </c>
      <c r="F589" s="36">
        <v>46155</v>
      </c>
      <c r="G589" s="35" t="s">
        <v>1766</v>
      </c>
    </row>
    <row r="590" spans="1:7">
      <c r="A590" s="35" t="s">
        <v>1768</v>
      </c>
      <c r="B590" s="38" t="s">
        <v>1757</v>
      </c>
      <c r="C590" s="35" t="s">
        <v>1761</v>
      </c>
      <c r="D590" s="35" t="str">
        <f>_xlfn.XLOOKUP(E590,Organograma!G:G,Organograma!H:H,"")</f>
        <v>Samilly dos Santos Gurgel</v>
      </c>
      <c r="E590" s="35" t="s">
        <v>34</v>
      </c>
      <c r="F590" s="36">
        <v>46155</v>
      </c>
      <c r="G590" s="35" t="s">
        <v>1766</v>
      </c>
    </row>
    <row r="591" spans="1:7">
      <c r="A591" s="35" t="s">
        <v>1768</v>
      </c>
      <c r="B591" s="38" t="s">
        <v>1758</v>
      </c>
      <c r="C591" s="35" t="s">
        <v>1761</v>
      </c>
      <c r="D591" s="35" t="str">
        <f>_xlfn.XLOOKUP(E591,Organograma!G:G,Organograma!H:H,"")</f>
        <v>Mylena Justino da Silva Brito</v>
      </c>
      <c r="E591" s="35" t="s">
        <v>42</v>
      </c>
      <c r="F591" s="36">
        <v>46155</v>
      </c>
      <c r="G591" s="35" t="s">
        <v>1766</v>
      </c>
    </row>
    <row r="592" spans="1:7">
      <c r="A592" s="35" t="s">
        <v>1768</v>
      </c>
      <c r="B592" s="38" t="s">
        <v>1759</v>
      </c>
      <c r="C592" s="35" t="s">
        <v>1761</v>
      </c>
      <c r="D592" s="35" t="str">
        <f>_xlfn.XLOOKUP(E592,Organograma!G:G,Organograma!H:H,"")</f>
        <v>Flavia de Souza Moura</v>
      </c>
      <c r="E592" s="35" t="s">
        <v>70</v>
      </c>
      <c r="F592" s="36">
        <v>46155</v>
      </c>
      <c r="G592" s="35" t="s">
        <v>1766</v>
      </c>
    </row>
    <row r="593" spans="1:7">
      <c r="A593" s="35" t="s">
        <v>942</v>
      </c>
      <c r="B593" s="38" t="s">
        <v>1495</v>
      </c>
      <c r="C593" s="35" t="s">
        <v>1422</v>
      </c>
      <c r="D593" s="35" t="str">
        <f>_xlfn.XLOOKUP(E593,Organograma!G:G,Organograma!H:H,"")</f>
        <v>Janaina Bernardes Ayer</v>
      </c>
      <c r="E593" s="35" t="s">
        <v>78</v>
      </c>
      <c r="F593" s="36">
        <v>46155</v>
      </c>
      <c r="G593" s="35" t="s">
        <v>1766</v>
      </c>
    </row>
    <row r="594" spans="1:7">
      <c r="A594" s="35" t="s">
        <v>942</v>
      </c>
      <c r="B594" s="38" t="s">
        <v>1491</v>
      </c>
      <c r="C594" s="35" t="s">
        <v>1422</v>
      </c>
      <c r="D594" s="35" t="str">
        <f>_xlfn.XLOOKUP(E594,Organograma!G:G,Organograma!H:H,"")</f>
        <v>Janaina Bernardes Ayer</v>
      </c>
      <c r="E594" s="35" t="s">
        <v>75</v>
      </c>
      <c r="F594" s="36">
        <v>46155</v>
      </c>
      <c r="G594" s="35" t="s">
        <v>1766</v>
      </c>
    </row>
    <row r="595" spans="1:7">
      <c r="A595" s="35" t="s">
        <v>942</v>
      </c>
      <c r="B595" s="38" t="s">
        <v>1526</v>
      </c>
      <c r="C595" s="35" t="s">
        <v>1422</v>
      </c>
      <c r="D595" s="35" t="str">
        <f>_xlfn.XLOOKUP(E595,Organograma!G:G,Organograma!H:H,"")</f>
        <v>Janaina Bernardes Ayer</v>
      </c>
      <c r="E595" s="35" t="s">
        <v>76</v>
      </c>
      <c r="F595" s="36">
        <v>46155</v>
      </c>
      <c r="G595" s="35" t="s">
        <v>1766</v>
      </c>
    </row>
    <row r="596" spans="1:7">
      <c r="A596" s="35" t="s">
        <v>942</v>
      </c>
      <c r="B596" s="38" t="s">
        <v>1496</v>
      </c>
      <c r="C596" s="35" t="s">
        <v>1422</v>
      </c>
      <c r="D596" s="35" t="str">
        <f>_xlfn.XLOOKUP(E596,Organograma!G:G,Organograma!H:H,"")</f>
        <v>Janaina Bernardes Ayer</v>
      </c>
      <c r="E596" s="35" t="s">
        <v>78</v>
      </c>
      <c r="F596" s="36">
        <v>46155</v>
      </c>
      <c r="G596" s="35" t="s">
        <v>1766</v>
      </c>
    </row>
    <row r="597" spans="1:7">
      <c r="A597" s="35" t="s">
        <v>942</v>
      </c>
      <c r="B597" s="38" t="s">
        <v>1492</v>
      </c>
      <c r="C597" s="35" t="s">
        <v>1422</v>
      </c>
      <c r="D597" s="35" t="str">
        <f>_xlfn.XLOOKUP(E597,Organograma!G:G,Organograma!H:H,"")</f>
        <v>Janaina Bernardes Ayer</v>
      </c>
      <c r="E597" s="35" t="s">
        <v>75</v>
      </c>
      <c r="F597" s="36">
        <v>46155</v>
      </c>
      <c r="G597" s="35" t="s">
        <v>1766</v>
      </c>
    </row>
    <row r="598" spans="1:7">
      <c r="A598" s="35" t="s">
        <v>942</v>
      </c>
      <c r="B598" s="38" t="s">
        <v>1471</v>
      </c>
      <c r="C598" s="35" t="s">
        <v>1422</v>
      </c>
      <c r="D598" s="35" t="str">
        <f>_xlfn.XLOOKUP(E598,Organograma!G:G,Organograma!H:H,"")</f>
        <v>Janaina Bernardes Ayer</v>
      </c>
      <c r="E598" s="35" t="s">
        <v>75</v>
      </c>
      <c r="F598" s="36">
        <v>46155</v>
      </c>
      <c r="G598" s="35" t="s">
        <v>1766</v>
      </c>
    </row>
    <row r="599" spans="1:7">
      <c r="A599" s="35" t="s">
        <v>942</v>
      </c>
      <c r="B599" s="38" t="s">
        <v>1494</v>
      </c>
      <c r="C599" s="35" t="s">
        <v>1422</v>
      </c>
      <c r="D599" s="35" t="str">
        <f>_xlfn.XLOOKUP(E599,Organograma!G:G,Organograma!H:H,"")</f>
        <v>Janaina Bernardes Ayer</v>
      </c>
      <c r="E599" s="35" t="s">
        <v>78</v>
      </c>
      <c r="F599" s="36">
        <v>46155</v>
      </c>
      <c r="G599" s="35" t="s">
        <v>1766</v>
      </c>
    </row>
    <row r="600" spans="1:7">
      <c r="A600" s="35" t="s">
        <v>942</v>
      </c>
      <c r="B600" s="38" t="s">
        <v>1482</v>
      </c>
      <c r="C600" s="35" t="s">
        <v>1422</v>
      </c>
      <c r="D600" s="35" t="str">
        <f>_xlfn.XLOOKUP(E600,Organograma!G:G,Organograma!H:H,"")</f>
        <v>Janaina Bernardes Ayer</v>
      </c>
      <c r="E600" s="35" t="s">
        <v>193</v>
      </c>
      <c r="F600" s="36">
        <v>46155</v>
      </c>
      <c r="G600" s="35" t="s">
        <v>1766</v>
      </c>
    </row>
    <row r="601" spans="1:7">
      <c r="A601" s="35" t="s">
        <v>942</v>
      </c>
      <c r="B601" s="38" t="s">
        <v>1530</v>
      </c>
      <c r="C601" s="35" t="s">
        <v>1422</v>
      </c>
      <c r="D601" s="35" t="str">
        <f>_xlfn.XLOOKUP(E601,Organograma!G:G,Organograma!H:H,"")</f>
        <v>Janaina Bernardes Ayer</v>
      </c>
      <c r="E601" s="35" t="s">
        <v>76</v>
      </c>
      <c r="F601" s="36">
        <v>46155</v>
      </c>
      <c r="G601" s="35" t="s">
        <v>1766</v>
      </c>
    </row>
    <row r="602" spans="1:7">
      <c r="A602" s="35" t="s">
        <v>942</v>
      </c>
      <c r="B602" s="38" t="s">
        <v>1484</v>
      </c>
      <c r="C602" s="35" t="s">
        <v>1422</v>
      </c>
      <c r="D602" s="35" t="str">
        <f>_xlfn.XLOOKUP(E602,Organograma!G:G,Organograma!H:H,"")</f>
        <v>Janaina Bernardes Ayer</v>
      </c>
      <c r="E602" s="35" t="s">
        <v>193</v>
      </c>
      <c r="F602" s="36">
        <v>46155</v>
      </c>
      <c r="G602" s="35" t="s">
        <v>1766</v>
      </c>
    </row>
    <row r="603" spans="1:7">
      <c r="A603" s="35" t="s">
        <v>942</v>
      </c>
      <c r="B603" s="38" t="s">
        <v>1734</v>
      </c>
      <c r="C603" s="35" t="s">
        <v>1422</v>
      </c>
      <c r="D603" s="35" t="str">
        <f>_xlfn.XLOOKUP(E603,Organograma!G:G,Organograma!H:H,"")</f>
        <v>Janaina Bernardes Ayer</v>
      </c>
      <c r="E603" s="35" t="s">
        <v>77</v>
      </c>
      <c r="F603" s="36">
        <v>46155</v>
      </c>
      <c r="G603" s="35" t="s">
        <v>1766</v>
      </c>
    </row>
    <row r="604" spans="1:7">
      <c r="A604" s="35" t="s">
        <v>942</v>
      </c>
      <c r="B604" s="38" t="s">
        <v>1483</v>
      </c>
      <c r="C604" s="35" t="s">
        <v>1422</v>
      </c>
      <c r="D604" s="35" t="str">
        <f>_xlfn.XLOOKUP(E604,Organograma!G:G,Organograma!H:H,"")</f>
        <v>Janaina Bernardes Ayer</v>
      </c>
      <c r="E604" s="35" t="s">
        <v>193</v>
      </c>
      <c r="F604" s="36">
        <v>46155</v>
      </c>
      <c r="G604" s="35" t="s">
        <v>1766</v>
      </c>
    </row>
    <row r="605" spans="1:7">
      <c r="A605" s="35" t="s">
        <v>942</v>
      </c>
      <c r="B605" s="38" t="s">
        <v>1497</v>
      </c>
      <c r="C605" s="35" t="s">
        <v>1422</v>
      </c>
      <c r="D605" s="35" t="str">
        <f>_xlfn.XLOOKUP(E605,Organograma!G:G,Organograma!H:H,"")</f>
        <v>Janaina Bernardes Ayer</v>
      </c>
      <c r="E605" s="35" t="s">
        <v>78</v>
      </c>
      <c r="F605" s="36">
        <v>46155</v>
      </c>
      <c r="G605" s="35" t="s">
        <v>1766</v>
      </c>
    </row>
    <row r="606" spans="1:7">
      <c r="A606" s="35" t="s">
        <v>942</v>
      </c>
      <c r="B606" s="38" t="s">
        <v>1498</v>
      </c>
      <c r="C606" s="35" t="s">
        <v>1422</v>
      </c>
      <c r="D606" s="35" t="str">
        <f>_xlfn.XLOOKUP(E606,Organograma!G:G,Organograma!H:H,"")</f>
        <v>Janaina Bernardes Ayer</v>
      </c>
      <c r="E606" s="35" t="s">
        <v>78</v>
      </c>
      <c r="F606" s="36">
        <v>46155</v>
      </c>
      <c r="G606" s="35" t="s">
        <v>1766</v>
      </c>
    </row>
    <row r="607" spans="1:7">
      <c r="A607" s="35" t="s">
        <v>942</v>
      </c>
      <c r="B607" s="38" t="s">
        <v>1524</v>
      </c>
      <c r="C607" s="35" t="s">
        <v>1422</v>
      </c>
      <c r="D607" s="35" t="str">
        <f>_xlfn.XLOOKUP(E607,Organograma!G:G,Organograma!H:H,"")</f>
        <v>Janaina Bernardes Ayer</v>
      </c>
      <c r="E607" s="35" t="s">
        <v>193</v>
      </c>
      <c r="F607" s="36">
        <v>46155</v>
      </c>
      <c r="G607" s="35" t="s">
        <v>1766</v>
      </c>
    </row>
    <row r="608" spans="1:7">
      <c r="A608" s="35" t="s">
        <v>942</v>
      </c>
      <c r="B608" s="38" t="s">
        <v>1529</v>
      </c>
      <c r="C608" s="35" t="s">
        <v>1422</v>
      </c>
      <c r="D608" s="35" t="str">
        <f>_xlfn.XLOOKUP(E608,Organograma!G:G,Organograma!H:H,"")</f>
        <v>Janaina Bernardes Ayer</v>
      </c>
      <c r="E608" s="35" t="s">
        <v>76</v>
      </c>
      <c r="F608" s="36">
        <v>46155</v>
      </c>
      <c r="G608" s="35" t="s">
        <v>1766</v>
      </c>
    </row>
    <row r="609" spans="1:7">
      <c r="A609" s="35" t="s">
        <v>942</v>
      </c>
      <c r="B609" s="38" t="s">
        <v>1527</v>
      </c>
      <c r="C609" s="35" t="s">
        <v>1422</v>
      </c>
      <c r="D609" s="35" t="str">
        <f>_xlfn.XLOOKUP(E609,Organograma!G:G,Organograma!H:H,"")</f>
        <v>Janaina Bernardes Ayer</v>
      </c>
      <c r="E609" s="35" t="s">
        <v>76</v>
      </c>
      <c r="F609" s="36">
        <v>46155</v>
      </c>
      <c r="G609" s="35" t="s">
        <v>1766</v>
      </c>
    </row>
    <row r="610" spans="1:7">
      <c r="A610" s="35" t="s">
        <v>942</v>
      </c>
      <c r="B610" s="38" t="s">
        <v>1528</v>
      </c>
      <c r="C610" s="35" t="s">
        <v>1422</v>
      </c>
      <c r="D610" s="35" t="str">
        <f>_xlfn.XLOOKUP(E610,Organograma!G:G,Organograma!H:H,"")</f>
        <v>Janaina Bernardes Ayer</v>
      </c>
      <c r="E610" s="35" t="s">
        <v>76</v>
      </c>
      <c r="F610" s="36">
        <v>46155</v>
      </c>
      <c r="G610" s="35" t="s">
        <v>1766</v>
      </c>
    </row>
    <row r="611" spans="1:7">
      <c r="A611" s="35" t="s">
        <v>942</v>
      </c>
      <c r="B611" s="38" t="s">
        <v>1752</v>
      </c>
      <c r="C611" s="35" t="s">
        <v>1422</v>
      </c>
      <c r="D611" s="35" t="str">
        <f>_xlfn.XLOOKUP(E611,Organograma!G:G,Organograma!H:H,"")</f>
        <v>Janaina Bernardes Ayer</v>
      </c>
      <c r="E611" s="35" t="s">
        <v>76</v>
      </c>
      <c r="F611" s="36">
        <v>46155</v>
      </c>
      <c r="G611" s="35" t="s">
        <v>1766</v>
      </c>
    </row>
    <row r="612" spans="1:7">
      <c r="A612" s="34" t="s">
        <v>1767</v>
      </c>
      <c r="B612" s="38" t="s">
        <v>1567</v>
      </c>
      <c r="C612" s="35" t="s">
        <v>1761</v>
      </c>
      <c r="D612" s="35" t="s">
        <v>41</v>
      </c>
      <c r="E612" s="35" t="s">
        <v>42</v>
      </c>
      <c r="F612" s="36">
        <v>46155</v>
      </c>
      <c r="G612" s="37" t="s">
        <v>1766</v>
      </c>
    </row>
    <row r="613" spans="1:7">
      <c r="A613" s="34" t="s">
        <v>1767</v>
      </c>
      <c r="B613" s="38" t="s">
        <v>1762</v>
      </c>
      <c r="C613" s="35" t="s">
        <v>1761</v>
      </c>
      <c r="D613" s="35" t="s">
        <v>57</v>
      </c>
      <c r="E613" s="35" t="s">
        <v>61</v>
      </c>
      <c r="F613" s="36">
        <v>46155</v>
      </c>
      <c r="G613" s="37" t="s">
        <v>1766</v>
      </c>
    </row>
    <row r="614" spans="1:7">
      <c r="A614" s="34" t="s">
        <v>1767</v>
      </c>
      <c r="B614" s="38" t="s">
        <v>1549</v>
      </c>
      <c r="C614" s="35" t="s">
        <v>1761</v>
      </c>
      <c r="D614" s="35" t="s">
        <v>57</v>
      </c>
      <c r="E614" s="35" t="s">
        <v>59</v>
      </c>
      <c r="F614" s="36">
        <v>46155</v>
      </c>
      <c r="G614" s="37" t="s">
        <v>1766</v>
      </c>
    </row>
    <row r="615" spans="1:7">
      <c r="A615" s="34" t="s">
        <v>1767</v>
      </c>
      <c r="B615" s="39" t="s">
        <v>1569</v>
      </c>
      <c r="C615" s="35" t="s">
        <v>1761</v>
      </c>
      <c r="D615" s="35" t="s">
        <v>68</v>
      </c>
      <c r="E615" s="35" t="s">
        <v>197</v>
      </c>
      <c r="F615" s="36">
        <v>46155</v>
      </c>
      <c r="G615" s="37" t="s">
        <v>1766</v>
      </c>
    </row>
    <row r="616" spans="1:7">
      <c r="A616" s="34" t="s">
        <v>1767</v>
      </c>
      <c r="B616" s="38" t="s">
        <v>1570</v>
      </c>
      <c r="C616" s="35" t="s">
        <v>1761</v>
      </c>
      <c r="D616" s="35" t="s">
        <v>68</v>
      </c>
      <c r="E616" s="35" t="s">
        <v>194</v>
      </c>
      <c r="F616" s="36">
        <v>46155</v>
      </c>
      <c r="G616" s="37" t="s">
        <v>1766</v>
      </c>
    </row>
    <row r="617" spans="1:7">
      <c r="A617" s="34" t="s">
        <v>1767</v>
      </c>
      <c r="B617" s="38" t="s">
        <v>1571</v>
      </c>
      <c r="C617" s="35" t="s">
        <v>1761</v>
      </c>
      <c r="D617" s="35" t="s">
        <v>41</v>
      </c>
      <c r="E617" s="35" t="s">
        <v>42</v>
      </c>
      <c r="F617" s="36">
        <v>46155</v>
      </c>
      <c r="G617" s="37" t="s">
        <v>1766</v>
      </c>
    </row>
    <row r="618" spans="1:7">
      <c r="A618" s="34" t="s">
        <v>1767</v>
      </c>
      <c r="B618" s="38" t="s">
        <v>1572</v>
      </c>
      <c r="C618" s="35" t="s">
        <v>1761</v>
      </c>
      <c r="D618" s="35" t="s">
        <v>41</v>
      </c>
      <c r="E618" s="35" t="s">
        <v>42</v>
      </c>
      <c r="F618" s="36">
        <v>46155</v>
      </c>
      <c r="G618" s="37" t="s">
        <v>1766</v>
      </c>
    </row>
    <row r="619" spans="1:7">
      <c r="A619" s="34" t="s">
        <v>1767</v>
      </c>
      <c r="B619" s="38" t="s">
        <v>1573</v>
      </c>
      <c r="C619" s="35" t="s">
        <v>1761</v>
      </c>
      <c r="D619" s="35" t="s">
        <v>41</v>
      </c>
      <c r="E619" s="35" t="s">
        <v>42</v>
      </c>
      <c r="F619" s="36">
        <v>46155</v>
      </c>
      <c r="G619" s="37" t="s">
        <v>1766</v>
      </c>
    </row>
    <row r="620" spans="1:7">
      <c r="A620" s="34" t="s">
        <v>1767</v>
      </c>
      <c r="B620" s="38" t="s">
        <v>1512</v>
      </c>
      <c r="C620" s="35" t="s">
        <v>1761</v>
      </c>
      <c r="D620" s="35" t="s">
        <v>57</v>
      </c>
      <c r="E620" s="35" t="s">
        <v>59</v>
      </c>
      <c r="F620" s="36">
        <v>46155</v>
      </c>
      <c r="G620" s="37" t="s">
        <v>1766</v>
      </c>
    </row>
    <row r="621" spans="1:7">
      <c r="A621" s="34" t="s">
        <v>1767</v>
      </c>
      <c r="B621" s="38" t="s">
        <v>1586</v>
      </c>
      <c r="C621" s="35" t="s">
        <v>1761</v>
      </c>
      <c r="D621" s="35" t="s">
        <v>20</v>
      </c>
      <c r="E621" s="35" t="s">
        <v>19</v>
      </c>
      <c r="F621" s="36">
        <v>46155</v>
      </c>
      <c r="G621" s="37" t="s">
        <v>1766</v>
      </c>
    </row>
    <row r="622" spans="1:7">
      <c r="A622" s="34" t="s">
        <v>1767</v>
      </c>
      <c r="B622" s="38" t="s">
        <v>1519</v>
      </c>
      <c r="C622" s="35" t="s">
        <v>1761</v>
      </c>
      <c r="D622" s="35" t="s">
        <v>39</v>
      </c>
      <c r="E622" s="35" t="s">
        <v>40</v>
      </c>
      <c r="F622" s="36">
        <v>46155</v>
      </c>
      <c r="G622" s="37" t="s">
        <v>1766</v>
      </c>
    </row>
    <row r="623" spans="1:7">
      <c r="A623" s="34" t="s">
        <v>1767</v>
      </c>
      <c r="B623" s="38" t="s">
        <v>1468</v>
      </c>
      <c r="C623" s="35" t="s">
        <v>1761</v>
      </c>
      <c r="D623" s="35" t="s">
        <v>14</v>
      </c>
      <c r="E623" s="35" t="s">
        <v>106</v>
      </c>
      <c r="F623" s="36">
        <v>46155</v>
      </c>
      <c r="G623" s="37" t="s">
        <v>1766</v>
      </c>
    </row>
    <row r="624" spans="1:7">
      <c r="A624" s="34" t="s">
        <v>1767</v>
      </c>
      <c r="B624" s="38" t="s">
        <v>1600</v>
      </c>
      <c r="C624" s="35" t="s">
        <v>1761</v>
      </c>
      <c r="D624" s="35" t="s">
        <v>89</v>
      </c>
      <c r="E624" s="35" t="s">
        <v>92</v>
      </c>
      <c r="F624" s="36">
        <v>46155</v>
      </c>
      <c r="G624" s="37" t="s">
        <v>1766</v>
      </c>
    </row>
    <row r="625" spans="1:7">
      <c r="A625" s="34" t="s">
        <v>1767</v>
      </c>
      <c r="B625" s="38" t="s">
        <v>1531</v>
      </c>
      <c r="C625" s="35" t="s">
        <v>1761</v>
      </c>
      <c r="D625" s="35" t="s">
        <v>53</v>
      </c>
      <c r="E625" s="35" t="s">
        <v>54</v>
      </c>
      <c r="F625" s="36">
        <v>46155</v>
      </c>
      <c r="G625" s="37" t="s">
        <v>1766</v>
      </c>
    </row>
    <row r="626" spans="1:7">
      <c r="A626" s="34" t="s">
        <v>1767</v>
      </c>
      <c r="B626" s="38" t="s">
        <v>1499</v>
      </c>
      <c r="C626" s="35" t="s">
        <v>1761</v>
      </c>
      <c r="D626" s="35" t="s">
        <v>53</v>
      </c>
      <c r="E626" s="35" t="s">
        <v>54</v>
      </c>
      <c r="F626" s="36">
        <v>46155</v>
      </c>
      <c r="G626" s="37" t="s">
        <v>1766</v>
      </c>
    </row>
    <row r="627" spans="1:7">
      <c r="A627" s="34" t="s">
        <v>1767</v>
      </c>
      <c r="B627" s="38" t="s">
        <v>1574</v>
      </c>
      <c r="C627" s="35" t="s">
        <v>1761</v>
      </c>
      <c r="D627" s="35" t="s">
        <v>12</v>
      </c>
      <c r="E627" s="35" t="s">
        <v>11</v>
      </c>
      <c r="F627" s="36">
        <v>46155</v>
      </c>
      <c r="G627" s="37" t="s">
        <v>1766</v>
      </c>
    </row>
    <row r="628" spans="1:7">
      <c r="A628" s="34" t="s">
        <v>1767</v>
      </c>
      <c r="B628" s="38" t="s">
        <v>1575</v>
      </c>
      <c r="C628" s="35" t="s">
        <v>1761</v>
      </c>
      <c r="D628" s="35" t="s">
        <v>41</v>
      </c>
      <c r="E628" s="35" t="s">
        <v>42</v>
      </c>
      <c r="F628" s="36">
        <v>46155</v>
      </c>
      <c r="G628" s="37" t="s">
        <v>1766</v>
      </c>
    </row>
    <row r="629" spans="1:7">
      <c r="A629" s="34" t="s">
        <v>1767</v>
      </c>
      <c r="B629" s="38" t="s">
        <v>1576</v>
      </c>
      <c r="C629" s="35" t="s">
        <v>1761</v>
      </c>
      <c r="D629" s="35" t="s">
        <v>41</v>
      </c>
      <c r="E629" s="35" t="s">
        <v>42</v>
      </c>
      <c r="F629" s="36">
        <v>46155</v>
      </c>
      <c r="G629" s="37" t="s">
        <v>1766</v>
      </c>
    </row>
    <row r="630" spans="1:7">
      <c r="A630" s="34" t="s">
        <v>1767</v>
      </c>
      <c r="B630" s="38" t="s">
        <v>1588</v>
      </c>
      <c r="C630" s="35" t="s">
        <v>1761</v>
      </c>
      <c r="D630" s="35" t="s">
        <v>10</v>
      </c>
      <c r="E630" s="35" t="s">
        <v>23</v>
      </c>
      <c r="F630" s="36">
        <v>46155</v>
      </c>
      <c r="G630" s="37" t="s">
        <v>1766</v>
      </c>
    </row>
    <row r="631" spans="1:7">
      <c r="A631" s="34" t="s">
        <v>1767</v>
      </c>
      <c r="B631" s="38" t="s">
        <v>1577</v>
      </c>
      <c r="C631" s="35" t="s">
        <v>1761</v>
      </c>
      <c r="D631" s="35" t="s">
        <v>57</v>
      </c>
      <c r="E631" s="35" t="s">
        <v>59</v>
      </c>
      <c r="F631" s="36">
        <v>46155</v>
      </c>
      <c r="G631" s="37" t="s">
        <v>1766</v>
      </c>
    </row>
    <row r="632" spans="1:7">
      <c r="A632" s="34" t="s">
        <v>1767</v>
      </c>
      <c r="B632" s="38" t="s">
        <v>1578</v>
      </c>
      <c r="C632" s="35" t="s">
        <v>1761</v>
      </c>
      <c r="D632" s="35" t="s">
        <v>41</v>
      </c>
      <c r="E632" s="35" t="s">
        <v>42</v>
      </c>
      <c r="F632" s="36">
        <v>46155</v>
      </c>
      <c r="G632" s="37" t="s">
        <v>1766</v>
      </c>
    </row>
    <row r="633" spans="1:7">
      <c r="A633" s="34" t="s">
        <v>1767</v>
      </c>
      <c r="B633" s="38" t="s">
        <v>1555</v>
      </c>
      <c r="C633" s="35" t="s">
        <v>1761</v>
      </c>
      <c r="D633" s="35" t="s">
        <v>68</v>
      </c>
      <c r="E633" s="35" t="s">
        <v>197</v>
      </c>
      <c r="F633" s="36">
        <v>46155</v>
      </c>
      <c r="G633" s="37" t="s">
        <v>1766</v>
      </c>
    </row>
    <row r="634" spans="1:7">
      <c r="A634" s="34" t="s">
        <v>1767</v>
      </c>
      <c r="B634" s="38" t="s">
        <v>1579</v>
      </c>
      <c r="C634" s="35" t="s">
        <v>1761</v>
      </c>
      <c r="D634" s="35" t="s">
        <v>41</v>
      </c>
      <c r="E634" s="35" t="s">
        <v>42</v>
      </c>
      <c r="F634" s="36">
        <v>46155</v>
      </c>
      <c r="G634" s="37" t="s">
        <v>1766</v>
      </c>
    </row>
    <row r="635" spans="1:7">
      <c r="A635" s="34" t="s">
        <v>1767</v>
      </c>
      <c r="B635" s="38" t="s">
        <v>1513</v>
      </c>
      <c r="C635" s="35" t="s">
        <v>1761</v>
      </c>
      <c r="D635" s="35" t="s">
        <v>96</v>
      </c>
      <c r="E635" s="35" t="s">
        <v>95</v>
      </c>
      <c r="F635" s="36">
        <v>46155</v>
      </c>
      <c r="G635" s="37" t="s">
        <v>1766</v>
      </c>
    </row>
    <row r="636" spans="1:7">
      <c r="A636" s="34" t="s">
        <v>1767</v>
      </c>
      <c r="B636" s="38" t="s">
        <v>1553</v>
      </c>
      <c r="C636" s="35" t="s">
        <v>1761</v>
      </c>
      <c r="D636" s="35" t="s">
        <v>96</v>
      </c>
      <c r="E636" s="35" t="s">
        <v>95</v>
      </c>
      <c r="F636" s="36">
        <v>46155</v>
      </c>
      <c r="G636" s="37" t="s">
        <v>1766</v>
      </c>
    </row>
    <row r="637" spans="1:7">
      <c r="A637" s="34" t="s">
        <v>1767</v>
      </c>
      <c r="B637" s="38" t="s">
        <v>1580</v>
      </c>
      <c r="C637" s="35" t="s">
        <v>1761</v>
      </c>
      <c r="D637" s="35" t="s">
        <v>41</v>
      </c>
      <c r="E637" s="35" t="s">
        <v>42</v>
      </c>
      <c r="F637" s="36">
        <v>46155</v>
      </c>
      <c r="G637" s="37" t="s">
        <v>1766</v>
      </c>
    </row>
    <row r="638" spans="1:7">
      <c r="A638" s="34" t="s">
        <v>1767</v>
      </c>
      <c r="B638" s="38" t="s">
        <v>1581</v>
      </c>
      <c r="C638" s="35" t="s">
        <v>1761</v>
      </c>
      <c r="D638" s="35" t="s">
        <v>74</v>
      </c>
      <c r="E638" s="35" t="s">
        <v>193</v>
      </c>
      <c r="F638" s="36">
        <v>46155</v>
      </c>
      <c r="G638" s="37" t="s">
        <v>1766</v>
      </c>
    </row>
    <row r="639" spans="1:7">
      <c r="A639" s="34" t="s">
        <v>1767</v>
      </c>
      <c r="B639" s="38" t="s">
        <v>1582</v>
      </c>
      <c r="C639" s="35" t="s">
        <v>1761</v>
      </c>
      <c r="D639" s="35" t="s">
        <v>41</v>
      </c>
      <c r="E639" s="35" t="s">
        <v>42</v>
      </c>
      <c r="F639" s="36">
        <v>46155</v>
      </c>
      <c r="G639" s="37" t="s">
        <v>1766</v>
      </c>
    </row>
    <row r="640" spans="1:7">
      <c r="A640" s="34" t="s">
        <v>1767</v>
      </c>
      <c r="B640" s="38" t="s">
        <v>1583</v>
      </c>
      <c r="C640" s="35" t="s">
        <v>1761</v>
      </c>
      <c r="D640" s="35" t="s">
        <v>35</v>
      </c>
      <c r="E640" s="35" t="s">
        <v>34</v>
      </c>
      <c r="F640" s="36">
        <v>46155</v>
      </c>
      <c r="G640" s="37" t="s">
        <v>1766</v>
      </c>
    </row>
    <row r="641" spans="1:7">
      <c r="A641" s="34" t="s">
        <v>1767</v>
      </c>
      <c r="B641" s="38" t="s">
        <v>1522</v>
      </c>
      <c r="C641" s="35" t="s">
        <v>1761</v>
      </c>
      <c r="D641" s="35" t="s">
        <v>35</v>
      </c>
      <c r="E641" s="35" t="s">
        <v>34</v>
      </c>
      <c r="F641" s="36">
        <v>46155</v>
      </c>
      <c r="G641" s="37" t="s">
        <v>1766</v>
      </c>
    </row>
    <row r="642" spans="1:7">
      <c r="A642" s="34" t="s">
        <v>1767</v>
      </c>
      <c r="B642" s="38" t="s">
        <v>1584</v>
      </c>
      <c r="C642" s="35" t="s">
        <v>1761</v>
      </c>
      <c r="D642" s="35" t="s">
        <v>41</v>
      </c>
      <c r="E642" s="35" t="s">
        <v>42</v>
      </c>
      <c r="F642" s="36">
        <v>46155</v>
      </c>
      <c r="G642" s="37" t="s">
        <v>1766</v>
      </c>
    </row>
    <row r="643" spans="1:7">
      <c r="A643" s="34" t="s">
        <v>1767</v>
      </c>
      <c r="B643" s="38" t="s">
        <v>1473</v>
      </c>
      <c r="C643" s="35" t="s">
        <v>1761</v>
      </c>
      <c r="D643" s="35" t="s">
        <v>10</v>
      </c>
      <c r="E643" s="35" t="s">
        <v>24</v>
      </c>
      <c r="F643" s="36">
        <v>46155</v>
      </c>
      <c r="G643" s="37" t="s">
        <v>1766</v>
      </c>
    </row>
    <row r="644" spans="1:7">
      <c r="A644" s="34" t="s">
        <v>1767</v>
      </c>
      <c r="B644" s="38" t="s">
        <v>1481</v>
      </c>
      <c r="C644" s="35" t="s">
        <v>1761</v>
      </c>
      <c r="D644" s="35" t="s">
        <v>30</v>
      </c>
      <c r="E644" s="35" t="s">
        <v>31</v>
      </c>
      <c r="F644" s="36">
        <v>46155</v>
      </c>
      <c r="G644" s="37" t="s">
        <v>1766</v>
      </c>
    </row>
    <row r="645" spans="1:7">
      <c r="A645" s="34" t="s">
        <v>1767</v>
      </c>
      <c r="B645" s="38" t="s">
        <v>1585</v>
      </c>
      <c r="C645" s="35" t="s">
        <v>1761</v>
      </c>
      <c r="D645" s="35" t="s">
        <v>74</v>
      </c>
      <c r="E645" s="35" t="s">
        <v>75</v>
      </c>
      <c r="F645" s="36">
        <v>46155</v>
      </c>
      <c r="G645" s="37" t="s">
        <v>1766</v>
      </c>
    </row>
    <row r="646" spans="1:7">
      <c r="A646" s="34" t="s">
        <v>1767</v>
      </c>
      <c r="B646" s="38" t="s">
        <v>1514</v>
      </c>
      <c r="C646" s="35" t="s">
        <v>1761</v>
      </c>
      <c r="D646" s="35" t="s">
        <v>96</v>
      </c>
      <c r="E646" s="35" t="s">
        <v>95</v>
      </c>
      <c r="F646" s="36">
        <v>46155</v>
      </c>
      <c r="G646" s="37" t="s">
        <v>1766</v>
      </c>
    </row>
    <row r="647" spans="1:7">
      <c r="A647" s="34" t="s">
        <v>1767</v>
      </c>
      <c r="B647" s="38" t="s">
        <v>1566</v>
      </c>
      <c r="C647" s="35" t="s">
        <v>1761</v>
      </c>
      <c r="D647" s="35" t="s">
        <v>44</v>
      </c>
      <c r="E647" s="35" t="s">
        <v>1142</v>
      </c>
      <c r="F647" s="36">
        <v>46155</v>
      </c>
      <c r="G647" s="37" t="s">
        <v>1766</v>
      </c>
    </row>
    <row r="648" spans="1:7">
      <c r="A648" s="34" t="s">
        <v>1767</v>
      </c>
      <c r="B648" s="38" t="s">
        <v>1587</v>
      </c>
      <c r="C648" s="35" t="s">
        <v>1761</v>
      </c>
      <c r="D648" s="35" t="s">
        <v>35</v>
      </c>
      <c r="E648" s="35" t="s">
        <v>34</v>
      </c>
      <c r="F648" s="36">
        <v>46155</v>
      </c>
      <c r="G648" s="37" t="s">
        <v>1766</v>
      </c>
    </row>
    <row r="649" spans="1:7">
      <c r="A649" s="34" t="s">
        <v>1767</v>
      </c>
      <c r="B649" s="38" t="s">
        <v>1568</v>
      </c>
      <c r="C649" s="35" t="s">
        <v>1761</v>
      </c>
      <c r="D649" s="35" t="s">
        <v>86</v>
      </c>
      <c r="E649" s="35" t="s">
        <v>87</v>
      </c>
      <c r="F649" s="36">
        <v>46155</v>
      </c>
      <c r="G649" s="37" t="s">
        <v>1766</v>
      </c>
    </row>
    <row r="650" spans="1:7">
      <c r="A650" s="34" t="s">
        <v>1767</v>
      </c>
      <c r="B650" s="38" t="s">
        <v>1589</v>
      </c>
      <c r="C650" s="35" t="s">
        <v>1761</v>
      </c>
      <c r="D650" s="35" t="s">
        <v>10</v>
      </c>
      <c r="E650" s="35" t="s">
        <v>125</v>
      </c>
      <c r="F650" s="36">
        <v>46155</v>
      </c>
      <c r="G650" s="37" t="s">
        <v>1766</v>
      </c>
    </row>
    <row r="651" spans="1:7">
      <c r="A651" s="34" t="s">
        <v>1767</v>
      </c>
      <c r="B651" s="38" t="s">
        <v>1515</v>
      </c>
      <c r="C651" s="35" t="s">
        <v>1761</v>
      </c>
      <c r="D651" s="35" t="s">
        <v>96</v>
      </c>
      <c r="E651" s="35" t="s">
        <v>95</v>
      </c>
      <c r="F651" s="36">
        <v>46155</v>
      </c>
      <c r="G651" s="37" t="s">
        <v>1766</v>
      </c>
    </row>
    <row r="652" spans="1:7">
      <c r="A652" s="34" t="s">
        <v>1767</v>
      </c>
      <c r="B652" s="38" t="s">
        <v>1590</v>
      </c>
      <c r="C652" s="35" t="s">
        <v>1761</v>
      </c>
      <c r="D652" s="35" t="s">
        <v>41</v>
      </c>
      <c r="E652" s="35" t="s">
        <v>42</v>
      </c>
      <c r="F652" s="36">
        <v>46155</v>
      </c>
      <c r="G652" s="37" t="s">
        <v>1766</v>
      </c>
    </row>
    <row r="653" spans="1:7">
      <c r="A653" s="34" t="s">
        <v>1767</v>
      </c>
      <c r="B653" s="38" t="s">
        <v>1500</v>
      </c>
      <c r="C653" s="35" t="s">
        <v>1761</v>
      </c>
      <c r="D653" s="35" t="s">
        <v>53</v>
      </c>
      <c r="E653" s="35" t="s">
        <v>54</v>
      </c>
      <c r="F653" s="36">
        <v>46155</v>
      </c>
      <c r="G653" s="37" t="s">
        <v>1766</v>
      </c>
    </row>
    <row r="654" spans="1:7">
      <c r="A654" s="34" t="s">
        <v>1767</v>
      </c>
      <c r="B654" s="38" t="s">
        <v>1591</v>
      </c>
      <c r="C654" s="35" t="s">
        <v>1761</v>
      </c>
      <c r="D654" s="35" t="s">
        <v>41</v>
      </c>
      <c r="E654" s="35" t="s">
        <v>42</v>
      </c>
      <c r="F654" s="36">
        <v>46155</v>
      </c>
      <c r="G654" s="37" t="s">
        <v>1766</v>
      </c>
    </row>
    <row r="655" spans="1:7">
      <c r="A655" s="34" t="s">
        <v>1767</v>
      </c>
      <c r="B655" s="38" t="s">
        <v>1504</v>
      </c>
      <c r="C655" s="35" t="s">
        <v>1761</v>
      </c>
      <c r="D655" s="35" t="s">
        <v>81</v>
      </c>
      <c r="E655" s="35" t="s">
        <v>80</v>
      </c>
      <c r="F655" s="36">
        <v>46155</v>
      </c>
      <c r="G655" s="37" t="s">
        <v>1766</v>
      </c>
    </row>
    <row r="656" spans="1:7">
      <c r="A656" s="34" t="s">
        <v>1767</v>
      </c>
      <c r="B656" s="38" t="s">
        <v>1540</v>
      </c>
      <c r="C656" s="35" t="s">
        <v>1761</v>
      </c>
      <c r="D656" s="35" t="s">
        <v>41</v>
      </c>
      <c r="E656" s="35" t="s">
        <v>42</v>
      </c>
      <c r="F656" s="36">
        <v>46155</v>
      </c>
      <c r="G656" s="37" t="s">
        <v>1766</v>
      </c>
    </row>
    <row r="657" spans="1:7">
      <c r="A657" s="34" t="s">
        <v>1767</v>
      </c>
      <c r="B657" s="38" t="s">
        <v>1592</v>
      </c>
      <c r="C657" s="35" t="s">
        <v>1761</v>
      </c>
      <c r="D657" s="35" t="s">
        <v>41</v>
      </c>
      <c r="E657" s="35" t="s">
        <v>42</v>
      </c>
      <c r="F657" s="36">
        <v>46155</v>
      </c>
      <c r="G657" s="37" t="s">
        <v>1766</v>
      </c>
    </row>
    <row r="658" spans="1:7">
      <c r="A658" s="34" t="s">
        <v>1767</v>
      </c>
      <c r="B658" s="38" t="s">
        <v>1593</v>
      </c>
      <c r="C658" s="35" t="s">
        <v>1761</v>
      </c>
      <c r="D658" s="35" t="s">
        <v>41</v>
      </c>
      <c r="E658" s="35" t="s">
        <v>42</v>
      </c>
      <c r="F658" s="36">
        <v>46155</v>
      </c>
      <c r="G658" s="37" t="s">
        <v>1766</v>
      </c>
    </row>
    <row r="659" spans="1:7">
      <c r="A659" s="34" t="s">
        <v>1767</v>
      </c>
      <c r="B659" s="38" t="s">
        <v>1532</v>
      </c>
      <c r="C659" s="35" t="s">
        <v>1761</v>
      </c>
      <c r="D659" s="35" t="s">
        <v>53</v>
      </c>
      <c r="E659" s="35" t="s">
        <v>1078</v>
      </c>
      <c r="F659" s="36">
        <v>46155</v>
      </c>
      <c r="G659" s="37" t="s">
        <v>1766</v>
      </c>
    </row>
    <row r="660" spans="1:7">
      <c r="A660" s="34" t="s">
        <v>1767</v>
      </c>
      <c r="B660" s="38" t="s">
        <v>1594</v>
      </c>
      <c r="C660" s="35" t="s">
        <v>1761</v>
      </c>
      <c r="D660" s="35" t="s">
        <v>41</v>
      </c>
      <c r="E660" s="35" t="s">
        <v>42</v>
      </c>
      <c r="F660" s="36">
        <v>46155</v>
      </c>
      <c r="G660" s="37" t="s">
        <v>1766</v>
      </c>
    </row>
    <row r="661" spans="1:7">
      <c r="A661" s="34" t="s">
        <v>1767</v>
      </c>
      <c r="B661" s="38" t="s">
        <v>1595</v>
      </c>
      <c r="C661" s="35" t="s">
        <v>1761</v>
      </c>
      <c r="D661" s="35" t="s">
        <v>41</v>
      </c>
      <c r="E661" s="35" t="s">
        <v>42</v>
      </c>
      <c r="F661" s="36">
        <v>46155</v>
      </c>
      <c r="G661" s="37" t="s">
        <v>1766</v>
      </c>
    </row>
    <row r="662" spans="1:7">
      <c r="A662" s="34" t="s">
        <v>1767</v>
      </c>
      <c r="B662" s="38" t="s">
        <v>1596</v>
      </c>
      <c r="C662" s="35" t="s">
        <v>1761</v>
      </c>
      <c r="D662" s="35" t="s">
        <v>57</v>
      </c>
      <c r="E662" s="35" t="s">
        <v>58</v>
      </c>
      <c r="F662" s="36">
        <v>46155</v>
      </c>
      <c r="G662" s="37" t="s">
        <v>1766</v>
      </c>
    </row>
    <row r="663" spans="1:7">
      <c r="A663" s="34" t="s">
        <v>1767</v>
      </c>
      <c r="B663" s="38" t="s">
        <v>1597</v>
      </c>
      <c r="C663" s="35" t="s">
        <v>1761</v>
      </c>
      <c r="D663" s="35" t="s">
        <v>41</v>
      </c>
      <c r="E663" s="35" t="s">
        <v>42</v>
      </c>
      <c r="F663" s="36">
        <v>46155</v>
      </c>
      <c r="G663" s="37" t="s">
        <v>1766</v>
      </c>
    </row>
    <row r="664" spans="1:7">
      <c r="A664" s="34" t="s">
        <v>1767</v>
      </c>
      <c r="B664" s="38" t="s">
        <v>1598</v>
      </c>
      <c r="C664" s="35" t="s">
        <v>1761</v>
      </c>
      <c r="D664" s="35" t="s">
        <v>41</v>
      </c>
      <c r="E664" s="35" t="s">
        <v>42</v>
      </c>
      <c r="F664" s="36">
        <v>46155</v>
      </c>
      <c r="G664" s="37" t="s">
        <v>1766</v>
      </c>
    </row>
    <row r="665" spans="1:7">
      <c r="A665" s="34" t="s">
        <v>1767</v>
      </c>
      <c r="B665" s="38" t="s">
        <v>1599</v>
      </c>
      <c r="C665" s="35" t="s">
        <v>1761</v>
      </c>
      <c r="D665" s="35" t="s">
        <v>41</v>
      </c>
      <c r="E665" s="35" t="s">
        <v>42</v>
      </c>
      <c r="F665" s="36">
        <v>46155</v>
      </c>
      <c r="G665" s="37" t="s">
        <v>1766</v>
      </c>
    </row>
    <row r="666" spans="1:7">
      <c r="A666" s="34" t="s">
        <v>1767</v>
      </c>
      <c r="B666" s="38" t="s">
        <v>1466</v>
      </c>
      <c r="C666" s="35" t="s">
        <v>1761</v>
      </c>
      <c r="D666" s="35" t="s">
        <v>14</v>
      </c>
      <c r="E666" s="35" t="s">
        <v>106</v>
      </c>
      <c r="F666" s="36">
        <v>46155</v>
      </c>
      <c r="G666" s="37" t="s">
        <v>1766</v>
      </c>
    </row>
    <row r="667" spans="1:7">
      <c r="A667" s="34" t="s">
        <v>1767</v>
      </c>
      <c r="B667" s="38" t="s">
        <v>1537</v>
      </c>
      <c r="C667" s="35" t="s">
        <v>1761</v>
      </c>
      <c r="D667" s="35" t="s">
        <v>53</v>
      </c>
      <c r="E667" s="35" t="s">
        <v>1078</v>
      </c>
      <c r="F667" s="36">
        <v>46155</v>
      </c>
      <c r="G667" s="37" t="s">
        <v>1766</v>
      </c>
    </row>
    <row r="668" spans="1:7">
      <c r="A668" s="34" t="s">
        <v>1767</v>
      </c>
      <c r="B668" s="38" t="s">
        <v>1601</v>
      </c>
      <c r="C668" s="35" t="s">
        <v>1761</v>
      </c>
      <c r="D668" s="35" t="s">
        <v>51</v>
      </c>
      <c r="E668" s="35" t="s">
        <v>52</v>
      </c>
      <c r="F668" s="36">
        <v>46155</v>
      </c>
      <c r="G668" s="37" t="s">
        <v>1766</v>
      </c>
    </row>
    <row r="669" spans="1:7">
      <c r="A669" s="34" t="s">
        <v>1767</v>
      </c>
      <c r="B669" s="38" t="s">
        <v>1509</v>
      </c>
      <c r="C669" s="35" t="s">
        <v>1761</v>
      </c>
      <c r="D669" s="35" t="s">
        <v>79</v>
      </c>
      <c r="E669" s="35" t="s">
        <v>196</v>
      </c>
      <c r="F669" s="36">
        <v>46155</v>
      </c>
      <c r="G669" s="37" t="s">
        <v>1766</v>
      </c>
    </row>
    <row r="670" spans="1:7">
      <c r="A670" s="34" t="s">
        <v>1767</v>
      </c>
      <c r="B670" s="38" t="s">
        <v>1602</v>
      </c>
      <c r="C670" s="35" t="s">
        <v>1761</v>
      </c>
      <c r="D670" s="35" t="s">
        <v>41</v>
      </c>
      <c r="E670" s="35" t="s">
        <v>42</v>
      </c>
      <c r="F670" s="36">
        <v>46155</v>
      </c>
      <c r="G670" s="37" t="s">
        <v>1766</v>
      </c>
    </row>
    <row r="671" spans="1:7">
      <c r="A671" s="34" t="s">
        <v>1767</v>
      </c>
      <c r="B671" s="38" t="s">
        <v>1486</v>
      </c>
      <c r="C671" s="35" t="s">
        <v>1761</v>
      </c>
      <c r="D671" s="35" t="s">
        <v>74</v>
      </c>
      <c r="E671" s="35" t="s">
        <v>77</v>
      </c>
      <c r="F671" s="36">
        <v>46155</v>
      </c>
      <c r="G671" s="37" t="s">
        <v>1766</v>
      </c>
    </row>
    <row r="672" spans="1:7">
      <c r="A672" s="34" t="s">
        <v>1767</v>
      </c>
      <c r="B672" s="38" t="s">
        <v>1539</v>
      </c>
      <c r="C672" s="35" t="s">
        <v>1761</v>
      </c>
      <c r="D672" s="35" t="s">
        <v>81</v>
      </c>
      <c r="E672" s="35" t="s">
        <v>80</v>
      </c>
      <c r="F672" s="36">
        <v>46155</v>
      </c>
      <c r="G672" s="37" t="s">
        <v>1766</v>
      </c>
    </row>
    <row r="673" spans="1:7">
      <c r="A673" s="34" t="s">
        <v>1767</v>
      </c>
      <c r="B673" s="38" t="s">
        <v>1543</v>
      </c>
      <c r="C673" s="35" t="s">
        <v>1761</v>
      </c>
      <c r="D673" s="35" t="s">
        <v>57</v>
      </c>
      <c r="E673" s="35" t="s">
        <v>60</v>
      </c>
      <c r="F673" s="36">
        <v>46155</v>
      </c>
      <c r="G673" s="37" t="s">
        <v>1766</v>
      </c>
    </row>
    <row r="674" spans="1:7">
      <c r="A674" s="34" t="s">
        <v>1767</v>
      </c>
      <c r="B674" s="38" t="s">
        <v>1541</v>
      </c>
      <c r="C674" s="35" t="s">
        <v>1761</v>
      </c>
      <c r="D674" s="35" t="s">
        <v>79</v>
      </c>
      <c r="E674" s="35" t="s">
        <v>195</v>
      </c>
      <c r="F674" s="36">
        <v>46155</v>
      </c>
      <c r="G674" s="37" t="s">
        <v>1766</v>
      </c>
    </row>
    <row r="675" spans="1:7">
      <c r="A675" s="34" t="s">
        <v>1767</v>
      </c>
      <c r="B675" s="38" t="s">
        <v>205</v>
      </c>
      <c r="C675" s="35" t="s">
        <v>1761</v>
      </c>
      <c r="D675" s="35" t="s">
        <v>15</v>
      </c>
      <c r="E675" s="35" t="s">
        <v>108</v>
      </c>
      <c r="F675" s="36">
        <v>46155</v>
      </c>
      <c r="G675" s="37" t="s">
        <v>1766</v>
      </c>
    </row>
    <row r="676" spans="1:7">
      <c r="A676" s="34" t="s">
        <v>1767</v>
      </c>
      <c r="B676" s="38" t="s">
        <v>1603</v>
      </c>
      <c r="C676" s="35" t="s">
        <v>1761</v>
      </c>
      <c r="D676" s="35" t="s">
        <v>41</v>
      </c>
      <c r="E676" s="35" t="s">
        <v>42</v>
      </c>
      <c r="F676" s="36">
        <v>46155</v>
      </c>
      <c r="G676" s="37" t="s">
        <v>1766</v>
      </c>
    </row>
    <row r="677" spans="1:7">
      <c r="A677" s="34" t="s">
        <v>1767</v>
      </c>
      <c r="B677" s="38" t="s">
        <v>1604</v>
      </c>
      <c r="C677" s="35" t="s">
        <v>1761</v>
      </c>
      <c r="D677" s="35" t="s">
        <v>41</v>
      </c>
      <c r="E677" s="35" t="s">
        <v>42</v>
      </c>
      <c r="F677" s="36">
        <v>46155</v>
      </c>
      <c r="G677" s="37" t="s">
        <v>1766</v>
      </c>
    </row>
    <row r="678" spans="1:7">
      <c r="A678" s="34" t="s">
        <v>1767</v>
      </c>
      <c r="B678" s="38" t="s">
        <v>1605</v>
      </c>
      <c r="C678" s="35" t="s">
        <v>1761</v>
      </c>
      <c r="D678" s="35" t="s">
        <v>41</v>
      </c>
      <c r="E678" s="35" t="s">
        <v>42</v>
      </c>
      <c r="F678" s="36">
        <v>46155</v>
      </c>
      <c r="G678" s="37" t="s">
        <v>1766</v>
      </c>
    </row>
    <row r="679" spans="1:7">
      <c r="A679" s="34" t="s">
        <v>1767</v>
      </c>
      <c r="B679" s="38" t="s">
        <v>1606</v>
      </c>
      <c r="C679" s="35" t="s">
        <v>1761</v>
      </c>
      <c r="D679" s="35" t="s">
        <v>41</v>
      </c>
      <c r="E679" s="35" t="s">
        <v>42</v>
      </c>
      <c r="F679" s="36">
        <v>46155</v>
      </c>
      <c r="G679" s="37" t="s">
        <v>1766</v>
      </c>
    </row>
    <row r="680" spans="1:7">
      <c r="A680" s="34" t="s">
        <v>1767</v>
      </c>
      <c r="B680" s="38" t="s">
        <v>1607</v>
      </c>
      <c r="C680" s="35" t="s">
        <v>1761</v>
      </c>
      <c r="D680" s="35" t="s">
        <v>41</v>
      </c>
      <c r="E680" s="35" t="s">
        <v>42</v>
      </c>
      <c r="F680" s="36">
        <v>46155</v>
      </c>
      <c r="G680" s="37" t="s">
        <v>1766</v>
      </c>
    </row>
    <row r="681" spans="1:7">
      <c r="A681" s="34" t="s">
        <v>1767</v>
      </c>
      <c r="B681" s="38" t="s">
        <v>1608</v>
      </c>
      <c r="C681" s="35" t="s">
        <v>1761</v>
      </c>
      <c r="D681" s="35" t="s">
        <v>41</v>
      </c>
      <c r="E681" s="35" t="s">
        <v>42</v>
      </c>
      <c r="F681" s="36">
        <v>46155</v>
      </c>
      <c r="G681" s="37" t="s">
        <v>1766</v>
      </c>
    </row>
    <row r="682" spans="1:7">
      <c r="A682" s="34" t="s">
        <v>1767</v>
      </c>
      <c r="B682" s="38" t="s">
        <v>1609</v>
      </c>
      <c r="C682" s="35" t="s">
        <v>1761</v>
      </c>
      <c r="D682" s="35" t="s">
        <v>41</v>
      </c>
      <c r="E682" s="35" t="s">
        <v>42</v>
      </c>
      <c r="F682" s="36">
        <v>46155</v>
      </c>
      <c r="G682" s="37" t="s">
        <v>1766</v>
      </c>
    </row>
    <row r="683" spans="1:7">
      <c r="A683" s="34" t="s">
        <v>1767</v>
      </c>
      <c r="B683" s="38" t="s">
        <v>1610</v>
      </c>
      <c r="C683" s="35" t="s">
        <v>1761</v>
      </c>
      <c r="D683" s="35" t="s">
        <v>41</v>
      </c>
      <c r="E683" s="35" t="s">
        <v>42</v>
      </c>
      <c r="F683" s="36">
        <v>46155</v>
      </c>
      <c r="G683" s="37" t="s">
        <v>1766</v>
      </c>
    </row>
    <row r="684" spans="1:7">
      <c r="A684" s="34" t="s">
        <v>1767</v>
      </c>
      <c r="B684" s="38" t="s">
        <v>1611</v>
      </c>
      <c r="C684" s="35" t="s">
        <v>1761</v>
      </c>
      <c r="D684" s="35" t="s">
        <v>41</v>
      </c>
      <c r="E684" s="35" t="s">
        <v>42</v>
      </c>
      <c r="F684" s="36">
        <v>46155</v>
      </c>
      <c r="G684" s="37" t="s">
        <v>1766</v>
      </c>
    </row>
    <row r="685" spans="1:7">
      <c r="A685" s="34" t="s">
        <v>1767</v>
      </c>
      <c r="B685" s="38" t="s">
        <v>1612</v>
      </c>
      <c r="C685" s="35" t="s">
        <v>1761</v>
      </c>
      <c r="D685" s="35" t="s">
        <v>41</v>
      </c>
      <c r="E685" s="35" t="s">
        <v>42</v>
      </c>
      <c r="F685" s="36">
        <v>46155</v>
      </c>
      <c r="G685" s="37" t="s">
        <v>1766</v>
      </c>
    </row>
    <row r="686" spans="1:7">
      <c r="A686" s="34" t="s">
        <v>1767</v>
      </c>
      <c r="B686" s="38" t="s">
        <v>1613</v>
      </c>
      <c r="C686" s="35" t="s">
        <v>1761</v>
      </c>
      <c r="D686" s="35" t="s">
        <v>41</v>
      </c>
      <c r="E686" s="35" t="s">
        <v>42</v>
      </c>
      <c r="F686" s="36">
        <v>46155</v>
      </c>
      <c r="G686" s="37" t="s">
        <v>1766</v>
      </c>
    </row>
    <row r="687" spans="1:7">
      <c r="A687" s="34" t="s">
        <v>1767</v>
      </c>
      <c r="B687" s="38" t="s">
        <v>1614</v>
      </c>
      <c r="C687" s="35" t="s">
        <v>1761</v>
      </c>
      <c r="D687" s="35" t="s">
        <v>41</v>
      </c>
      <c r="E687" s="35" t="s">
        <v>42</v>
      </c>
      <c r="F687" s="36">
        <v>46155</v>
      </c>
      <c r="G687" s="37" t="s">
        <v>1766</v>
      </c>
    </row>
    <row r="688" spans="1:7">
      <c r="A688" s="34" t="s">
        <v>1767</v>
      </c>
      <c r="B688" s="38" t="s">
        <v>1615</v>
      </c>
      <c r="C688" s="35" t="s">
        <v>1761</v>
      </c>
      <c r="D688" s="35" t="s">
        <v>41</v>
      </c>
      <c r="E688" s="35" t="s">
        <v>42</v>
      </c>
      <c r="F688" s="36">
        <v>46155</v>
      </c>
      <c r="G688" s="37" t="s">
        <v>1766</v>
      </c>
    </row>
    <row r="689" spans="1:7">
      <c r="A689" s="34" t="s">
        <v>1767</v>
      </c>
      <c r="B689" s="38" t="s">
        <v>1616</v>
      </c>
      <c r="C689" s="35" t="s">
        <v>1761</v>
      </c>
      <c r="D689" s="35" t="s">
        <v>41</v>
      </c>
      <c r="E689" s="35" t="s">
        <v>42</v>
      </c>
      <c r="F689" s="36">
        <v>46155</v>
      </c>
      <c r="G689" s="37" t="s">
        <v>1766</v>
      </c>
    </row>
    <row r="690" spans="1:7">
      <c r="A690" s="34" t="s">
        <v>1767</v>
      </c>
      <c r="B690" s="38" t="s">
        <v>1617</v>
      </c>
      <c r="C690" s="35" t="s">
        <v>1761</v>
      </c>
      <c r="D690" s="35" t="s">
        <v>41</v>
      </c>
      <c r="E690" s="35" t="s">
        <v>42</v>
      </c>
      <c r="F690" s="36">
        <v>46155</v>
      </c>
      <c r="G690" s="37" t="s">
        <v>1766</v>
      </c>
    </row>
    <row r="691" spans="1:7">
      <c r="A691" s="34" t="s">
        <v>1767</v>
      </c>
      <c r="B691" s="38" t="s">
        <v>1618</v>
      </c>
      <c r="C691" s="35" t="s">
        <v>1761</v>
      </c>
      <c r="D691" s="35" t="s">
        <v>41</v>
      </c>
      <c r="E691" s="35" t="s">
        <v>42</v>
      </c>
      <c r="F691" s="36">
        <v>46155</v>
      </c>
      <c r="G691" s="37" t="s">
        <v>1766</v>
      </c>
    </row>
    <row r="692" spans="1:7">
      <c r="A692" s="34" t="s">
        <v>1767</v>
      </c>
      <c r="B692" s="38" t="s">
        <v>1619</v>
      </c>
      <c r="C692" s="35" t="s">
        <v>1761</v>
      </c>
      <c r="D692" s="35" t="s">
        <v>41</v>
      </c>
      <c r="E692" s="35" t="s">
        <v>42</v>
      </c>
      <c r="F692" s="36">
        <v>46155</v>
      </c>
      <c r="G692" s="37" t="s">
        <v>1766</v>
      </c>
    </row>
    <row r="693" spans="1:7">
      <c r="A693" s="34" t="s">
        <v>1767</v>
      </c>
      <c r="B693" s="38" t="s">
        <v>1620</v>
      </c>
      <c r="C693" s="35" t="s">
        <v>1761</v>
      </c>
      <c r="D693" s="35" t="s">
        <v>41</v>
      </c>
      <c r="E693" s="35" t="s">
        <v>42</v>
      </c>
      <c r="F693" s="36">
        <v>46155</v>
      </c>
      <c r="G693" s="37" t="s">
        <v>1766</v>
      </c>
    </row>
    <row r="694" spans="1:7">
      <c r="A694" s="34" t="s">
        <v>1767</v>
      </c>
      <c r="B694" s="38" t="s">
        <v>1621</v>
      </c>
      <c r="C694" s="35" t="s">
        <v>1761</v>
      </c>
      <c r="D694" s="35" t="s">
        <v>41</v>
      </c>
      <c r="E694" s="35" t="s">
        <v>42</v>
      </c>
      <c r="F694" s="36">
        <v>46155</v>
      </c>
      <c r="G694" s="37" t="s">
        <v>1766</v>
      </c>
    </row>
    <row r="695" spans="1:7">
      <c r="A695" s="34" t="s">
        <v>1767</v>
      </c>
      <c r="B695" s="38" t="s">
        <v>1622</v>
      </c>
      <c r="C695" s="35" t="s">
        <v>1761</v>
      </c>
      <c r="D695" s="35" t="s">
        <v>41</v>
      </c>
      <c r="E695" s="35" t="s">
        <v>42</v>
      </c>
      <c r="F695" s="36">
        <v>46155</v>
      </c>
      <c r="G695" s="37" t="s">
        <v>1766</v>
      </c>
    </row>
    <row r="696" spans="1:7">
      <c r="A696" s="34" t="s">
        <v>1767</v>
      </c>
      <c r="B696" s="38" t="s">
        <v>1623</v>
      </c>
      <c r="C696" s="35" t="s">
        <v>1761</v>
      </c>
      <c r="D696" s="35" t="s">
        <v>41</v>
      </c>
      <c r="E696" s="35" t="s">
        <v>42</v>
      </c>
      <c r="F696" s="36">
        <v>46155</v>
      </c>
      <c r="G696" s="37" t="s">
        <v>1766</v>
      </c>
    </row>
    <row r="697" spans="1:7">
      <c r="A697" s="34" t="s">
        <v>1767</v>
      </c>
      <c r="B697" s="38" t="s">
        <v>1624</v>
      </c>
      <c r="C697" s="35" t="s">
        <v>1761</v>
      </c>
      <c r="D697" s="35" t="s">
        <v>41</v>
      </c>
      <c r="E697" s="35" t="s">
        <v>42</v>
      </c>
      <c r="F697" s="36">
        <v>46155</v>
      </c>
      <c r="G697" s="37" t="s">
        <v>1766</v>
      </c>
    </row>
    <row r="698" spans="1:7">
      <c r="A698" s="34" t="s">
        <v>1767</v>
      </c>
      <c r="B698" s="38" t="s">
        <v>1625</v>
      </c>
      <c r="C698" s="35" t="s">
        <v>1761</v>
      </c>
      <c r="D698" s="35" t="s">
        <v>41</v>
      </c>
      <c r="E698" s="35" t="s">
        <v>42</v>
      </c>
      <c r="F698" s="36">
        <v>46155</v>
      </c>
      <c r="G698" s="37" t="s">
        <v>1766</v>
      </c>
    </row>
    <row r="699" spans="1:7">
      <c r="A699" s="34" t="s">
        <v>1767</v>
      </c>
      <c r="B699" s="38" t="s">
        <v>1626</v>
      </c>
      <c r="C699" s="35" t="s">
        <v>1761</v>
      </c>
      <c r="D699" s="35" t="s">
        <v>41</v>
      </c>
      <c r="E699" s="35" t="s">
        <v>42</v>
      </c>
      <c r="F699" s="36">
        <v>46155</v>
      </c>
      <c r="G699" s="37" t="s">
        <v>1766</v>
      </c>
    </row>
    <row r="700" spans="1:7">
      <c r="A700" s="34" t="s">
        <v>1767</v>
      </c>
      <c r="B700" s="38" t="s">
        <v>1627</v>
      </c>
      <c r="C700" s="35" t="s">
        <v>1761</v>
      </c>
      <c r="D700" s="35" t="s">
        <v>41</v>
      </c>
      <c r="E700" s="35" t="s">
        <v>42</v>
      </c>
      <c r="F700" s="36">
        <v>46155</v>
      </c>
      <c r="G700" s="37" t="s">
        <v>1766</v>
      </c>
    </row>
    <row r="701" spans="1:7">
      <c r="A701" s="34" t="s">
        <v>1767</v>
      </c>
      <c r="B701" s="38" t="s">
        <v>1628</v>
      </c>
      <c r="C701" s="35" t="s">
        <v>1761</v>
      </c>
      <c r="D701" s="35" t="s">
        <v>41</v>
      </c>
      <c r="E701" s="35" t="s">
        <v>42</v>
      </c>
      <c r="F701" s="36">
        <v>46155</v>
      </c>
      <c r="G701" s="37" t="s">
        <v>1766</v>
      </c>
    </row>
    <row r="702" spans="1:7">
      <c r="A702" s="34" t="s">
        <v>1767</v>
      </c>
      <c r="B702" s="38" t="s">
        <v>1629</v>
      </c>
      <c r="C702" s="35" t="s">
        <v>1761</v>
      </c>
      <c r="D702" s="35" t="s">
        <v>41</v>
      </c>
      <c r="E702" s="35" t="s">
        <v>42</v>
      </c>
      <c r="F702" s="36">
        <v>46155</v>
      </c>
      <c r="G702" s="37" t="s">
        <v>1766</v>
      </c>
    </row>
    <row r="703" spans="1:7">
      <c r="A703" s="34" t="s">
        <v>1767</v>
      </c>
      <c r="B703" s="38" t="s">
        <v>1630</v>
      </c>
      <c r="C703" s="35" t="s">
        <v>1761</v>
      </c>
      <c r="D703" s="35" t="s">
        <v>41</v>
      </c>
      <c r="E703" s="35" t="s">
        <v>42</v>
      </c>
      <c r="F703" s="36">
        <v>46155</v>
      </c>
      <c r="G703" s="37" t="s">
        <v>1766</v>
      </c>
    </row>
    <row r="704" spans="1:7">
      <c r="A704" s="34" t="s">
        <v>1767</v>
      </c>
      <c r="B704" s="38" t="s">
        <v>1631</v>
      </c>
      <c r="C704" s="35" t="s">
        <v>1761</v>
      </c>
      <c r="D704" s="35" t="s">
        <v>41</v>
      </c>
      <c r="E704" s="35" t="s">
        <v>42</v>
      </c>
      <c r="F704" s="36">
        <v>46155</v>
      </c>
      <c r="G704" s="37" t="s">
        <v>1766</v>
      </c>
    </row>
    <row r="705" spans="1:7">
      <c r="A705" s="34" t="s">
        <v>1767</v>
      </c>
      <c r="B705" s="38" t="s">
        <v>1632</v>
      </c>
      <c r="C705" s="35" t="s">
        <v>1761</v>
      </c>
      <c r="D705" s="35" t="s">
        <v>41</v>
      </c>
      <c r="E705" s="35" t="s">
        <v>42</v>
      </c>
      <c r="F705" s="36">
        <v>46155</v>
      </c>
      <c r="G705" s="37" t="s">
        <v>1766</v>
      </c>
    </row>
    <row r="706" spans="1:7">
      <c r="A706" s="34" t="s">
        <v>1767</v>
      </c>
      <c r="B706" s="38" t="s">
        <v>1633</v>
      </c>
      <c r="C706" s="35" t="s">
        <v>1761</v>
      </c>
      <c r="D706" s="35" t="s">
        <v>41</v>
      </c>
      <c r="E706" s="35" t="s">
        <v>42</v>
      </c>
      <c r="F706" s="36">
        <v>46155</v>
      </c>
      <c r="G706" s="37" t="s">
        <v>1766</v>
      </c>
    </row>
    <row r="707" spans="1:7">
      <c r="A707" s="34" t="s">
        <v>1767</v>
      </c>
      <c r="B707" s="38" t="s">
        <v>1634</v>
      </c>
      <c r="C707" s="35" t="s">
        <v>1761</v>
      </c>
      <c r="D707" s="35" t="s">
        <v>41</v>
      </c>
      <c r="E707" s="35" t="s">
        <v>42</v>
      </c>
      <c r="F707" s="36">
        <v>46155</v>
      </c>
      <c r="G707" s="37" t="s">
        <v>1766</v>
      </c>
    </row>
    <row r="708" spans="1:7">
      <c r="A708" s="34" t="s">
        <v>1767</v>
      </c>
      <c r="B708" s="38" t="s">
        <v>1635</v>
      </c>
      <c r="C708" s="35" t="s">
        <v>1761</v>
      </c>
      <c r="D708" s="35" t="s">
        <v>41</v>
      </c>
      <c r="E708" s="35" t="s">
        <v>42</v>
      </c>
      <c r="F708" s="36">
        <v>46155</v>
      </c>
      <c r="G708" s="37" t="s">
        <v>1766</v>
      </c>
    </row>
    <row r="709" spans="1:7">
      <c r="A709" s="34" t="s">
        <v>1767</v>
      </c>
      <c r="B709" s="38" t="s">
        <v>1636</v>
      </c>
      <c r="C709" s="35" t="s">
        <v>1761</v>
      </c>
      <c r="D709" s="35" t="s">
        <v>41</v>
      </c>
      <c r="E709" s="35" t="s">
        <v>42</v>
      </c>
      <c r="F709" s="36">
        <v>46155</v>
      </c>
      <c r="G709" s="37" t="s">
        <v>1766</v>
      </c>
    </row>
    <row r="710" spans="1:7">
      <c r="A710" s="34" t="s">
        <v>1767</v>
      </c>
      <c r="B710" s="38" t="s">
        <v>1637</v>
      </c>
      <c r="C710" s="35" t="s">
        <v>1761</v>
      </c>
      <c r="D710" s="35" t="s">
        <v>41</v>
      </c>
      <c r="E710" s="35" t="s">
        <v>42</v>
      </c>
      <c r="F710" s="36">
        <v>46155</v>
      </c>
      <c r="G710" s="37" t="s">
        <v>1766</v>
      </c>
    </row>
    <row r="711" spans="1:7">
      <c r="A711" s="34" t="s">
        <v>1767</v>
      </c>
      <c r="B711" s="38" t="s">
        <v>1638</v>
      </c>
      <c r="C711" s="35" t="s">
        <v>1761</v>
      </c>
      <c r="D711" s="35" t="s">
        <v>41</v>
      </c>
      <c r="E711" s="35" t="s">
        <v>42</v>
      </c>
      <c r="F711" s="36">
        <v>46155</v>
      </c>
      <c r="G711" s="37" t="s">
        <v>1766</v>
      </c>
    </row>
    <row r="712" spans="1:7">
      <c r="A712" s="34" t="s">
        <v>1767</v>
      </c>
      <c r="B712" s="38" t="s">
        <v>1639</v>
      </c>
      <c r="C712" s="35" t="s">
        <v>1761</v>
      </c>
      <c r="D712" s="35" t="s">
        <v>41</v>
      </c>
      <c r="E712" s="35" t="s">
        <v>42</v>
      </c>
      <c r="F712" s="36">
        <v>46155</v>
      </c>
      <c r="G712" s="37" t="s">
        <v>1766</v>
      </c>
    </row>
    <row r="713" spans="1:7">
      <c r="A713" s="34" t="s">
        <v>1767</v>
      </c>
      <c r="B713" s="38" t="s">
        <v>1640</v>
      </c>
      <c r="C713" s="35" t="s">
        <v>1761</v>
      </c>
      <c r="D713" s="35" t="s">
        <v>41</v>
      </c>
      <c r="E713" s="35" t="s">
        <v>42</v>
      </c>
      <c r="F713" s="36">
        <v>46155</v>
      </c>
      <c r="G713" s="37" t="s">
        <v>1766</v>
      </c>
    </row>
    <row r="714" spans="1:7">
      <c r="A714" s="34" t="s">
        <v>1767</v>
      </c>
      <c r="B714" s="38" t="s">
        <v>1641</v>
      </c>
      <c r="C714" s="35" t="s">
        <v>1761</v>
      </c>
      <c r="D714" s="35" t="s">
        <v>41</v>
      </c>
      <c r="E714" s="35" t="s">
        <v>42</v>
      </c>
      <c r="F714" s="36">
        <v>46155</v>
      </c>
      <c r="G714" s="37" t="s">
        <v>1766</v>
      </c>
    </row>
    <row r="715" spans="1:7">
      <c r="A715" s="34" t="s">
        <v>1767</v>
      </c>
      <c r="B715" s="38" t="s">
        <v>1642</v>
      </c>
      <c r="C715" s="35" t="s">
        <v>1761</v>
      </c>
      <c r="D715" s="35" t="s">
        <v>41</v>
      </c>
      <c r="E715" s="35" t="s">
        <v>42</v>
      </c>
      <c r="F715" s="36">
        <v>46155</v>
      </c>
      <c r="G715" s="37" t="s">
        <v>1766</v>
      </c>
    </row>
    <row r="716" spans="1:7">
      <c r="A716" s="34" t="s">
        <v>1767</v>
      </c>
      <c r="B716" s="38" t="s">
        <v>1643</v>
      </c>
      <c r="C716" s="35" t="s">
        <v>1761</v>
      </c>
      <c r="D716" s="35" t="s">
        <v>41</v>
      </c>
      <c r="E716" s="35" t="s">
        <v>42</v>
      </c>
      <c r="F716" s="36">
        <v>46155</v>
      </c>
      <c r="G716" s="37" t="s">
        <v>1766</v>
      </c>
    </row>
    <row r="717" spans="1:7">
      <c r="A717" s="34" t="s">
        <v>1767</v>
      </c>
      <c r="B717" s="38" t="s">
        <v>1644</v>
      </c>
      <c r="C717" s="35" t="s">
        <v>1761</v>
      </c>
      <c r="D717" s="35" t="s">
        <v>41</v>
      </c>
      <c r="E717" s="35" t="s">
        <v>42</v>
      </c>
      <c r="F717" s="36">
        <v>46155</v>
      </c>
      <c r="G717" s="37" t="s">
        <v>1766</v>
      </c>
    </row>
    <row r="718" spans="1:7">
      <c r="A718" s="34" t="s">
        <v>1767</v>
      </c>
      <c r="B718" s="38" t="s">
        <v>1645</v>
      </c>
      <c r="C718" s="35" t="s">
        <v>1761</v>
      </c>
      <c r="D718" s="35" t="s">
        <v>41</v>
      </c>
      <c r="E718" s="35" t="s">
        <v>42</v>
      </c>
      <c r="F718" s="36">
        <v>46155</v>
      </c>
      <c r="G718" s="37" t="s">
        <v>1766</v>
      </c>
    </row>
    <row r="719" spans="1:7">
      <c r="A719" s="34" t="s">
        <v>1767</v>
      </c>
      <c r="B719" s="38" t="s">
        <v>1646</v>
      </c>
      <c r="C719" s="35" t="s">
        <v>1761</v>
      </c>
      <c r="D719" s="35" t="s">
        <v>41</v>
      </c>
      <c r="E719" s="35" t="s">
        <v>42</v>
      </c>
      <c r="F719" s="36">
        <v>46155</v>
      </c>
      <c r="G719" s="37" t="s">
        <v>1766</v>
      </c>
    </row>
    <row r="720" spans="1:7">
      <c r="A720" s="34" t="s">
        <v>1767</v>
      </c>
      <c r="B720" s="38" t="s">
        <v>201</v>
      </c>
      <c r="C720" s="35" t="s">
        <v>1761</v>
      </c>
      <c r="D720" s="35" t="s">
        <v>27</v>
      </c>
      <c r="E720" s="35" t="s">
        <v>107</v>
      </c>
      <c r="F720" s="36">
        <v>46155</v>
      </c>
      <c r="G720" s="37" t="s">
        <v>1766</v>
      </c>
    </row>
    <row r="721" spans="1:7">
      <c r="A721" s="34" t="s">
        <v>1767</v>
      </c>
      <c r="B721" s="38" t="s">
        <v>1535</v>
      </c>
      <c r="C721" s="35" t="s">
        <v>1761</v>
      </c>
      <c r="D721" s="35" t="s">
        <v>53</v>
      </c>
      <c r="E721" s="35" t="s">
        <v>1078</v>
      </c>
      <c r="F721" s="36">
        <v>46155</v>
      </c>
      <c r="G721" s="37" t="s">
        <v>1766</v>
      </c>
    </row>
    <row r="722" spans="1:7">
      <c r="A722" s="34" t="s">
        <v>1767</v>
      </c>
      <c r="B722" s="38" t="s">
        <v>1534</v>
      </c>
      <c r="C722" s="35" t="s">
        <v>1761</v>
      </c>
      <c r="D722" s="35" t="s">
        <v>53</v>
      </c>
      <c r="E722" s="35" t="s">
        <v>1078</v>
      </c>
      <c r="F722" s="36">
        <v>46155</v>
      </c>
      <c r="G722" s="37" t="s">
        <v>1766</v>
      </c>
    </row>
    <row r="723" spans="1:7">
      <c r="A723" s="34" t="s">
        <v>1767</v>
      </c>
      <c r="B723" s="38" t="s">
        <v>1647</v>
      </c>
      <c r="C723" s="35" t="s">
        <v>1761</v>
      </c>
      <c r="D723" s="35" t="s">
        <v>41</v>
      </c>
      <c r="E723" s="35" t="s">
        <v>42</v>
      </c>
      <c r="F723" s="36">
        <v>46155</v>
      </c>
      <c r="G723" s="37" t="s">
        <v>1766</v>
      </c>
    </row>
    <row r="724" spans="1:7">
      <c r="A724" s="34" t="s">
        <v>1767</v>
      </c>
      <c r="B724" s="38" t="s">
        <v>1648</v>
      </c>
      <c r="C724" s="35" t="s">
        <v>1761</v>
      </c>
      <c r="D724" s="35" t="s">
        <v>41</v>
      </c>
      <c r="E724" s="35" t="s">
        <v>42</v>
      </c>
      <c r="F724" s="36">
        <v>46155</v>
      </c>
      <c r="G724" s="37" t="s">
        <v>1766</v>
      </c>
    </row>
    <row r="725" spans="1:7">
      <c r="A725" s="34" t="s">
        <v>1767</v>
      </c>
      <c r="B725" s="38" t="s">
        <v>1465</v>
      </c>
      <c r="C725" s="35" t="s">
        <v>1761</v>
      </c>
      <c r="D725" s="35" t="s">
        <v>27</v>
      </c>
      <c r="E725" s="35" t="s">
        <v>107</v>
      </c>
      <c r="F725" s="36">
        <v>46155</v>
      </c>
      <c r="G725" s="37" t="s">
        <v>1766</v>
      </c>
    </row>
    <row r="726" spans="1:7">
      <c r="A726" s="34" t="s">
        <v>1767</v>
      </c>
      <c r="B726" s="38" t="s">
        <v>1564</v>
      </c>
      <c r="C726" s="35" t="s">
        <v>1761</v>
      </c>
      <c r="D726" s="35" t="s">
        <v>37</v>
      </c>
      <c r="E726" s="35" t="s">
        <v>38</v>
      </c>
      <c r="F726" s="36">
        <v>46155</v>
      </c>
      <c r="G726" s="37" t="s">
        <v>1766</v>
      </c>
    </row>
    <row r="727" spans="1:7">
      <c r="A727" s="34" t="s">
        <v>1767</v>
      </c>
      <c r="B727" s="38" t="s">
        <v>1467</v>
      </c>
      <c r="C727" s="35" t="s">
        <v>1761</v>
      </c>
      <c r="D727" s="35" t="s">
        <v>14</v>
      </c>
      <c r="E727" s="35" t="s">
        <v>106</v>
      </c>
      <c r="F727" s="36">
        <v>46155</v>
      </c>
      <c r="G727" s="37" t="s">
        <v>1766</v>
      </c>
    </row>
    <row r="728" spans="1:7">
      <c r="A728" s="34" t="s">
        <v>1767</v>
      </c>
      <c r="B728" s="38" t="s">
        <v>1478</v>
      </c>
      <c r="C728" s="35" t="s">
        <v>1761</v>
      </c>
      <c r="D728" s="35" t="s">
        <v>7</v>
      </c>
      <c r="E728" s="35" t="s">
        <v>8</v>
      </c>
      <c r="F728" s="36">
        <v>46155</v>
      </c>
      <c r="G728" s="37" t="s">
        <v>1766</v>
      </c>
    </row>
    <row r="729" spans="1:7">
      <c r="A729" s="34" t="s">
        <v>1767</v>
      </c>
      <c r="B729" s="38" t="s">
        <v>1649</v>
      </c>
      <c r="C729" s="35" t="s">
        <v>1761</v>
      </c>
      <c r="D729" s="35" t="s">
        <v>41</v>
      </c>
      <c r="E729" s="35" t="s">
        <v>42</v>
      </c>
      <c r="F729" s="36">
        <v>46155</v>
      </c>
      <c r="G729" s="37" t="s">
        <v>1766</v>
      </c>
    </row>
    <row r="730" spans="1:7">
      <c r="A730" s="34" t="s">
        <v>1767</v>
      </c>
      <c r="B730" s="38" t="s">
        <v>207</v>
      </c>
      <c r="C730" s="35" t="s">
        <v>1761</v>
      </c>
      <c r="D730" s="35" t="s">
        <v>41</v>
      </c>
      <c r="E730" s="35" t="s">
        <v>42</v>
      </c>
      <c r="F730" s="36">
        <v>46155</v>
      </c>
      <c r="G730" s="37" t="s">
        <v>1766</v>
      </c>
    </row>
    <row r="731" spans="1:7">
      <c r="A731" s="34" t="s">
        <v>1767</v>
      </c>
      <c r="B731" s="38" t="s">
        <v>1650</v>
      </c>
      <c r="C731" s="35" t="s">
        <v>1761</v>
      </c>
      <c r="D731" s="35" t="s">
        <v>41</v>
      </c>
      <c r="E731" s="35" t="s">
        <v>42</v>
      </c>
      <c r="F731" s="36">
        <v>46155</v>
      </c>
      <c r="G731" s="37" t="s">
        <v>1766</v>
      </c>
    </row>
    <row r="732" spans="1:7">
      <c r="A732" s="34" t="s">
        <v>1767</v>
      </c>
      <c r="B732" s="38" t="s">
        <v>1469</v>
      </c>
      <c r="C732" s="35" t="s">
        <v>1761</v>
      </c>
      <c r="D732" s="35" t="s">
        <v>41</v>
      </c>
      <c r="E732" s="35" t="s">
        <v>42</v>
      </c>
      <c r="F732" s="36">
        <v>46155</v>
      </c>
      <c r="G732" s="37" t="s">
        <v>1766</v>
      </c>
    </row>
    <row r="733" spans="1:7">
      <c r="A733" s="34" t="s">
        <v>1767</v>
      </c>
      <c r="B733" s="38" t="s">
        <v>1489</v>
      </c>
      <c r="C733" s="35" t="s">
        <v>1761</v>
      </c>
      <c r="D733" s="35" t="s">
        <v>41</v>
      </c>
      <c r="E733" s="35" t="s">
        <v>42</v>
      </c>
      <c r="F733" s="36">
        <v>46155</v>
      </c>
      <c r="G733" s="37" t="s">
        <v>1766</v>
      </c>
    </row>
    <row r="734" spans="1:7">
      <c r="A734" s="34" t="s">
        <v>1767</v>
      </c>
      <c r="B734" s="38" t="s">
        <v>1651</v>
      </c>
      <c r="C734" s="35" t="s">
        <v>1761</v>
      </c>
      <c r="D734" s="35" t="s">
        <v>41</v>
      </c>
      <c r="E734" s="35" t="s">
        <v>42</v>
      </c>
      <c r="F734" s="36">
        <v>46155</v>
      </c>
      <c r="G734" s="37" t="s">
        <v>1766</v>
      </c>
    </row>
    <row r="735" spans="1:7">
      <c r="A735" s="34" t="s">
        <v>1767</v>
      </c>
      <c r="B735" s="38" t="s">
        <v>1652</v>
      </c>
      <c r="C735" s="35" t="s">
        <v>1761</v>
      </c>
      <c r="D735" s="35" t="s">
        <v>41</v>
      </c>
      <c r="E735" s="35" t="s">
        <v>42</v>
      </c>
      <c r="F735" s="36">
        <v>46155</v>
      </c>
      <c r="G735" s="37" t="s">
        <v>1766</v>
      </c>
    </row>
    <row r="736" spans="1:7">
      <c r="A736" s="34" t="s">
        <v>1767</v>
      </c>
      <c r="B736" s="38" t="s">
        <v>1475</v>
      </c>
      <c r="C736" s="35" t="s">
        <v>1761</v>
      </c>
      <c r="D736" s="35" t="s">
        <v>41</v>
      </c>
      <c r="E736" s="35" t="s">
        <v>42</v>
      </c>
      <c r="F736" s="36">
        <v>46155</v>
      </c>
      <c r="G736" s="37" t="s">
        <v>1766</v>
      </c>
    </row>
    <row r="737" spans="1:7">
      <c r="A737" s="34" t="s">
        <v>1767</v>
      </c>
      <c r="B737" s="38" t="s">
        <v>1542</v>
      </c>
      <c r="C737" s="35" t="s">
        <v>1761</v>
      </c>
      <c r="D737" s="35" t="s">
        <v>41</v>
      </c>
      <c r="E737" s="35" t="s">
        <v>42</v>
      </c>
      <c r="F737" s="36">
        <v>46155</v>
      </c>
      <c r="G737" s="37" t="s">
        <v>1766</v>
      </c>
    </row>
    <row r="738" spans="1:7">
      <c r="A738" s="34" t="s">
        <v>1767</v>
      </c>
      <c r="B738" s="38" t="s">
        <v>1653</v>
      </c>
      <c r="C738" s="35" t="s">
        <v>1761</v>
      </c>
      <c r="D738" s="35" t="s">
        <v>74</v>
      </c>
      <c r="E738" s="35" t="s">
        <v>193</v>
      </c>
      <c r="F738" s="36">
        <v>46155</v>
      </c>
      <c r="G738" s="37" t="s">
        <v>1766</v>
      </c>
    </row>
    <row r="739" spans="1:7">
      <c r="A739" s="34" t="s">
        <v>1767</v>
      </c>
      <c r="B739" s="38" t="s">
        <v>1525</v>
      </c>
      <c r="C739" s="35" t="s">
        <v>1761</v>
      </c>
      <c r="D739" s="35" t="s">
        <v>41</v>
      </c>
      <c r="E739" s="35" t="s">
        <v>42</v>
      </c>
      <c r="F739" s="36">
        <v>46155</v>
      </c>
      <c r="G739" s="37" t="s">
        <v>1766</v>
      </c>
    </row>
    <row r="740" spans="1:7">
      <c r="A740" s="34" t="s">
        <v>1767</v>
      </c>
      <c r="B740" s="38" t="s">
        <v>1654</v>
      </c>
      <c r="C740" s="35" t="s">
        <v>1761</v>
      </c>
      <c r="D740" s="35" t="s">
        <v>41</v>
      </c>
      <c r="E740" s="35" t="s">
        <v>42</v>
      </c>
      <c r="F740" s="36">
        <v>46155</v>
      </c>
      <c r="G740" s="37" t="s">
        <v>1766</v>
      </c>
    </row>
    <row r="741" spans="1:7">
      <c r="A741" s="34" t="s">
        <v>1767</v>
      </c>
      <c r="B741" s="38" t="s">
        <v>1493</v>
      </c>
      <c r="C741" s="35" t="s">
        <v>1761</v>
      </c>
      <c r="D741" s="35" t="s">
        <v>74</v>
      </c>
      <c r="E741" s="35" t="s">
        <v>75</v>
      </c>
      <c r="F741" s="36">
        <v>46155</v>
      </c>
      <c r="G741" s="37" t="s">
        <v>1766</v>
      </c>
    </row>
    <row r="742" spans="1:7">
      <c r="A742" s="34" t="s">
        <v>1767</v>
      </c>
      <c r="B742" s="38" t="s">
        <v>1565</v>
      </c>
      <c r="C742" s="35" t="s">
        <v>1761</v>
      </c>
      <c r="D742" s="35" t="s">
        <v>41</v>
      </c>
      <c r="E742" s="35" t="s">
        <v>42</v>
      </c>
      <c r="F742" s="36">
        <v>46155</v>
      </c>
      <c r="G742" s="37" t="s">
        <v>1766</v>
      </c>
    </row>
    <row r="743" spans="1:7">
      <c r="A743" s="34" t="s">
        <v>1767</v>
      </c>
      <c r="B743" s="38" t="s">
        <v>206</v>
      </c>
      <c r="C743" s="35" t="s">
        <v>1761</v>
      </c>
      <c r="D743" s="35" t="s">
        <v>41</v>
      </c>
      <c r="E743" s="35" t="s">
        <v>42</v>
      </c>
      <c r="F743" s="36">
        <v>46155</v>
      </c>
      <c r="G743" s="37" t="s">
        <v>1766</v>
      </c>
    </row>
    <row r="744" spans="1:7">
      <c r="A744" s="34" t="s">
        <v>1767</v>
      </c>
      <c r="B744" s="38" t="s">
        <v>200</v>
      </c>
      <c r="C744" s="35" t="s">
        <v>1761</v>
      </c>
      <c r="D744" s="35" t="s">
        <v>27</v>
      </c>
      <c r="E744" s="35" t="s">
        <v>107</v>
      </c>
      <c r="F744" s="36">
        <v>46155</v>
      </c>
      <c r="G744" s="37" t="s">
        <v>1766</v>
      </c>
    </row>
    <row r="745" spans="1:7">
      <c r="A745" s="34" t="s">
        <v>1767</v>
      </c>
      <c r="B745" s="38" t="s">
        <v>1655</v>
      </c>
      <c r="C745" s="35" t="s">
        <v>1761</v>
      </c>
      <c r="D745" s="35" t="s">
        <v>41</v>
      </c>
      <c r="E745" s="35" t="s">
        <v>42</v>
      </c>
      <c r="F745" s="36">
        <v>46155</v>
      </c>
      <c r="G745" s="37" t="s">
        <v>1766</v>
      </c>
    </row>
    <row r="746" spans="1:7">
      <c r="A746" s="34" t="s">
        <v>1767</v>
      </c>
      <c r="B746" s="38" t="s">
        <v>1656</v>
      </c>
      <c r="C746" s="35" t="s">
        <v>1761</v>
      </c>
      <c r="D746" s="35" t="s">
        <v>41</v>
      </c>
      <c r="E746" s="35" t="s">
        <v>42</v>
      </c>
      <c r="F746" s="36">
        <v>46155</v>
      </c>
      <c r="G746" s="37" t="s">
        <v>1766</v>
      </c>
    </row>
    <row r="747" spans="1:7">
      <c r="A747" s="34" t="s">
        <v>1767</v>
      </c>
      <c r="B747" s="38" t="s">
        <v>1501</v>
      </c>
      <c r="C747" s="35" t="s">
        <v>1761</v>
      </c>
      <c r="D747" s="35" t="s">
        <v>41</v>
      </c>
      <c r="E747" s="35" t="s">
        <v>42</v>
      </c>
      <c r="F747" s="36">
        <v>46155</v>
      </c>
      <c r="G747" s="37" t="s">
        <v>1766</v>
      </c>
    </row>
    <row r="748" spans="1:7">
      <c r="A748" s="34" t="s">
        <v>1767</v>
      </c>
      <c r="B748" s="38" t="s">
        <v>1657</v>
      </c>
      <c r="C748" s="35" t="s">
        <v>1761</v>
      </c>
      <c r="D748" s="35" t="s">
        <v>41</v>
      </c>
      <c r="E748" s="35" t="s">
        <v>42</v>
      </c>
      <c r="F748" s="36">
        <v>46155</v>
      </c>
      <c r="G748" s="37" t="s">
        <v>1766</v>
      </c>
    </row>
    <row r="749" spans="1:7">
      <c r="A749" s="34" t="s">
        <v>1767</v>
      </c>
      <c r="B749" s="38" t="s">
        <v>203</v>
      </c>
      <c r="C749" s="35" t="s">
        <v>1761</v>
      </c>
      <c r="D749" s="35" t="s">
        <v>41</v>
      </c>
      <c r="E749" s="35" t="s">
        <v>42</v>
      </c>
      <c r="F749" s="36">
        <v>46155</v>
      </c>
      <c r="G749" s="37" t="s">
        <v>1766</v>
      </c>
    </row>
    <row r="750" spans="1:7">
      <c r="A750" s="34" t="s">
        <v>1767</v>
      </c>
      <c r="B750" s="38" t="s">
        <v>204</v>
      </c>
      <c r="C750" s="35" t="s">
        <v>1761</v>
      </c>
      <c r="D750" s="35" t="s">
        <v>41</v>
      </c>
      <c r="E750" s="35" t="s">
        <v>42</v>
      </c>
      <c r="F750" s="36">
        <v>46155</v>
      </c>
      <c r="G750" s="37" t="s">
        <v>1766</v>
      </c>
    </row>
    <row r="751" spans="1:7">
      <c r="A751" s="34" t="s">
        <v>1767</v>
      </c>
      <c r="B751" s="38" t="s">
        <v>1658</v>
      </c>
      <c r="C751" s="35" t="s">
        <v>1761</v>
      </c>
      <c r="D751" s="35" t="s">
        <v>41</v>
      </c>
      <c r="E751" s="35" t="s">
        <v>42</v>
      </c>
      <c r="F751" s="36">
        <v>46155</v>
      </c>
      <c r="G751" s="37" t="s">
        <v>1766</v>
      </c>
    </row>
    <row r="752" spans="1:7">
      <c r="A752" s="34" t="s">
        <v>1767</v>
      </c>
      <c r="B752" s="38" t="s">
        <v>199</v>
      </c>
      <c r="C752" s="35" t="s">
        <v>1761</v>
      </c>
      <c r="D752" s="35" t="s">
        <v>27</v>
      </c>
      <c r="E752" s="35" t="s">
        <v>107</v>
      </c>
      <c r="F752" s="36">
        <v>46155</v>
      </c>
      <c r="G752" s="37" t="s">
        <v>1766</v>
      </c>
    </row>
    <row r="753" spans="1:7">
      <c r="A753" s="34" t="s">
        <v>1767</v>
      </c>
      <c r="B753" s="38" t="s">
        <v>202</v>
      </c>
      <c r="C753" s="35" t="s">
        <v>1761</v>
      </c>
      <c r="D753" s="35" t="s">
        <v>41</v>
      </c>
      <c r="E753" s="35" t="s">
        <v>42</v>
      </c>
      <c r="F753" s="36">
        <v>46155</v>
      </c>
      <c r="G753" s="37" t="s">
        <v>1766</v>
      </c>
    </row>
    <row r="754" spans="1:7">
      <c r="A754" s="34" t="s">
        <v>1767</v>
      </c>
      <c r="B754" s="38" t="s">
        <v>1470</v>
      </c>
      <c r="C754" s="35" t="s">
        <v>1761</v>
      </c>
      <c r="D754" s="35" t="s">
        <v>10</v>
      </c>
      <c r="E754" s="35" t="s">
        <v>124</v>
      </c>
      <c r="F754" s="36">
        <v>46155</v>
      </c>
      <c r="G754" s="37" t="s">
        <v>1766</v>
      </c>
    </row>
    <row r="755" spans="1:7">
      <c r="A755" s="34" t="s">
        <v>1767</v>
      </c>
      <c r="B755" s="38" t="s">
        <v>1659</v>
      </c>
      <c r="C755" s="35" t="s">
        <v>1761</v>
      </c>
      <c r="D755" s="35" t="s">
        <v>41</v>
      </c>
      <c r="E755" s="35" t="s">
        <v>42</v>
      </c>
      <c r="F755" s="36">
        <v>46155</v>
      </c>
      <c r="G755" s="37" t="s">
        <v>1766</v>
      </c>
    </row>
    <row r="756" spans="1:7">
      <c r="A756" s="34" t="s">
        <v>1767</v>
      </c>
      <c r="B756" s="38" t="s">
        <v>1474</v>
      </c>
      <c r="C756" s="35" t="s">
        <v>1761</v>
      </c>
      <c r="D756" s="35" t="s">
        <v>41</v>
      </c>
      <c r="E756" s="35" t="s">
        <v>42</v>
      </c>
      <c r="F756" s="36">
        <v>46155</v>
      </c>
      <c r="G756" s="37" t="s">
        <v>1766</v>
      </c>
    </row>
    <row r="757" spans="1:7">
      <c r="A757" s="34" t="s">
        <v>1767</v>
      </c>
      <c r="B757" s="38" t="s">
        <v>1660</v>
      </c>
      <c r="C757" s="35" t="s">
        <v>1761</v>
      </c>
      <c r="D757" s="35" t="s">
        <v>41</v>
      </c>
      <c r="E757" s="35" t="s">
        <v>42</v>
      </c>
      <c r="F757" s="36">
        <v>46155</v>
      </c>
      <c r="G757" s="37" t="s">
        <v>1766</v>
      </c>
    </row>
    <row r="758" spans="1:7">
      <c r="A758" s="34" t="s">
        <v>1767</v>
      </c>
      <c r="B758" s="38" t="s">
        <v>1517</v>
      </c>
      <c r="C758" s="35" t="s">
        <v>1761</v>
      </c>
      <c r="D758" s="35" t="s">
        <v>41</v>
      </c>
      <c r="E758" s="35" t="s">
        <v>42</v>
      </c>
      <c r="F758" s="36">
        <v>46155</v>
      </c>
      <c r="G758" s="37" t="s">
        <v>1766</v>
      </c>
    </row>
    <row r="759" spans="1:7">
      <c r="A759" s="34" t="s">
        <v>1767</v>
      </c>
      <c r="B759" s="38" t="s">
        <v>1661</v>
      </c>
      <c r="C759" s="35" t="s">
        <v>1761</v>
      </c>
      <c r="D759" s="35" t="s">
        <v>41</v>
      </c>
      <c r="E759" s="35" t="s">
        <v>42</v>
      </c>
      <c r="F759" s="36">
        <v>46155</v>
      </c>
      <c r="G759" s="37" t="s">
        <v>1766</v>
      </c>
    </row>
    <row r="760" spans="1:7">
      <c r="A760" s="34" t="s">
        <v>1767</v>
      </c>
      <c r="B760" s="38" t="s">
        <v>1476</v>
      </c>
      <c r="C760" s="35" t="s">
        <v>1761</v>
      </c>
      <c r="D760" s="35" t="s">
        <v>41</v>
      </c>
      <c r="E760" s="35" t="s">
        <v>42</v>
      </c>
      <c r="F760" s="36">
        <v>46155</v>
      </c>
      <c r="G760" s="37" t="s">
        <v>1766</v>
      </c>
    </row>
    <row r="761" spans="1:7">
      <c r="A761" s="34" t="s">
        <v>1767</v>
      </c>
      <c r="B761" s="38" t="s">
        <v>1662</v>
      </c>
      <c r="C761" s="35" t="s">
        <v>1761</v>
      </c>
      <c r="D761" s="35" t="s">
        <v>41</v>
      </c>
      <c r="E761" s="35" t="s">
        <v>42</v>
      </c>
      <c r="F761" s="36">
        <v>46155</v>
      </c>
      <c r="G761" s="37" t="s">
        <v>1766</v>
      </c>
    </row>
    <row r="762" spans="1:7">
      <c r="A762" s="34" t="s">
        <v>1767</v>
      </c>
      <c r="B762" s="38" t="s">
        <v>1547</v>
      </c>
      <c r="C762" s="35" t="s">
        <v>1761</v>
      </c>
      <c r="D762" s="35" t="s">
        <v>41</v>
      </c>
      <c r="E762" s="35" t="s">
        <v>42</v>
      </c>
      <c r="F762" s="36">
        <v>46155</v>
      </c>
      <c r="G762" s="37" t="s">
        <v>1766</v>
      </c>
    </row>
    <row r="763" spans="1:7">
      <c r="A763" s="34" t="s">
        <v>1767</v>
      </c>
      <c r="B763" s="38" t="s">
        <v>1663</v>
      </c>
      <c r="C763" s="35" t="s">
        <v>1761</v>
      </c>
      <c r="D763" s="35" t="s">
        <v>41</v>
      </c>
      <c r="E763" s="35" t="s">
        <v>42</v>
      </c>
      <c r="F763" s="36">
        <v>46155</v>
      </c>
      <c r="G763" s="37" t="s">
        <v>1766</v>
      </c>
    </row>
    <row r="764" spans="1:7">
      <c r="A764" s="34" t="s">
        <v>1767</v>
      </c>
      <c r="B764" s="38" t="s">
        <v>1664</v>
      </c>
      <c r="C764" s="35" t="s">
        <v>1761</v>
      </c>
      <c r="D764" s="35" t="s">
        <v>41</v>
      </c>
      <c r="E764" s="35" t="s">
        <v>42</v>
      </c>
      <c r="F764" s="36">
        <v>46155</v>
      </c>
      <c r="G764" s="37" t="s">
        <v>1766</v>
      </c>
    </row>
    <row r="765" spans="1:7">
      <c r="A765" s="34" t="s">
        <v>1767</v>
      </c>
      <c r="B765" s="38" t="s">
        <v>1665</v>
      </c>
      <c r="C765" s="35" t="s">
        <v>1761</v>
      </c>
      <c r="D765" s="35" t="s">
        <v>41</v>
      </c>
      <c r="E765" s="35" t="s">
        <v>42</v>
      </c>
      <c r="F765" s="36">
        <v>46155</v>
      </c>
      <c r="G765" s="37" t="s">
        <v>1766</v>
      </c>
    </row>
    <row r="766" spans="1:7">
      <c r="A766" s="34" t="s">
        <v>1767</v>
      </c>
      <c r="B766" s="38" t="s">
        <v>1666</v>
      </c>
      <c r="C766" s="35" t="s">
        <v>1761</v>
      </c>
      <c r="D766" s="35" t="s">
        <v>41</v>
      </c>
      <c r="E766" s="35" t="s">
        <v>42</v>
      </c>
      <c r="F766" s="36">
        <v>46155</v>
      </c>
      <c r="G766" s="37" t="s">
        <v>1766</v>
      </c>
    </row>
    <row r="767" spans="1:7">
      <c r="A767" s="34" t="s">
        <v>1767</v>
      </c>
      <c r="B767" s="38" t="s">
        <v>1667</v>
      </c>
      <c r="C767" s="35" t="s">
        <v>1761</v>
      </c>
      <c r="D767" s="35" t="s">
        <v>41</v>
      </c>
      <c r="E767" s="35" t="s">
        <v>42</v>
      </c>
      <c r="F767" s="36">
        <v>46155</v>
      </c>
      <c r="G767" s="37" t="s">
        <v>1766</v>
      </c>
    </row>
    <row r="768" spans="1:7">
      <c r="A768" s="34" t="s">
        <v>1767</v>
      </c>
      <c r="B768" s="38" t="s">
        <v>1668</v>
      </c>
      <c r="C768" s="35" t="s">
        <v>1761</v>
      </c>
      <c r="D768" s="35" t="s">
        <v>41</v>
      </c>
      <c r="E768" s="35" t="s">
        <v>42</v>
      </c>
      <c r="F768" s="36">
        <v>46155</v>
      </c>
      <c r="G768" s="37" t="s">
        <v>1766</v>
      </c>
    </row>
    <row r="769" spans="1:7">
      <c r="A769" s="34" t="s">
        <v>1767</v>
      </c>
      <c r="B769" s="38" t="s">
        <v>1518</v>
      </c>
      <c r="C769" s="35" t="s">
        <v>1761</v>
      </c>
      <c r="D769" s="35" t="s">
        <v>41</v>
      </c>
      <c r="E769" s="35" t="s">
        <v>42</v>
      </c>
      <c r="F769" s="36">
        <v>46155</v>
      </c>
      <c r="G769" s="37" t="s">
        <v>1766</v>
      </c>
    </row>
    <row r="770" spans="1:7">
      <c r="A770" s="34" t="s">
        <v>1767</v>
      </c>
      <c r="B770" s="38" t="s">
        <v>1560</v>
      </c>
      <c r="C770" s="35" t="s">
        <v>1761</v>
      </c>
      <c r="D770" s="35" t="s">
        <v>41</v>
      </c>
      <c r="E770" s="35" t="s">
        <v>42</v>
      </c>
      <c r="F770" s="36">
        <v>46155</v>
      </c>
      <c r="G770" s="37" t="s">
        <v>1766</v>
      </c>
    </row>
    <row r="771" spans="1:7">
      <c r="A771" s="34" t="s">
        <v>1767</v>
      </c>
      <c r="B771" s="38" t="s">
        <v>1562</v>
      </c>
      <c r="C771" s="35" t="s">
        <v>1761</v>
      </c>
      <c r="D771" s="35" t="s">
        <v>41</v>
      </c>
      <c r="E771" s="35" t="s">
        <v>42</v>
      </c>
      <c r="F771" s="36">
        <v>46155</v>
      </c>
      <c r="G771" s="37" t="s">
        <v>1766</v>
      </c>
    </row>
    <row r="772" spans="1:7">
      <c r="A772" s="34" t="s">
        <v>1767</v>
      </c>
      <c r="B772" s="38" t="s">
        <v>1669</v>
      </c>
      <c r="C772" s="35" t="s">
        <v>1761</v>
      </c>
      <c r="D772" s="35" t="s">
        <v>41</v>
      </c>
      <c r="E772" s="35" t="s">
        <v>42</v>
      </c>
      <c r="F772" s="36">
        <v>46155</v>
      </c>
      <c r="G772" s="37" t="s">
        <v>1766</v>
      </c>
    </row>
    <row r="773" spans="1:7">
      <c r="A773" s="34" t="s">
        <v>1767</v>
      </c>
      <c r="B773" s="38" t="s">
        <v>1670</v>
      </c>
      <c r="C773" s="35" t="s">
        <v>1761</v>
      </c>
      <c r="D773" s="35" t="s">
        <v>41</v>
      </c>
      <c r="E773" s="35" t="s">
        <v>42</v>
      </c>
      <c r="F773" s="36">
        <v>46155</v>
      </c>
      <c r="G773" s="37" t="s">
        <v>1766</v>
      </c>
    </row>
    <row r="774" spans="1:7">
      <c r="A774" s="34" t="s">
        <v>1767</v>
      </c>
      <c r="B774" s="38" t="s">
        <v>1671</v>
      </c>
      <c r="C774" s="35" t="s">
        <v>1761</v>
      </c>
      <c r="D774" s="35" t="s">
        <v>41</v>
      </c>
      <c r="E774" s="35" t="s">
        <v>42</v>
      </c>
      <c r="F774" s="36">
        <v>46155</v>
      </c>
      <c r="G774" s="37" t="s">
        <v>1766</v>
      </c>
    </row>
    <row r="775" spans="1:7">
      <c r="A775" s="34" t="s">
        <v>1767</v>
      </c>
      <c r="B775" s="38" t="s">
        <v>1672</v>
      </c>
      <c r="C775" s="35" t="s">
        <v>1761</v>
      </c>
      <c r="D775" s="35" t="s">
        <v>41</v>
      </c>
      <c r="E775" s="35" t="s">
        <v>42</v>
      </c>
      <c r="F775" s="36">
        <v>46155</v>
      </c>
      <c r="G775" s="37" t="s">
        <v>1766</v>
      </c>
    </row>
    <row r="776" spans="1:7">
      <c r="A776" s="34" t="s">
        <v>1767</v>
      </c>
      <c r="B776" s="38" t="s">
        <v>1673</v>
      </c>
      <c r="C776" s="35" t="s">
        <v>1761</v>
      </c>
      <c r="D776" s="35" t="s">
        <v>41</v>
      </c>
      <c r="E776" s="35" t="s">
        <v>42</v>
      </c>
      <c r="F776" s="36">
        <v>46155</v>
      </c>
      <c r="G776" s="37" t="s">
        <v>1766</v>
      </c>
    </row>
    <row r="777" spans="1:7">
      <c r="A777" s="34" t="s">
        <v>1767</v>
      </c>
      <c r="B777" s="38" t="s">
        <v>1544</v>
      </c>
      <c r="C777" s="35" t="s">
        <v>1761</v>
      </c>
      <c r="D777" s="35" t="s">
        <v>41</v>
      </c>
      <c r="E777" s="35" t="s">
        <v>42</v>
      </c>
      <c r="F777" s="36">
        <v>46155</v>
      </c>
      <c r="G777" s="37" t="s">
        <v>1766</v>
      </c>
    </row>
    <row r="778" spans="1:7">
      <c r="A778" s="34" t="s">
        <v>1767</v>
      </c>
      <c r="B778" s="38" t="s">
        <v>1674</v>
      </c>
      <c r="C778" s="35" t="s">
        <v>1761</v>
      </c>
      <c r="D778" s="35" t="s">
        <v>41</v>
      </c>
      <c r="E778" s="35" t="s">
        <v>42</v>
      </c>
      <c r="F778" s="36">
        <v>46155</v>
      </c>
      <c r="G778" s="37" t="s">
        <v>1766</v>
      </c>
    </row>
    <row r="779" spans="1:7">
      <c r="A779" s="34" t="s">
        <v>1767</v>
      </c>
      <c r="B779" s="38" t="s">
        <v>1675</v>
      </c>
      <c r="C779" s="35" t="s">
        <v>1761</v>
      </c>
      <c r="D779" s="35" t="s">
        <v>41</v>
      </c>
      <c r="E779" s="35" t="s">
        <v>42</v>
      </c>
      <c r="F779" s="36">
        <v>46155</v>
      </c>
      <c r="G779" s="37" t="s">
        <v>1766</v>
      </c>
    </row>
    <row r="780" spans="1:7">
      <c r="A780" s="34" t="s">
        <v>1767</v>
      </c>
      <c r="B780" s="38" t="s">
        <v>1676</v>
      </c>
      <c r="C780" s="35" t="s">
        <v>1761</v>
      </c>
      <c r="D780" s="35" t="s">
        <v>41</v>
      </c>
      <c r="E780" s="35" t="s">
        <v>42</v>
      </c>
      <c r="F780" s="36">
        <v>46155</v>
      </c>
      <c r="G780" s="37" t="s">
        <v>1766</v>
      </c>
    </row>
    <row r="781" spans="1:7">
      <c r="A781" s="34" t="s">
        <v>1767</v>
      </c>
      <c r="B781" s="38" t="s">
        <v>1677</v>
      </c>
      <c r="C781" s="35" t="s">
        <v>1761</v>
      </c>
      <c r="D781" s="35" t="s">
        <v>41</v>
      </c>
      <c r="E781" s="35" t="s">
        <v>42</v>
      </c>
      <c r="F781" s="36">
        <v>46155</v>
      </c>
      <c r="G781" s="37" t="s">
        <v>1766</v>
      </c>
    </row>
    <row r="782" spans="1:7">
      <c r="A782" s="34" t="s">
        <v>1767</v>
      </c>
      <c r="B782" s="38" t="s">
        <v>1678</v>
      </c>
      <c r="C782" s="35" t="s">
        <v>1761</v>
      </c>
      <c r="D782" s="35" t="s">
        <v>41</v>
      </c>
      <c r="E782" s="35" t="s">
        <v>42</v>
      </c>
      <c r="F782" s="36">
        <v>46155</v>
      </c>
      <c r="G782" s="37" t="s">
        <v>1766</v>
      </c>
    </row>
    <row r="783" spans="1:7">
      <c r="A783" s="34" t="s">
        <v>1767</v>
      </c>
      <c r="B783" s="38" t="s">
        <v>1679</v>
      </c>
      <c r="C783" s="35" t="s">
        <v>1761</v>
      </c>
      <c r="D783" s="35" t="s">
        <v>41</v>
      </c>
      <c r="E783" s="35" t="s">
        <v>42</v>
      </c>
      <c r="F783" s="36">
        <v>46155</v>
      </c>
      <c r="G783" s="37" t="s">
        <v>1766</v>
      </c>
    </row>
    <row r="784" spans="1:7">
      <c r="A784" s="34" t="s">
        <v>1767</v>
      </c>
      <c r="B784" s="38" t="s">
        <v>1680</v>
      </c>
      <c r="C784" s="35" t="s">
        <v>1761</v>
      </c>
      <c r="D784" s="35" t="s">
        <v>41</v>
      </c>
      <c r="E784" s="35" t="s">
        <v>42</v>
      </c>
      <c r="F784" s="36">
        <v>46155</v>
      </c>
      <c r="G784" s="37" t="s">
        <v>1766</v>
      </c>
    </row>
    <row r="785" spans="1:7">
      <c r="A785" s="34" t="s">
        <v>1767</v>
      </c>
      <c r="B785" s="38" t="s">
        <v>1681</v>
      </c>
      <c r="C785" s="35" t="s">
        <v>1761</v>
      </c>
      <c r="D785" s="35" t="s">
        <v>41</v>
      </c>
      <c r="E785" s="35" t="s">
        <v>42</v>
      </c>
      <c r="F785" s="36">
        <v>46155</v>
      </c>
      <c r="G785" s="37" t="s">
        <v>1766</v>
      </c>
    </row>
    <row r="786" spans="1:7">
      <c r="A786" s="34" t="s">
        <v>1767</v>
      </c>
      <c r="B786" s="38" t="s">
        <v>1682</v>
      </c>
      <c r="C786" s="35" t="s">
        <v>1761</v>
      </c>
      <c r="D786" s="35" t="s">
        <v>41</v>
      </c>
      <c r="E786" s="35" t="s">
        <v>42</v>
      </c>
      <c r="F786" s="36">
        <v>46155</v>
      </c>
      <c r="G786" s="37" t="s">
        <v>1766</v>
      </c>
    </row>
    <row r="787" spans="1:7">
      <c r="A787" s="34" t="s">
        <v>1767</v>
      </c>
      <c r="B787" s="38" t="s">
        <v>1683</v>
      </c>
      <c r="C787" s="35" t="s">
        <v>1761</v>
      </c>
      <c r="D787" s="35" t="s">
        <v>41</v>
      </c>
      <c r="E787" s="35" t="s">
        <v>42</v>
      </c>
      <c r="F787" s="36">
        <v>46155</v>
      </c>
      <c r="G787" s="37" t="s">
        <v>1766</v>
      </c>
    </row>
    <row r="788" spans="1:7">
      <c r="A788" s="34" t="s">
        <v>1767</v>
      </c>
      <c r="B788" s="38" t="s">
        <v>1684</v>
      </c>
      <c r="C788" s="35" t="s">
        <v>1761</v>
      </c>
      <c r="D788" s="35" t="s">
        <v>41</v>
      </c>
      <c r="E788" s="35" t="s">
        <v>42</v>
      </c>
      <c r="F788" s="36">
        <v>46155</v>
      </c>
      <c r="G788" s="37" t="s">
        <v>1766</v>
      </c>
    </row>
    <row r="789" spans="1:7">
      <c r="A789" s="34" t="s">
        <v>1767</v>
      </c>
      <c r="B789" s="38" t="s">
        <v>1521</v>
      </c>
      <c r="C789" s="35" t="s">
        <v>1761</v>
      </c>
      <c r="D789" s="35" t="s">
        <v>41</v>
      </c>
      <c r="E789" s="35" t="s">
        <v>42</v>
      </c>
      <c r="F789" s="36">
        <v>46155</v>
      </c>
      <c r="G789" s="37" t="s">
        <v>1766</v>
      </c>
    </row>
    <row r="790" spans="1:7">
      <c r="A790" s="34" t="s">
        <v>1767</v>
      </c>
      <c r="B790" s="38" t="s">
        <v>1685</v>
      </c>
      <c r="C790" s="35" t="s">
        <v>1761</v>
      </c>
      <c r="D790" s="35" t="s">
        <v>41</v>
      </c>
      <c r="E790" s="35" t="s">
        <v>42</v>
      </c>
      <c r="F790" s="36">
        <v>46155</v>
      </c>
      <c r="G790" s="37" t="s">
        <v>1766</v>
      </c>
    </row>
    <row r="791" spans="1:7">
      <c r="A791" s="34" t="s">
        <v>1767</v>
      </c>
      <c r="B791" s="38" t="s">
        <v>1557</v>
      </c>
      <c r="C791" s="35" t="s">
        <v>1761</v>
      </c>
      <c r="D791" s="35" t="s">
        <v>41</v>
      </c>
      <c r="E791" s="35" t="s">
        <v>42</v>
      </c>
      <c r="F791" s="36">
        <v>46155</v>
      </c>
      <c r="G791" s="37" t="s">
        <v>1766</v>
      </c>
    </row>
    <row r="792" spans="1:7">
      <c r="A792" s="34" t="s">
        <v>1767</v>
      </c>
      <c r="B792" s="38" t="s">
        <v>1686</v>
      </c>
      <c r="C792" s="35" t="s">
        <v>1761</v>
      </c>
      <c r="D792" s="35" t="s">
        <v>41</v>
      </c>
      <c r="E792" s="35" t="s">
        <v>42</v>
      </c>
      <c r="F792" s="36">
        <v>46155</v>
      </c>
      <c r="G792" s="37" t="s">
        <v>1766</v>
      </c>
    </row>
    <row r="793" spans="1:7">
      <c r="A793" s="34" t="s">
        <v>1767</v>
      </c>
      <c r="B793" s="38" t="s">
        <v>1687</v>
      </c>
      <c r="C793" s="35" t="s">
        <v>1761</v>
      </c>
      <c r="D793" s="35" t="s">
        <v>41</v>
      </c>
      <c r="E793" s="35" t="s">
        <v>42</v>
      </c>
      <c r="F793" s="36">
        <v>46155</v>
      </c>
      <c r="G793" s="37" t="s">
        <v>1766</v>
      </c>
    </row>
    <row r="794" spans="1:7">
      <c r="A794" s="34" t="s">
        <v>1767</v>
      </c>
      <c r="B794" s="38" t="s">
        <v>1688</v>
      </c>
      <c r="C794" s="35" t="s">
        <v>1761</v>
      </c>
      <c r="D794" s="35" t="s">
        <v>41</v>
      </c>
      <c r="E794" s="35" t="s">
        <v>42</v>
      </c>
      <c r="F794" s="36">
        <v>46155</v>
      </c>
      <c r="G794" s="37" t="s">
        <v>1766</v>
      </c>
    </row>
    <row r="795" spans="1:7">
      <c r="A795" s="34" t="s">
        <v>1767</v>
      </c>
      <c r="B795" s="38" t="s">
        <v>1550</v>
      </c>
      <c r="C795" s="35" t="s">
        <v>1761</v>
      </c>
      <c r="D795" s="35" t="s">
        <v>41</v>
      </c>
      <c r="E795" s="35" t="s">
        <v>42</v>
      </c>
      <c r="F795" s="36">
        <v>46155</v>
      </c>
      <c r="G795" s="37" t="s">
        <v>1766</v>
      </c>
    </row>
    <row r="796" spans="1:7">
      <c r="A796" s="34" t="s">
        <v>1767</v>
      </c>
      <c r="B796" s="38" t="s">
        <v>1689</v>
      </c>
      <c r="C796" s="35" t="s">
        <v>1761</v>
      </c>
      <c r="D796" s="35" t="s">
        <v>41</v>
      </c>
      <c r="E796" s="35" t="s">
        <v>42</v>
      </c>
      <c r="F796" s="36">
        <v>46155</v>
      </c>
      <c r="G796" s="37" t="s">
        <v>1766</v>
      </c>
    </row>
    <row r="797" spans="1:7">
      <c r="A797" s="34" t="s">
        <v>1767</v>
      </c>
      <c r="B797" s="38" t="s">
        <v>1472</v>
      </c>
      <c r="C797" s="35" t="s">
        <v>1761</v>
      </c>
      <c r="D797" s="35" t="s">
        <v>41</v>
      </c>
      <c r="E797" s="35" t="s">
        <v>42</v>
      </c>
      <c r="F797" s="36">
        <v>46155</v>
      </c>
      <c r="G797" s="37" t="s">
        <v>1766</v>
      </c>
    </row>
    <row r="798" spans="1:7">
      <c r="A798" s="34" t="s">
        <v>1767</v>
      </c>
      <c r="B798" s="38" t="s">
        <v>1516</v>
      </c>
      <c r="C798" s="35" t="s">
        <v>1761</v>
      </c>
      <c r="D798" s="35" t="s">
        <v>41</v>
      </c>
      <c r="E798" s="35" t="s">
        <v>42</v>
      </c>
      <c r="F798" s="36">
        <v>46155</v>
      </c>
      <c r="G798" s="37" t="s">
        <v>1766</v>
      </c>
    </row>
    <row r="799" spans="1:7">
      <c r="A799" s="34" t="s">
        <v>1767</v>
      </c>
      <c r="B799" s="38" t="s">
        <v>1523</v>
      </c>
      <c r="C799" s="35" t="s">
        <v>1761</v>
      </c>
      <c r="D799" s="35" t="s">
        <v>41</v>
      </c>
      <c r="E799" s="35" t="s">
        <v>42</v>
      </c>
      <c r="F799" s="36">
        <v>46155</v>
      </c>
      <c r="G799" s="37" t="s">
        <v>1766</v>
      </c>
    </row>
    <row r="800" spans="1:7">
      <c r="A800" s="34" t="s">
        <v>1767</v>
      </c>
      <c r="B800" s="38" t="s">
        <v>1520</v>
      </c>
      <c r="C800" s="35" t="s">
        <v>1761</v>
      </c>
      <c r="D800" s="35" t="s">
        <v>41</v>
      </c>
      <c r="E800" s="35" t="s">
        <v>42</v>
      </c>
      <c r="F800" s="36">
        <v>46155</v>
      </c>
      <c r="G800" s="37" t="s">
        <v>1766</v>
      </c>
    </row>
    <row r="801" spans="1:7">
      <c r="A801" s="34" t="s">
        <v>1767</v>
      </c>
      <c r="B801" s="38" t="s">
        <v>1690</v>
      </c>
      <c r="C801" s="35" t="s">
        <v>1761</v>
      </c>
      <c r="D801" s="35" t="s">
        <v>41</v>
      </c>
      <c r="E801" s="35" t="s">
        <v>42</v>
      </c>
      <c r="F801" s="36">
        <v>46155</v>
      </c>
      <c r="G801" s="37" t="s">
        <v>1766</v>
      </c>
    </row>
    <row r="802" spans="1:7">
      <c r="A802" s="34" t="s">
        <v>1767</v>
      </c>
      <c r="B802" s="38" t="s">
        <v>1691</v>
      </c>
      <c r="C802" s="35" t="s">
        <v>1761</v>
      </c>
      <c r="D802" s="35" t="s">
        <v>41</v>
      </c>
      <c r="E802" s="35" t="s">
        <v>42</v>
      </c>
      <c r="F802" s="36">
        <v>46155</v>
      </c>
      <c r="G802" s="37" t="s">
        <v>1766</v>
      </c>
    </row>
    <row r="803" spans="1:7">
      <c r="A803" s="34" t="s">
        <v>1767</v>
      </c>
      <c r="B803" s="38" t="s">
        <v>1692</v>
      </c>
      <c r="C803" s="35" t="s">
        <v>1761</v>
      </c>
      <c r="D803" s="35" t="s">
        <v>41</v>
      </c>
      <c r="E803" s="35" t="s">
        <v>42</v>
      </c>
      <c r="F803" s="36">
        <v>46155</v>
      </c>
      <c r="G803" s="37" t="s">
        <v>1766</v>
      </c>
    </row>
    <row r="804" spans="1:7">
      <c r="A804" s="34" t="s">
        <v>1767</v>
      </c>
      <c r="B804" s="38" t="s">
        <v>1693</v>
      </c>
      <c r="C804" s="35" t="s">
        <v>1761</v>
      </c>
      <c r="D804" s="35" t="s">
        <v>41</v>
      </c>
      <c r="E804" s="35" t="s">
        <v>42</v>
      </c>
      <c r="F804" s="36">
        <v>46155</v>
      </c>
      <c r="G804" s="37" t="s">
        <v>1766</v>
      </c>
    </row>
    <row r="805" spans="1:7">
      <c r="A805" s="34" t="s">
        <v>1767</v>
      </c>
      <c r="B805" s="38" t="s">
        <v>1694</v>
      </c>
      <c r="C805" s="35" t="s">
        <v>1761</v>
      </c>
      <c r="D805" s="35" t="s">
        <v>41</v>
      </c>
      <c r="E805" s="35" t="s">
        <v>42</v>
      </c>
      <c r="F805" s="36">
        <v>46155</v>
      </c>
      <c r="G805" s="37" t="s">
        <v>1766</v>
      </c>
    </row>
    <row r="806" spans="1:7">
      <c r="A806" s="34" t="s">
        <v>1767</v>
      </c>
      <c r="B806" s="38" t="s">
        <v>1695</v>
      </c>
      <c r="C806" s="35" t="s">
        <v>1761</v>
      </c>
      <c r="D806" s="35" t="s">
        <v>41</v>
      </c>
      <c r="E806" s="35" t="s">
        <v>42</v>
      </c>
      <c r="F806" s="36">
        <v>46155</v>
      </c>
      <c r="G806" s="37" t="s">
        <v>1766</v>
      </c>
    </row>
    <row r="807" spans="1:7">
      <c r="A807" s="34" t="s">
        <v>1767</v>
      </c>
      <c r="B807" s="38" t="s">
        <v>1696</v>
      </c>
      <c r="C807" s="35" t="s">
        <v>1761</v>
      </c>
      <c r="D807" s="35" t="s">
        <v>41</v>
      </c>
      <c r="E807" s="35" t="s">
        <v>42</v>
      </c>
      <c r="F807" s="36">
        <v>46155</v>
      </c>
      <c r="G807" s="37" t="s">
        <v>1766</v>
      </c>
    </row>
    <row r="808" spans="1:7">
      <c r="A808" s="34" t="s">
        <v>1767</v>
      </c>
      <c r="B808" s="38" t="s">
        <v>1697</v>
      </c>
      <c r="C808" s="35" t="s">
        <v>1761</v>
      </c>
      <c r="D808" s="35" t="s">
        <v>41</v>
      </c>
      <c r="E808" s="35" t="s">
        <v>42</v>
      </c>
      <c r="F808" s="36">
        <v>46155</v>
      </c>
      <c r="G808" s="37" t="s">
        <v>1766</v>
      </c>
    </row>
    <row r="809" spans="1:7">
      <c r="A809" s="34" t="s">
        <v>1767</v>
      </c>
      <c r="B809" s="38" t="s">
        <v>1698</v>
      </c>
      <c r="C809" s="35" t="s">
        <v>1761</v>
      </c>
      <c r="D809" s="35" t="s">
        <v>41</v>
      </c>
      <c r="E809" s="35" t="s">
        <v>42</v>
      </c>
      <c r="F809" s="36">
        <v>46155</v>
      </c>
      <c r="G809" s="37" t="s">
        <v>1766</v>
      </c>
    </row>
    <row r="810" spans="1:7">
      <c r="A810" s="34" t="s">
        <v>1767</v>
      </c>
      <c r="B810" s="38" t="s">
        <v>1699</v>
      </c>
      <c r="C810" s="35" t="s">
        <v>1761</v>
      </c>
      <c r="D810" s="35" t="s">
        <v>41</v>
      </c>
      <c r="E810" s="35" t="s">
        <v>42</v>
      </c>
      <c r="F810" s="36">
        <v>46155</v>
      </c>
      <c r="G810" s="37" t="s">
        <v>1766</v>
      </c>
    </row>
    <row r="811" spans="1:7">
      <c r="A811" s="34" t="s">
        <v>1767</v>
      </c>
      <c r="B811" s="38" t="s">
        <v>1700</v>
      </c>
      <c r="C811" s="35" t="s">
        <v>1761</v>
      </c>
      <c r="D811" s="35" t="s">
        <v>41</v>
      </c>
      <c r="E811" s="35" t="s">
        <v>42</v>
      </c>
      <c r="F811" s="36">
        <v>46155</v>
      </c>
      <c r="G811" s="37" t="s">
        <v>1766</v>
      </c>
    </row>
    <row r="812" spans="1:7">
      <c r="A812" s="34" t="s">
        <v>1767</v>
      </c>
      <c r="B812" s="38" t="s">
        <v>1701</v>
      </c>
      <c r="C812" s="35" t="s">
        <v>1761</v>
      </c>
      <c r="D812" s="35" t="s">
        <v>41</v>
      </c>
      <c r="E812" s="35" t="s">
        <v>42</v>
      </c>
      <c r="F812" s="36">
        <v>46155</v>
      </c>
      <c r="G812" s="37" t="s">
        <v>1766</v>
      </c>
    </row>
    <row r="813" spans="1:7">
      <c r="A813" s="34" t="s">
        <v>1767</v>
      </c>
      <c r="B813" s="38" t="s">
        <v>1702</v>
      </c>
      <c r="C813" s="35" t="s">
        <v>1761</v>
      </c>
      <c r="D813" s="35" t="s">
        <v>41</v>
      </c>
      <c r="E813" s="35" t="s">
        <v>42</v>
      </c>
      <c r="F813" s="36">
        <v>46155</v>
      </c>
      <c r="G813" s="37" t="s">
        <v>1766</v>
      </c>
    </row>
    <row r="814" spans="1:7">
      <c r="A814" s="34" t="s">
        <v>1767</v>
      </c>
      <c r="B814" s="38" t="s">
        <v>1703</v>
      </c>
      <c r="C814" s="35" t="s">
        <v>1761</v>
      </c>
      <c r="D814" s="35" t="s">
        <v>41</v>
      </c>
      <c r="E814" s="35" t="s">
        <v>42</v>
      </c>
      <c r="F814" s="36">
        <v>46155</v>
      </c>
      <c r="G814" s="37" t="s">
        <v>1766</v>
      </c>
    </row>
    <row r="815" spans="1:7">
      <c r="A815" s="34" t="s">
        <v>1767</v>
      </c>
      <c r="B815" s="38" t="s">
        <v>1704</v>
      </c>
      <c r="C815" s="35" t="s">
        <v>1761</v>
      </c>
      <c r="D815" s="35" t="s">
        <v>41</v>
      </c>
      <c r="E815" s="35" t="s">
        <v>42</v>
      </c>
      <c r="F815" s="36">
        <v>46155</v>
      </c>
      <c r="G815" s="37" t="s">
        <v>1766</v>
      </c>
    </row>
    <row r="816" spans="1:7">
      <c r="A816" s="34" t="s">
        <v>1767</v>
      </c>
      <c r="B816" s="38" t="s">
        <v>1705</v>
      </c>
      <c r="C816" s="35" t="s">
        <v>1761</v>
      </c>
      <c r="D816" s="35" t="s">
        <v>41</v>
      </c>
      <c r="E816" s="35" t="s">
        <v>42</v>
      </c>
      <c r="F816" s="36">
        <v>46155</v>
      </c>
      <c r="G816" s="37" t="s">
        <v>1766</v>
      </c>
    </row>
    <row r="817" spans="1:7">
      <c r="A817" s="34" t="s">
        <v>1767</v>
      </c>
      <c r="B817" s="38" t="s">
        <v>1706</v>
      </c>
      <c r="C817" s="35" t="s">
        <v>1761</v>
      </c>
      <c r="D817" s="35" t="s">
        <v>41</v>
      </c>
      <c r="E817" s="35" t="s">
        <v>42</v>
      </c>
      <c r="F817" s="36">
        <v>46155</v>
      </c>
      <c r="G817" s="37" t="s">
        <v>1766</v>
      </c>
    </row>
    <row r="818" spans="1:7">
      <c r="A818" s="34" t="s">
        <v>1767</v>
      </c>
      <c r="B818" s="38" t="s">
        <v>1707</v>
      </c>
      <c r="C818" s="35" t="s">
        <v>1761</v>
      </c>
      <c r="D818" s="35" t="s">
        <v>41</v>
      </c>
      <c r="E818" s="35" t="s">
        <v>42</v>
      </c>
      <c r="F818" s="36">
        <v>46155</v>
      </c>
      <c r="G818" s="37" t="s">
        <v>1766</v>
      </c>
    </row>
    <row r="819" spans="1:7">
      <c r="A819" s="34" t="s">
        <v>1767</v>
      </c>
      <c r="B819" s="38" t="s">
        <v>1708</v>
      </c>
      <c r="C819" s="35" t="s">
        <v>1761</v>
      </c>
      <c r="D819" s="35" t="s">
        <v>41</v>
      </c>
      <c r="E819" s="35" t="s">
        <v>42</v>
      </c>
      <c r="F819" s="36">
        <v>46155</v>
      </c>
      <c r="G819" s="37" t="s">
        <v>1766</v>
      </c>
    </row>
    <row r="820" spans="1:7">
      <c r="A820" s="34" t="s">
        <v>1767</v>
      </c>
      <c r="B820" s="38" t="s">
        <v>1709</v>
      </c>
      <c r="C820" s="35" t="s">
        <v>1761</v>
      </c>
      <c r="D820" s="35" t="s">
        <v>41</v>
      </c>
      <c r="E820" s="35" t="s">
        <v>42</v>
      </c>
      <c r="F820" s="36">
        <v>46155</v>
      </c>
      <c r="G820" s="37" t="s">
        <v>1766</v>
      </c>
    </row>
    <row r="821" spans="1:7">
      <c r="A821" s="34" t="s">
        <v>1767</v>
      </c>
      <c r="B821" s="38" t="s">
        <v>1710</v>
      </c>
      <c r="C821" s="35" t="s">
        <v>1761</v>
      </c>
      <c r="D821" s="35" t="s">
        <v>41</v>
      </c>
      <c r="E821" s="35" t="s">
        <v>42</v>
      </c>
      <c r="F821" s="36">
        <v>46155</v>
      </c>
      <c r="G821" s="37" t="s">
        <v>1766</v>
      </c>
    </row>
    <row r="822" spans="1:7">
      <c r="A822" s="34" t="s">
        <v>1767</v>
      </c>
      <c r="B822" s="38" t="s">
        <v>1711</v>
      </c>
      <c r="C822" s="35" t="s">
        <v>1761</v>
      </c>
      <c r="D822" s="35" t="s">
        <v>41</v>
      </c>
      <c r="E822" s="35" t="s">
        <v>42</v>
      </c>
      <c r="F822" s="36">
        <v>46155</v>
      </c>
      <c r="G822" s="37" t="s">
        <v>1766</v>
      </c>
    </row>
    <row r="823" spans="1:7">
      <c r="A823" s="34" t="s">
        <v>1767</v>
      </c>
      <c r="B823" s="38" t="s">
        <v>1712</v>
      </c>
      <c r="C823" s="35" t="s">
        <v>1761</v>
      </c>
      <c r="D823" s="35" t="s">
        <v>41</v>
      </c>
      <c r="E823" s="35" t="s">
        <v>42</v>
      </c>
      <c r="F823" s="36">
        <v>46155</v>
      </c>
      <c r="G823" s="37" t="s">
        <v>1766</v>
      </c>
    </row>
    <row r="824" spans="1:7">
      <c r="A824" s="34" t="s">
        <v>1767</v>
      </c>
      <c r="B824" s="38" t="s">
        <v>1713</v>
      </c>
      <c r="C824" s="35" t="s">
        <v>1761</v>
      </c>
      <c r="D824" s="35" t="s">
        <v>41</v>
      </c>
      <c r="E824" s="35" t="s">
        <v>42</v>
      </c>
      <c r="F824" s="36">
        <v>46155</v>
      </c>
      <c r="G824" s="37" t="s">
        <v>1766</v>
      </c>
    </row>
    <row r="825" spans="1:7">
      <c r="A825" s="34" t="s">
        <v>1767</v>
      </c>
      <c r="B825" s="38" t="s">
        <v>1477</v>
      </c>
      <c r="C825" s="35" t="s">
        <v>1761</v>
      </c>
      <c r="D825" s="35" t="s">
        <v>41</v>
      </c>
      <c r="E825" s="35" t="s">
        <v>42</v>
      </c>
      <c r="F825" s="36">
        <v>46155</v>
      </c>
      <c r="G825" s="37" t="s">
        <v>1766</v>
      </c>
    </row>
    <row r="826" spans="1:7">
      <c r="A826" s="34" t="s">
        <v>1767</v>
      </c>
      <c r="B826" s="38" t="s">
        <v>1714</v>
      </c>
      <c r="C826" s="35" t="s">
        <v>1761</v>
      </c>
      <c r="D826" s="35" t="s">
        <v>41</v>
      </c>
      <c r="E826" s="35" t="s">
        <v>42</v>
      </c>
      <c r="F826" s="36">
        <v>46155</v>
      </c>
      <c r="G826" s="37" t="s">
        <v>1766</v>
      </c>
    </row>
    <row r="827" spans="1:7">
      <c r="A827" s="34" t="s">
        <v>1767</v>
      </c>
      <c r="B827" s="38" t="s">
        <v>1715</v>
      </c>
      <c r="C827" s="35" t="s">
        <v>1761</v>
      </c>
      <c r="D827" s="35" t="s">
        <v>41</v>
      </c>
      <c r="E827" s="35" t="s">
        <v>42</v>
      </c>
      <c r="F827" s="36">
        <v>46155</v>
      </c>
      <c r="G827" s="37" t="s">
        <v>1766</v>
      </c>
    </row>
    <row r="828" spans="1:7">
      <c r="A828" s="34" t="s">
        <v>1767</v>
      </c>
      <c r="B828" s="38" t="s">
        <v>1716</v>
      </c>
      <c r="C828" s="35" t="s">
        <v>1761</v>
      </c>
      <c r="D828" s="35" t="s">
        <v>41</v>
      </c>
      <c r="E828" s="35" t="s">
        <v>42</v>
      </c>
      <c r="F828" s="36">
        <v>46155</v>
      </c>
      <c r="G828" s="37" t="s">
        <v>1766</v>
      </c>
    </row>
    <row r="829" spans="1:7">
      <c r="A829" s="34" t="s">
        <v>1767</v>
      </c>
      <c r="B829" s="38" t="s">
        <v>1546</v>
      </c>
      <c r="C829" s="35" t="s">
        <v>1761</v>
      </c>
      <c r="D829" s="35" t="s">
        <v>41</v>
      </c>
      <c r="E829" s="35" t="s">
        <v>42</v>
      </c>
      <c r="F829" s="36">
        <v>46155</v>
      </c>
      <c r="G829" s="37" t="s">
        <v>1766</v>
      </c>
    </row>
    <row r="830" spans="1:7">
      <c r="A830" s="34" t="s">
        <v>1767</v>
      </c>
      <c r="B830" s="38" t="s">
        <v>1717</v>
      </c>
      <c r="C830" s="35" t="s">
        <v>1761</v>
      </c>
      <c r="D830" s="35" t="s">
        <v>41</v>
      </c>
      <c r="E830" s="35" t="s">
        <v>42</v>
      </c>
      <c r="F830" s="36">
        <v>46155</v>
      </c>
      <c r="G830" s="37" t="s">
        <v>1766</v>
      </c>
    </row>
    <row r="831" spans="1:7">
      <c r="A831" s="34" t="s">
        <v>1767</v>
      </c>
      <c r="B831" s="38" t="s">
        <v>1760</v>
      </c>
      <c r="C831" s="35" t="s">
        <v>1761</v>
      </c>
      <c r="D831" s="35" t="s">
        <v>41</v>
      </c>
      <c r="E831" s="35" t="s">
        <v>42</v>
      </c>
      <c r="F831" s="36">
        <v>46155</v>
      </c>
      <c r="G831" s="37" t="s">
        <v>1766</v>
      </c>
    </row>
    <row r="832" spans="1:7">
      <c r="A832" s="34" t="s">
        <v>1767</v>
      </c>
      <c r="B832" s="38" t="s">
        <v>1718</v>
      </c>
      <c r="C832" s="35" t="s">
        <v>1761</v>
      </c>
      <c r="D832" s="35" t="s">
        <v>41</v>
      </c>
      <c r="E832" s="35" t="s">
        <v>42</v>
      </c>
      <c r="F832" s="36">
        <v>46155</v>
      </c>
      <c r="G832" s="37" t="s">
        <v>1766</v>
      </c>
    </row>
    <row r="833" spans="1:7">
      <c r="A833" s="34" t="s">
        <v>1767</v>
      </c>
      <c r="B833" s="38" t="s">
        <v>1503</v>
      </c>
      <c r="C833" s="35" t="s">
        <v>1761</v>
      </c>
      <c r="D833" s="35" t="s">
        <v>41</v>
      </c>
      <c r="E833" s="35" t="s">
        <v>42</v>
      </c>
      <c r="F833" s="36">
        <v>46155</v>
      </c>
      <c r="G833" s="37" t="s">
        <v>1766</v>
      </c>
    </row>
    <row r="834" spans="1:7">
      <c r="A834" s="34" t="s">
        <v>1767</v>
      </c>
      <c r="B834" s="38" t="s">
        <v>1719</v>
      </c>
      <c r="C834" s="35" t="s">
        <v>1761</v>
      </c>
      <c r="D834" s="35" t="s">
        <v>41</v>
      </c>
      <c r="E834" s="35" t="s">
        <v>42</v>
      </c>
      <c r="F834" s="36">
        <v>46155</v>
      </c>
      <c r="G834" s="37" t="s">
        <v>1766</v>
      </c>
    </row>
    <row r="835" spans="1:7">
      <c r="A835" s="34" t="s">
        <v>1767</v>
      </c>
      <c r="B835" s="38" t="s">
        <v>1720</v>
      </c>
      <c r="C835" s="35" t="s">
        <v>1761</v>
      </c>
      <c r="D835" s="35" t="s">
        <v>41</v>
      </c>
      <c r="E835" s="35" t="s">
        <v>42</v>
      </c>
      <c r="F835" s="36">
        <v>46155</v>
      </c>
      <c r="G835" s="37" t="s">
        <v>1766</v>
      </c>
    </row>
    <row r="836" spans="1:7">
      <c r="A836" s="34" t="s">
        <v>1767</v>
      </c>
      <c r="B836" s="38" t="s">
        <v>1721</v>
      </c>
      <c r="C836" s="35" t="s">
        <v>1761</v>
      </c>
      <c r="D836" s="35" t="s">
        <v>41</v>
      </c>
      <c r="E836" s="35" t="s">
        <v>42</v>
      </c>
      <c r="F836" s="36">
        <v>46155</v>
      </c>
      <c r="G836" s="37" t="s">
        <v>1766</v>
      </c>
    </row>
    <row r="837" spans="1:7">
      <c r="A837" s="34" t="s">
        <v>1767</v>
      </c>
      <c r="B837" s="38" t="s">
        <v>1533</v>
      </c>
      <c r="C837" s="35" t="s">
        <v>1761</v>
      </c>
      <c r="D837" s="35" t="s">
        <v>41</v>
      </c>
      <c r="E837" s="35" t="s">
        <v>42</v>
      </c>
      <c r="F837" s="36">
        <v>46155</v>
      </c>
      <c r="G837" s="37" t="s">
        <v>1766</v>
      </c>
    </row>
    <row r="838" spans="1:7">
      <c r="A838" s="34" t="s">
        <v>1767</v>
      </c>
      <c r="B838" s="38" t="s">
        <v>1536</v>
      </c>
      <c r="C838" s="35" t="s">
        <v>1761</v>
      </c>
      <c r="D838" s="35" t="s">
        <v>41</v>
      </c>
      <c r="E838" s="35" t="s">
        <v>42</v>
      </c>
      <c r="F838" s="36">
        <v>46155</v>
      </c>
      <c r="G838" s="37" t="s">
        <v>1766</v>
      </c>
    </row>
    <row r="839" spans="1:7">
      <c r="A839" s="34" t="s">
        <v>1767</v>
      </c>
      <c r="B839" s="38" t="s">
        <v>1552</v>
      </c>
      <c r="C839" s="35" t="s">
        <v>1761</v>
      </c>
      <c r="D839" s="35" t="s">
        <v>41</v>
      </c>
      <c r="E839" s="35" t="s">
        <v>42</v>
      </c>
      <c r="F839" s="36">
        <v>46155</v>
      </c>
      <c r="G839" s="37" t="s">
        <v>1766</v>
      </c>
    </row>
    <row r="840" spans="1:7">
      <c r="A840" s="34" t="s">
        <v>1767</v>
      </c>
      <c r="B840" s="38" t="s">
        <v>1722</v>
      </c>
      <c r="C840" s="35" t="s">
        <v>1761</v>
      </c>
      <c r="D840" s="35" t="s">
        <v>41</v>
      </c>
      <c r="E840" s="35" t="s">
        <v>42</v>
      </c>
      <c r="F840" s="36">
        <v>46155</v>
      </c>
      <c r="G840" s="37" t="s">
        <v>1766</v>
      </c>
    </row>
    <row r="841" spans="1:7">
      <c r="A841" s="34" t="s">
        <v>1767</v>
      </c>
      <c r="B841" s="38" t="s">
        <v>1723</v>
      </c>
      <c r="C841" s="35" t="s">
        <v>1761</v>
      </c>
      <c r="D841" s="35" t="s">
        <v>41</v>
      </c>
      <c r="E841" s="35" t="s">
        <v>42</v>
      </c>
      <c r="F841" s="36">
        <v>46155</v>
      </c>
      <c r="G841" s="37" t="s">
        <v>1766</v>
      </c>
    </row>
    <row r="842" spans="1:7">
      <c r="A842" s="34" t="s">
        <v>1767</v>
      </c>
      <c r="B842" s="38" t="s">
        <v>1538</v>
      </c>
      <c r="C842" s="35" t="s">
        <v>1761</v>
      </c>
      <c r="D842" s="35" t="s">
        <v>41</v>
      </c>
      <c r="E842" s="35" t="s">
        <v>42</v>
      </c>
      <c r="F842" s="36">
        <v>46155</v>
      </c>
      <c r="G842" s="37" t="s">
        <v>1766</v>
      </c>
    </row>
    <row r="843" spans="1:7">
      <c r="A843" s="34" t="s">
        <v>1767</v>
      </c>
      <c r="B843" s="38" t="s">
        <v>1507</v>
      </c>
      <c r="C843" s="35" t="s">
        <v>1761</v>
      </c>
      <c r="D843" s="35" t="s">
        <v>41</v>
      </c>
      <c r="E843" s="35" t="s">
        <v>42</v>
      </c>
      <c r="F843" s="36">
        <v>46155</v>
      </c>
      <c r="G843" s="37" t="s">
        <v>1766</v>
      </c>
    </row>
    <row r="844" spans="1:7">
      <c r="A844" s="34" t="s">
        <v>1767</v>
      </c>
      <c r="B844" s="38" t="s">
        <v>1724</v>
      </c>
      <c r="C844" s="35" t="s">
        <v>1761</v>
      </c>
      <c r="D844" s="35" t="s">
        <v>41</v>
      </c>
      <c r="E844" s="35" t="s">
        <v>42</v>
      </c>
      <c r="F844" s="36">
        <v>46155</v>
      </c>
      <c r="G844" s="37" t="s">
        <v>1766</v>
      </c>
    </row>
    <row r="845" spans="1:7">
      <c r="A845" s="34" t="s">
        <v>1767</v>
      </c>
      <c r="B845" s="38" t="s">
        <v>1725</v>
      </c>
      <c r="C845" s="35" t="s">
        <v>1761</v>
      </c>
      <c r="D845" s="35" t="s">
        <v>41</v>
      </c>
      <c r="E845" s="35" t="s">
        <v>42</v>
      </c>
      <c r="F845" s="36">
        <v>46155</v>
      </c>
      <c r="G845" s="37" t="s">
        <v>1766</v>
      </c>
    </row>
    <row r="846" spans="1:7">
      <c r="A846" s="34" t="s">
        <v>1767</v>
      </c>
      <c r="B846" s="38" t="s">
        <v>1563</v>
      </c>
      <c r="C846" s="35" t="s">
        <v>1761</v>
      </c>
      <c r="D846" s="35" t="s">
        <v>41</v>
      </c>
      <c r="E846" s="35" t="s">
        <v>42</v>
      </c>
      <c r="F846" s="36">
        <v>46155</v>
      </c>
      <c r="G846" s="37" t="s">
        <v>1766</v>
      </c>
    </row>
    <row r="847" spans="1:7">
      <c r="A847" s="34" t="s">
        <v>1767</v>
      </c>
      <c r="B847" s="38" t="s">
        <v>1726</v>
      </c>
      <c r="C847" s="35" t="s">
        <v>1761</v>
      </c>
      <c r="D847" s="35" t="s">
        <v>41</v>
      </c>
      <c r="E847" s="35" t="s">
        <v>42</v>
      </c>
      <c r="F847" s="36">
        <v>46155</v>
      </c>
      <c r="G847" s="37" t="s">
        <v>1766</v>
      </c>
    </row>
    <row r="848" spans="1:7">
      <c r="A848" s="34" t="s">
        <v>1767</v>
      </c>
      <c r="B848" s="38" t="s">
        <v>1727</v>
      </c>
      <c r="C848" s="35" t="s">
        <v>1761</v>
      </c>
      <c r="D848" s="35" t="s">
        <v>41</v>
      </c>
      <c r="E848" s="35" t="s">
        <v>42</v>
      </c>
      <c r="F848" s="36">
        <v>46155</v>
      </c>
      <c r="G848" s="37" t="s">
        <v>1766</v>
      </c>
    </row>
    <row r="849" spans="1:7">
      <c r="A849" s="34" t="s">
        <v>1767</v>
      </c>
      <c r="B849" s="38" t="s">
        <v>1556</v>
      </c>
      <c r="C849" s="35" t="s">
        <v>1761</v>
      </c>
      <c r="D849" s="35" t="s">
        <v>41</v>
      </c>
      <c r="E849" s="35" t="s">
        <v>42</v>
      </c>
      <c r="F849" s="36">
        <v>46155</v>
      </c>
      <c r="G849" s="37" t="s">
        <v>1766</v>
      </c>
    </row>
    <row r="850" spans="1:7">
      <c r="A850" s="34" t="s">
        <v>1767</v>
      </c>
      <c r="B850" s="38" t="s">
        <v>1559</v>
      </c>
      <c r="C850" s="35" t="s">
        <v>1761</v>
      </c>
      <c r="D850" s="35" t="s">
        <v>41</v>
      </c>
      <c r="E850" s="35" t="s">
        <v>42</v>
      </c>
      <c r="F850" s="36">
        <v>46155</v>
      </c>
      <c r="G850" s="37" t="s">
        <v>1766</v>
      </c>
    </row>
    <row r="851" spans="1:7">
      <c r="A851" s="34" t="s">
        <v>1767</v>
      </c>
      <c r="B851" s="38" t="s">
        <v>1551</v>
      </c>
      <c r="C851" s="35" t="s">
        <v>1761</v>
      </c>
      <c r="D851" s="35" t="s">
        <v>41</v>
      </c>
      <c r="E851" s="35" t="s">
        <v>42</v>
      </c>
      <c r="F851" s="36">
        <v>46155</v>
      </c>
      <c r="G851" s="37" t="s">
        <v>1766</v>
      </c>
    </row>
    <row r="852" spans="1:7">
      <c r="A852" s="34" t="s">
        <v>1767</v>
      </c>
      <c r="B852" s="38" t="s">
        <v>1728</v>
      </c>
      <c r="C852" s="35" t="s">
        <v>1761</v>
      </c>
      <c r="D852" s="35" t="s">
        <v>41</v>
      </c>
      <c r="E852" s="35" t="s">
        <v>42</v>
      </c>
      <c r="F852" s="36">
        <v>46155</v>
      </c>
      <c r="G852" s="37" t="s">
        <v>1766</v>
      </c>
    </row>
    <row r="853" spans="1:7">
      <c r="A853" s="34" t="s">
        <v>1767</v>
      </c>
      <c r="B853" s="38" t="s">
        <v>1729</v>
      </c>
      <c r="C853" s="35" t="s">
        <v>1761</v>
      </c>
      <c r="D853" s="35" t="s">
        <v>41</v>
      </c>
      <c r="E853" s="35" t="s">
        <v>42</v>
      </c>
      <c r="F853" s="36">
        <v>46155</v>
      </c>
      <c r="G853" s="37" t="s">
        <v>1766</v>
      </c>
    </row>
    <row r="854" spans="1:7">
      <c r="A854" s="34" t="s">
        <v>1767</v>
      </c>
      <c r="B854" s="38" t="s">
        <v>1510</v>
      </c>
      <c r="C854" s="35" t="s">
        <v>1761</v>
      </c>
      <c r="D854" s="35" t="s">
        <v>41</v>
      </c>
      <c r="E854" s="35" t="s">
        <v>42</v>
      </c>
      <c r="F854" s="36">
        <v>46155</v>
      </c>
      <c r="G854" s="37" t="s">
        <v>1766</v>
      </c>
    </row>
    <row r="855" spans="1:7">
      <c r="A855" s="34" t="s">
        <v>1767</v>
      </c>
      <c r="B855" s="38" t="s">
        <v>1730</v>
      </c>
      <c r="C855" s="35" t="s">
        <v>1761</v>
      </c>
      <c r="D855" s="35" t="s">
        <v>41</v>
      </c>
      <c r="E855" s="35" t="s">
        <v>42</v>
      </c>
      <c r="F855" s="36">
        <v>46155</v>
      </c>
      <c r="G855" s="37" t="s">
        <v>1766</v>
      </c>
    </row>
    <row r="856" spans="1:7">
      <c r="A856" s="34" t="s">
        <v>1767</v>
      </c>
      <c r="B856" s="38" t="s">
        <v>1731</v>
      </c>
      <c r="C856" s="35" t="s">
        <v>1761</v>
      </c>
      <c r="D856" s="35" t="s">
        <v>41</v>
      </c>
      <c r="E856" s="35" t="s">
        <v>42</v>
      </c>
      <c r="F856" s="36">
        <v>46155</v>
      </c>
      <c r="G856" s="37" t="s">
        <v>1766</v>
      </c>
    </row>
    <row r="857" spans="1:7">
      <c r="A857" s="34" t="s">
        <v>1767</v>
      </c>
      <c r="B857" s="38" t="s">
        <v>1732</v>
      </c>
      <c r="C857" s="35" t="s">
        <v>1761</v>
      </c>
      <c r="D857" s="35" t="s">
        <v>41</v>
      </c>
      <c r="E857" s="35" t="s">
        <v>42</v>
      </c>
      <c r="F857" s="36">
        <v>46155</v>
      </c>
      <c r="G857" s="37" t="s">
        <v>1766</v>
      </c>
    </row>
    <row r="858" spans="1:7">
      <c r="A858" s="34" t="s">
        <v>1767</v>
      </c>
      <c r="B858" s="38" t="s">
        <v>1733</v>
      </c>
      <c r="C858" s="35" t="s">
        <v>1761</v>
      </c>
      <c r="D858" s="35" t="s">
        <v>41</v>
      </c>
      <c r="E858" s="35" t="s">
        <v>42</v>
      </c>
      <c r="F858" s="36">
        <v>46155</v>
      </c>
      <c r="G858" s="37" t="s">
        <v>1766</v>
      </c>
    </row>
    <row r="859" spans="1:7">
      <c r="A859" s="34" t="s">
        <v>1767</v>
      </c>
      <c r="B859" s="38" t="s">
        <v>1488</v>
      </c>
      <c r="C859" s="35" t="s">
        <v>1761</v>
      </c>
      <c r="D859" s="35" t="s">
        <v>41</v>
      </c>
      <c r="E859" s="35" t="s">
        <v>42</v>
      </c>
      <c r="F859" s="36">
        <v>46155</v>
      </c>
      <c r="G859" s="37" t="s">
        <v>1766</v>
      </c>
    </row>
    <row r="860" spans="1:7">
      <c r="A860" s="34" t="s">
        <v>1767</v>
      </c>
      <c r="B860" s="38" t="s">
        <v>1735</v>
      </c>
      <c r="C860" s="35" t="s">
        <v>1761</v>
      </c>
      <c r="D860" s="35" t="s">
        <v>41</v>
      </c>
      <c r="E860" s="35" t="s">
        <v>42</v>
      </c>
      <c r="F860" s="36">
        <v>46155</v>
      </c>
      <c r="G860" s="37" t="s">
        <v>1766</v>
      </c>
    </row>
    <row r="861" spans="1:7">
      <c r="A861" s="34" t="s">
        <v>1767</v>
      </c>
      <c r="B861" s="38" t="s">
        <v>1736</v>
      </c>
      <c r="C861" s="35" t="s">
        <v>1761</v>
      </c>
      <c r="D861" s="35" t="s">
        <v>41</v>
      </c>
      <c r="E861" s="35" t="s">
        <v>42</v>
      </c>
      <c r="F861" s="36">
        <v>46155</v>
      </c>
      <c r="G861" s="37" t="s">
        <v>1766</v>
      </c>
    </row>
    <row r="862" spans="1:7">
      <c r="A862" s="34" t="s">
        <v>1767</v>
      </c>
      <c r="B862" s="38" t="s">
        <v>1737</v>
      </c>
      <c r="C862" s="35" t="s">
        <v>1761</v>
      </c>
      <c r="D862" s="35" t="s">
        <v>41</v>
      </c>
      <c r="E862" s="35" t="s">
        <v>42</v>
      </c>
      <c r="F862" s="36">
        <v>46155</v>
      </c>
      <c r="G862" s="37" t="s">
        <v>1766</v>
      </c>
    </row>
    <row r="863" spans="1:7">
      <c r="A863" s="34" t="s">
        <v>1767</v>
      </c>
      <c r="B863" s="38" t="s">
        <v>1548</v>
      </c>
      <c r="C863" s="35" t="s">
        <v>1761</v>
      </c>
      <c r="D863" s="35" t="s">
        <v>41</v>
      </c>
      <c r="E863" s="35" t="s">
        <v>42</v>
      </c>
      <c r="F863" s="36">
        <v>46155</v>
      </c>
      <c r="G863" s="37" t="s">
        <v>1766</v>
      </c>
    </row>
    <row r="864" spans="1:7">
      <c r="A864" s="34" t="s">
        <v>1767</v>
      </c>
      <c r="B864" s="38" t="s">
        <v>1738</v>
      </c>
      <c r="C864" s="35" t="s">
        <v>1761</v>
      </c>
      <c r="D864" s="35" t="s">
        <v>41</v>
      </c>
      <c r="E864" s="35" t="s">
        <v>42</v>
      </c>
      <c r="F864" s="36">
        <v>46155</v>
      </c>
      <c r="G864" s="37" t="s">
        <v>1766</v>
      </c>
    </row>
    <row r="865" spans="1:7">
      <c r="A865" s="34" t="s">
        <v>1767</v>
      </c>
      <c r="B865" s="38" t="s">
        <v>1739</v>
      </c>
      <c r="C865" s="35" t="s">
        <v>1761</v>
      </c>
      <c r="D865" s="35" t="s">
        <v>41</v>
      </c>
      <c r="E865" s="35" t="s">
        <v>42</v>
      </c>
      <c r="F865" s="36">
        <v>46155</v>
      </c>
      <c r="G865" s="37" t="s">
        <v>1766</v>
      </c>
    </row>
    <row r="866" spans="1:7">
      <c r="A866" s="34" t="s">
        <v>1767</v>
      </c>
      <c r="B866" s="38" t="s">
        <v>1740</v>
      </c>
      <c r="C866" s="35" t="s">
        <v>1761</v>
      </c>
      <c r="D866" s="35" t="s">
        <v>41</v>
      </c>
      <c r="E866" s="35" t="s">
        <v>42</v>
      </c>
      <c r="F866" s="36">
        <v>46155</v>
      </c>
      <c r="G866" s="37" t="s">
        <v>1766</v>
      </c>
    </row>
    <row r="867" spans="1:7">
      <c r="A867" s="34" t="s">
        <v>1767</v>
      </c>
      <c r="B867" s="38" t="s">
        <v>1508</v>
      </c>
      <c r="C867" s="35" t="s">
        <v>1761</v>
      </c>
      <c r="D867" s="35" t="s">
        <v>41</v>
      </c>
      <c r="E867" s="35" t="s">
        <v>42</v>
      </c>
      <c r="F867" s="36">
        <v>46155</v>
      </c>
      <c r="G867" s="37" t="s">
        <v>1766</v>
      </c>
    </row>
    <row r="868" spans="1:7">
      <c r="A868" s="34" t="s">
        <v>1767</v>
      </c>
      <c r="B868" s="38" t="s">
        <v>1485</v>
      </c>
      <c r="C868" s="35" t="s">
        <v>1761</v>
      </c>
      <c r="D868" s="35" t="s">
        <v>74</v>
      </c>
      <c r="E868" s="35" t="s">
        <v>193</v>
      </c>
      <c r="F868" s="36">
        <v>46155</v>
      </c>
      <c r="G868" s="37" t="s">
        <v>1766</v>
      </c>
    </row>
    <row r="869" spans="1:7">
      <c r="A869" s="34" t="s">
        <v>1767</v>
      </c>
      <c r="B869" s="38" t="s">
        <v>1479</v>
      </c>
      <c r="C869" s="35" t="s">
        <v>1761</v>
      </c>
      <c r="D869" s="35" t="s">
        <v>41</v>
      </c>
      <c r="E869" s="35" t="s">
        <v>42</v>
      </c>
      <c r="F869" s="36">
        <v>46155</v>
      </c>
      <c r="G869" s="37" t="s">
        <v>1766</v>
      </c>
    </row>
    <row r="870" spans="1:7">
      <c r="A870" s="34" t="s">
        <v>1767</v>
      </c>
      <c r="B870" s="38" t="s">
        <v>1741</v>
      </c>
      <c r="C870" s="35" t="s">
        <v>1761</v>
      </c>
      <c r="D870" s="35" t="s">
        <v>41</v>
      </c>
      <c r="E870" s="35" t="s">
        <v>42</v>
      </c>
      <c r="F870" s="36">
        <v>46155</v>
      </c>
      <c r="G870" s="37" t="s">
        <v>1766</v>
      </c>
    </row>
    <row r="871" spans="1:7">
      <c r="A871" s="34" t="s">
        <v>1767</v>
      </c>
      <c r="B871" s="38" t="s">
        <v>1742</v>
      </c>
      <c r="C871" s="35" t="s">
        <v>1761</v>
      </c>
      <c r="D871" s="35" t="s">
        <v>41</v>
      </c>
      <c r="E871" s="35" t="s">
        <v>42</v>
      </c>
      <c r="F871" s="36">
        <v>46155</v>
      </c>
      <c r="G871" s="37" t="s">
        <v>1766</v>
      </c>
    </row>
    <row r="872" spans="1:7">
      <c r="A872" s="34" t="s">
        <v>1767</v>
      </c>
      <c r="B872" s="38" t="s">
        <v>1743</v>
      </c>
      <c r="C872" s="35" t="s">
        <v>1761</v>
      </c>
      <c r="D872" s="35" t="s">
        <v>41</v>
      </c>
      <c r="E872" s="35" t="s">
        <v>42</v>
      </c>
      <c r="F872" s="36">
        <v>46155</v>
      </c>
      <c r="G872" s="37" t="s">
        <v>1766</v>
      </c>
    </row>
    <row r="873" spans="1:7">
      <c r="A873" s="34" t="s">
        <v>1767</v>
      </c>
      <c r="B873" s="38" t="s">
        <v>1744</v>
      </c>
      <c r="C873" s="35" t="s">
        <v>1761</v>
      </c>
      <c r="D873" s="35" t="s">
        <v>41</v>
      </c>
      <c r="E873" s="35" t="s">
        <v>42</v>
      </c>
      <c r="F873" s="36">
        <v>46155</v>
      </c>
      <c r="G873" s="37" t="s">
        <v>1766</v>
      </c>
    </row>
    <row r="874" spans="1:7">
      <c r="A874" s="34" t="s">
        <v>1767</v>
      </c>
      <c r="B874" s="38" t="s">
        <v>1505</v>
      </c>
      <c r="C874" s="35" t="s">
        <v>1761</v>
      </c>
      <c r="D874" s="35" t="s">
        <v>41</v>
      </c>
      <c r="E874" s="35" t="s">
        <v>42</v>
      </c>
      <c r="F874" s="36">
        <v>46155</v>
      </c>
      <c r="G874" s="37" t="s">
        <v>1766</v>
      </c>
    </row>
    <row r="875" spans="1:7">
      <c r="A875" s="34" t="s">
        <v>1767</v>
      </c>
      <c r="B875" s="38" t="s">
        <v>1506</v>
      </c>
      <c r="C875" s="35" t="s">
        <v>1761</v>
      </c>
      <c r="D875" s="35" t="s">
        <v>41</v>
      </c>
      <c r="E875" s="35" t="s">
        <v>42</v>
      </c>
      <c r="F875" s="36">
        <v>46155</v>
      </c>
      <c r="G875" s="37" t="s">
        <v>1766</v>
      </c>
    </row>
    <row r="876" spans="1:7">
      <c r="A876" s="34" t="s">
        <v>1767</v>
      </c>
      <c r="B876" s="38" t="s">
        <v>1511</v>
      </c>
      <c r="C876" s="35" t="s">
        <v>1761</v>
      </c>
      <c r="D876" s="35" t="s">
        <v>41</v>
      </c>
      <c r="E876" s="35" t="s">
        <v>42</v>
      </c>
      <c r="F876" s="36">
        <v>46155</v>
      </c>
      <c r="G876" s="37" t="s">
        <v>1766</v>
      </c>
    </row>
    <row r="877" spans="1:7">
      <c r="A877" s="34" t="s">
        <v>1767</v>
      </c>
      <c r="B877" s="38" t="s">
        <v>1746</v>
      </c>
      <c r="C877" s="35" t="s">
        <v>1761</v>
      </c>
      <c r="D877" s="35" t="s">
        <v>41</v>
      </c>
      <c r="E877" s="35" t="s">
        <v>42</v>
      </c>
      <c r="F877" s="36">
        <v>46155</v>
      </c>
      <c r="G877" s="37" t="s">
        <v>1766</v>
      </c>
    </row>
    <row r="878" spans="1:7">
      <c r="A878" s="34" t="s">
        <v>1767</v>
      </c>
      <c r="B878" s="38" t="s">
        <v>1745</v>
      </c>
      <c r="C878" s="35" t="s">
        <v>1761</v>
      </c>
      <c r="D878" s="35" t="s">
        <v>41</v>
      </c>
      <c r="E878" s="35" t="s">
        <v>42</v>
      </c>
      <c r="F878" s="36">
        <v>46155</v>
      </c>
      <c r="G878" s="37" t="s">
        <v>1766</v>
      </c>
    </row>
    <row r="879" spans="1:7">
      <c r="A879" s="34" t="s">
        <v>1767</v>
      </c>
      <c r="B879" s="38" t="s">
        <v>1747</v>
      </c>
      <c r="C879" s="35" t="s">
        <v>1761</v>
      </c>
      <c r="D879" s="35" t="s">
        <v>41</v>
      </c>
      <c r="E879" s="35" t="s">
        <v>42</v>
      </c>
      <c r="F879" s="36">
        <v>46155</v>
      </c>
      <c r="G879" s="37" t="s">
        <v>1766</v>
      </c>
    </row>
    <row r="880" spans="1:7">
      <c r="A880" s="34" t="s">
        <v>1767</v>
      </c>
      <c r="B880" s="38" t="s">
        <v>1748</v>
      </c>
      <c r="C880" s="35" t="s">
        <v>1761</v>
      </c>
      <c r="D880" s="35" t="s">
        <v>41</v>
      </c>
      <c r="E880" s="35" t="s">
        <v>42</v>
      </c>
      <c r="F880" s="36">
        <v>46155</v>
      </c>
      <c r="G880" s="37" t="s">
        <v>1766</v>
      </c>
    </row>
    <row r="881" spans="1:7">
      <c r="A881" s="34" t="s">
        <v>1767</v>
      </c>
      <c r="B881" s="38" t="s">
        <v>1545</v>
      </c>
      <c r="C881" s="35" t="s">
        <v>1761</v>
      </c>
      <c r="D881" s="35" t="s">
        <v>41</v>
      </c>
      <c r="E881" s="35" t="s">
        <v>42</v>
      </c>
      <c r="F881" s="36">
        <v>46155</v>
      </c>
      <c r="G881" s="37" t="s">
        <v>1766</v>
      </c>
    </row>
    <row r="882" spans="1:7">
      <c r="A882" s="34" t="s">
        <v>1767</v>
      </c>
      <c r="B882" s="38" t="s">
        <v>1749</v>
      </c>
      <c r="C882" s="35" t="s">
        <v>1761</v>
      </c>
      <c r="D882" s="35" t="s">
        <v>41</v>
      </c>
      <c r="E882" s="35" t="s">
        <v>42</v>
      </c>
      <c r="F882" s="36">
        <v>46155</v>
      </c>
      <c r="G882" s="37" t="s">
        <v>1766</v>
      </c>
    </row>
    <row r="883" spans="1:7">
      <c r="A883" s="34" t="s">
        <v>1767</v>
      </c>
      <c r="B883" s="38" t="s">
        <v>1750</v>
      </c>
      <c r="C883" s="35" t="s">
        <v>1761</v>
      </c>
      <c r="D883" s="35" t="s">
        <v>41</v>
      </c>
      <c r="E883" s="35" t="s">
        <v>42</v>
      </c>
      <c r="F883" s="36">
        <v>46155</v>
      </c>
      <c r="G883" s="37" t="s">
        <v>1766</v>
      </c>
    </row>
    <row r="884" spans="1:7">
      <c r="A884" s="34" t="s">
        <v>1767</v>
      </c>
      <c r="B884" s="38" t="s">
        <v>1561</v>
      </c>
      <c r="C884" s="35" t="s">
        <v>1761</v>
      </c>
      <c r="D884" s="35" t="s">
        <v>41</v>
      </c>
      <c r="E884" s="35" t="s">
        <v>42</v>
      </c>
      <c r="F884" s="36">
        <v>46155</v>
      </c>
      <c r="G884" s="37" t="s">
        <v>1766</v>
      </c>
    </row>
    <row r="885" spans="1:7">
      <c r="A885" s="34" t="s">
        <v>1767</v>
      </c>
      <c r="B885" s="38" t="s">
        <v>1558</v>
      </c>
      <c r="C885" s="35" t="s">
        <v>1761</v>
      </c>
      <c r="D885" s="35" t="s">
        <v>41</v>
      </c>
      <c r="E885" s="35" t="s">
        <v>42</v>
      </c>
      <c r="F885" s="36">
        <v>46155</v>
      </c>
      <c r="G885" s="37" t="s">
        <v>1766</v>
      </c>
    </row>
    <row r="886" spans="1:7">
      <c r="A886" s="34" t="s">
        <v>1767</v>
      </c>
      <c r="B886" s="38" t="s">
        <v>1554</v>
      </c>
      <c r="C886" s="35" t="s">
        <v>1761</v>
      </c>
      <c r="D886" s="35" t="s">
        <v>41</v>
      </c>
      <c r="E886" s="35" t="s">
        <v>42</v>
      </c>
      <c r="F886" s="36">
        <v>46155</v>
      </c>
      <c r="G886" s="37" t="s">
        <v>1766</v>
      </c>
    </row>
    <row r="887" spans="1:7">
      <c r="A887" s="34" t="s">
        <v>1767</v>
      </c>
      <c r="B887" s="38" t="s">
        <v>1751</v>
      </c>
      <c r="C887" s="35" t="s">
        <v>1761</v>
      </c>
      <c r="D887" s="35" t="s">
        <v>41</v>
      </c>
      <c r="E887" s="35" t="s">
        <v>42</v>
      </c>
      <c r="F887" s="36">
        <v>46155</v>
      </c>
      <c r="G887" s="37" t="s">
        <v>1766</v>
      </c>
    </row>
    <row r="888" spans="1:7">
      <c r="A888" s="34" t="s">
        <v>1767</v>
      </c>
      <c r="B888" s="38" t="s">
        <v>1480</v>
      </c>
      <c r="C888" s="35" t="s">
        <v>1761</v>
      </c>
      <c r="D888" s="35" t="s">
        <v>41</v>
      </c>
      <c r="E888" s="35" t="s">
        <v>42</v>
      </c>
      <c r="F888" s="36">
        <v>46155</v>
      </c>
      <c r="G888" s="37" t="s">
        <v>1766</v>
      </c>
    </row>
    <row r="889" spans="1:7">
      <c r="A889" s="34" t="s">
        <v>1767</v>
      </c>
      <c r="B889" s="38" t="s">
        <v>1502</v>
      </c>
      <c r="C889" s="35" t="s">
        <v>1761</v>
      </c>
      <c r="D889" s="35" t="s">
        <v>41</v>
      </c>
      <c r="E889" s="35" t="s">
        <v>42</v>
      </c>
      <c r="F889" s="36">
        <v>46155</v>
      </c>
      <c r="G889" s="37" t="s">
        <v>1766</v>
      </c>
    </row>
    <row r="890" spans="1:7">
      <c r="A890" s="34" t="s">
        <v>1767</v>
      </c>
      <c r="B890" s="38" t="s">
        <v>1753</v>
      </c>
      <c r="C890" s="35" t="s">
        <v>1761</v>
      </c>
      <c r="D890" s="35" t="s">
        <v>41</v>
      </c>
      <c r="E890" s="35" t="s">
        <v>42</v>
      </c>
      <c r="F890" s="36">
        <v>46155</v>
      </c>
      <c r="G890" s="37" t="s">
        <v>1766</v>
      </c>
    </row>
    <row r="891" spans="1:7">
      <c r="A891" s="34" t="s">
        <v>1767</v>
      </c>
      <c r="B891" s="38" t="s">
        <v>1490</v>
      </c>
      <c r="C891" s="35" t="s">
        <v>1761</v>
      </c>
      <c r="D891" s="35" t="s">
        <v>41</v>
      </c>
      <c r="E891" s="35" t="s">
        <v>42</v>
      </c>
      <c r="F891" s="36">
        <v>46155</v>
      </c>
      <c r="G891" s="37" t="s">
        <v>1766</v>
      </c>
    </row>
    <row r="892" spans="1:7">
      <c r="A892" s="34" t="s">
        <v>1767</v>
      </c>
      <c r="B892" s="38" t="s">
        <v>1487</v>
      </c>
      <c r="C892" s="35" t="s">
        <v>1761</v>
      </c>
      <c r="D892" s="35" t="s">
        <v>41</v>
      </c>
      <c r="E892" s="35" t="s">
        <v>42</v>
      </c>
      <c r="F892" s="36">
        <v>46155</v>
      </c>
      <c r="G892" s="37" t="s">
        <v>1766</v>
      </c>
    </row>
    <row r="893" spans="1:7">
      <c r="A893" s="34" t="s">
        <v>1767</v>
      </c>
      <c r="B893" s="38" t="s">
        <v>1754</v>
      </c>
      <c r="C893" s="35" t="s">
        <v>1761</v>
      </c>
      <c r="D893" s="35" t="s">
        <v>41</v>
      </c>
      <c r="E893" s="35" t="s">
        <v>42</v>
      </c>
      <c r="F893" s="36">
        <v>46155</v>
      </c>
      <c r="G893" s="37" t="s">
        <v>1766</v>
      </c>
    </row>
    <row r="894" spans="1:7">
      <c r="A894" s="34" t="s">
        <v>1767</v>
      </c>
      <c r="B894" s="38" t="s">
        <v>1755</v>
      </c>
      <c r="C894" s="35" t="s">
        <v>1761</v>
      </c>
      <c r="D894" s="35" t="s">
        <v>41</v>
      </c>
      <c r="E894" s="35" t="s">
        <v>42</v>
      </c>
      <c r="F894" s="36">
        <v>46155</v>
      </c>
      <c r="G894" s="37" t="s">
        <v>1766</v>
      </c>
    </row>
    <row r="895" spans="1:7">
      <c r="A895" s="34" t="s">
        <v>1767</v>
      </c>
      <c r="B895" s="38" t="s">
        <v>1756</v>
      </c>
      <c r="C895" s="35" t="s">
        <v>1761</v>
      </c>
      <c r="D895" s="35" t="s">
        <v>41</v>
      </c>
      <c r="E895" s="35" t="s">
        <v>42</v>
      </c>
      <c r="F895" s="36">
        <v>46155</v>
      </c>
      <c r="G895" s="37" t="s">
        <v>1766</v>
      </c>
    </row>
    <row r="896" spans="1:7">
      <c r="A896" s="34" t="s">
        <v>1767</v>
      </c>
      <c r="B896" s="38" t="s">
        <v>1757</v>
      </c>
      <c r="C896" s="35" t="s">
        <v>1761</v>
      </c>
      <c r="D896" s="35" t="s">
        <v>35</v>
      </c>
      <c r="E896" s="35" t="s">
        <v>34</v>
      </c>
      <c r="F896" s="36">
        <v>46155</v>
      </c>
      <c r="G896" s="37" t="s">
        <v>1766</v>
      </c>
    </row>
    <row r="897" spans="1:7">
      <c r="A897" s="34" t="s">
        <v>1767</v>
      </c>
      <c r="B897" s="38" t="s">
        <v>1758</v>
      </c>
      <c r="C897" s="35" t="s">
        <v>1761</v>
      </c>
      <c r="D897" s="35" t="s">
        <v>41</v>
      </c>
      <c r="E897" s="35" t="s">
        <v>42</v>
      </c>
      <c r="F897" s="36">
        <v>46155</v>
      </c>
      <c r="G897" s="37" t="s">
        <v>1766</v>
      </c>
    </row>
    <row r="898" spans="1:7">
      <c r="A898" s="40" t="s">
        <v>1767</v>
      </c>
      <c r="B898" s="41" t="s">
        <v>1759</v>
      </c>
      <c r="C898" s="42" t="s">
        <v>1761</v>
      </c>
      <c r="D898" s="42" t="s">
        <v>71</v>
      </c>
      <c r="E898" s="42" t="s">
        <v>70</v>
      </c>
      <c r="F898" s="43">
        <v>46155</v>
      </c>
      <c r="G898" s="44" t="s">
        <v>1766</v>
      </c>
    </row>
  </sheetData>
  <phoneticPr fontId="4" type="noConversion"/>
  <conditionalFormatting sqref="C1:C1048576">
    <cfRule type="containsText" dxfId="1" priority="1" operator="containsText" text="DENTRO">
      <formula>NOT(ISERROR(SEARCH("DENTRO",C1)))</formula>
    </cfRule>
    <cfRule type="containsText" dxfId="0" priority="2" operator="containsText" text="FORA">
      <formula>NOT(ISERROR(SEARCH("FORA",C1)))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74A6B-A661-4F9F-B023-0C367ECBAB33}">
  <dimension ref="A1:Q2598"/>
  <sheetViews>
    <sheetView zoomScaleNormal="100" workbookViewId="0">
      <selection activeCell="F18" sqref="F18"/>
    </sheetView>
  </sheetViews>
  <sheetFormatPr defaultRowHeight="15"/>
  <cols>
    <col min="1" max="1" width="89.5703125" style="33" customWidth="1"/>
    <col min="2" max="2" width="14.140625" style="33" customWidth="1"/>
    <col min="3" max="3" width="22.140625" style="33" customWidth="1"/>
    <col min="4" max="4" width="14.7109375" style="33" customWidth="1"/>
    <col min="5" max="5" width="10.85546875" style="33" customWidth="1"/>
    <col min="6" max="6" width="9.7109375" style="33" customWidth="1"/>
    <col min="7" max="7" width="9.140625" style="33" customWidth="1"/>
    <col min="8" max="8" width="12.42578125" style="33" customWidth="1"/>
    <col min="9" max="9" width="19.85546875" style="33" customWidth="1"/>
    <col min="10" max="10" width="12.140625" style="33" customWidth="1"/>
    <col min="11" max="11" width="9.140625" style="33" customWidth="1"/>
    <col min="12" max="12" width="19.28515625" style="33" customWidth="1"/>
    <col min="13" max="13" width="29.140625" style="33" customWidth="1"/>
    <col min="14" max="14" width="21.28515625" style="33" customWidth="1"/>
    <col min="15" max="15" width="9.5703125" style="33" customWidth="1"/>
    <col min="16" max="16" width="38.42578125" style="33" customWidth="1"/>
    <col min="17" max="17" width="24.140625" style="33" customWidth="1"/>
    <col min="18" max="16384" width="9.140625" style="33"/>
  </cols>
  <sheetData>
    <row r="1" spans="1:17" s="32" customFormat="1">
      <c r="A1" s="32" t="s">
        <v>1769</v>
      </c>
      <c r="B1" s="32" t="s">
        <v>940</v>
      </c>
      <c r="C1" s="32" t="s">
        <v>1770</v>
      </c>
      <c r="D1" s="32" t="s">
        <v>1771</v>
      </c>
      <c r="E1" s="32" t="s">
        <v>1772</v>
      </c>
      <c r="F1" s="32" t="s">
        <v>1773</v>
      </c>
      <c r="G1" s="32" t="s">
        <v>1774</v>
      </c>
      <c r="H1" s="32" t="s">
        <v>1775</v>
      </c>
      <c r="I1" s="32" t="s">
        <v>1776</v>
      </c>
      <c r="J1" s="32" t="s">
        <v>1777</v>
      </c>
      <c r="K1" s="32" t="s">
        <v>198</v>
      </c>
      <c r="L1" s="32" t="s">
        <v>1778</v>
      </c>
      <c r="M1" s="32" t="s">
        <v>1779</v>
      </c>
      <c r="N1" s="32" t="s">
        <v>1780</v>
      </c>
      <c r="O1" s="32" t="s">
        <v>1781</v>
      </c>
      <c r="P1" s="32" t="s">
        <v>1782</v>
      </c>
      <c r="Q1" s="32" t="s">
        <v>9345</v>
      </c>
    </row>
    <row r="2" spans="1:17">
      <c r="A2" s="33" t="s">
        <v>1783</v>
      </c>
      <c r="B2" s="33" t="s">
        <v>1784</v>
      </c>
      <c r="C2" s="33" t="s">
        <v>1785</v>
      </c>
      <c r="D2" s="33" t="s">
        <v>41</v>
      </c>
      <c r="E2" s="33" t="s">
        <v>1786</v>
      </c>
      <c r="F2" s="33" t="s">
        <v>1787</v>
      </c>
      <c r="G2" s="33" t="s">
        <v>1788</v>
      </c>
      <c r="H2" s="33" t="s">
        <v>1789</v>
      </c>
      <c r="I2" s="33" t="s">
        <v>1789</v>
      </c>
      <c r="J2" s="33" t="s">
        <v>1790</v>
      </c>
      <c r="K2" s="33" t="s">
        <v>1791</v>
      </c>
      <c r="L2" s="33" t="s">
        <v>1792</v>
      </c>
      <c r="M2" s="33" t="s">
        <v>82</v>
      </c>
      <c r="N2" s="33" t="s">
        <v>1793</v>
      </c>
      <c r="O2" s="33" t="s">
        <v>1794</v>
      </c>
      <c r="P2" s="33" t="s">
        <v>1795</v>
      </c>
      <c r="Q2" s="33" t="s">
        <v>1796</v>
      </c>
    </row>
    <row r="3" spans="1:17">
      <c r="A3" s="33" t="s">
        <v>1797</v>
      </c>
      <c r="B3" s="33" t="s">
        <v>1798</v>
      </c>
      <c r="C3" s="33" t="s">
        <v>1785</v>
      </c>
      <c r="D3" s="33" t="s">
        <v>41</v>
      </c>
      <c r="E3" s="33" t="s">
        <v>1786</v>
      </c>
      <c r="F3" s="33" t="s">
        <v>1787</v>
      </c>
      <c r="G3" s="33" t="s">
        <v>1799</v>
      </c>
      <c r="H3" s="33" t="s">
        <v>1800</v>
      </c>
      <c r="I3" s="33" t="s">
        <v>1800</v>
      </c>
      <c r="J3" s="33" t="s">
        <v>1801</v>
      </c>
      <c r="K3" s="33" t="s">
        <v>1791</v>
      </c>
      <c r="L3" s="33" t="s">
        <v>1802</v>
      </c>
      <c r="M3" s="33" t="s">
        <v>1793</v>
      </c>
      <c r="N3" s="33" t="s">
        <v>1793</v>
      </c>
      <c r="O3" s="33" t="s">
        <v>1803</v>
      </c>
      <c r="P3" s="33" t="s">
        <v>1804</v>
      </c>
      <c r="Q3" s="33" t="s">
        <v>1796</v>
      </c>
    </row>
    <row r="4" spans="1:17" hidden="1">
      <c r="A4" s="33" t="s">
        <v>1805</v>
      </c>
      <c r="B4" s="33" t="s">
        <v>1806</v>
      </c>
      <c r="C4" s="33" t="s">
        <v>1807</v>
      </c>
      <c r="D4" s="33" t="s">
        <v>41</v>
      </c>
      <c r="E4" s="33" t="s">
        <v>1808</v>
      </c>
      <c r="F4" s="33" t="s">
        <v>1787</v>
      </c>
      <c r="G4" s="33" t="s">
        <v>94</v>
      </c>
      <c r="H4" s="33" t="s">
        <v>1809</v>
      </c>
      <c r="I4" s="33" t="s">
        <v>1809</v>
      </c>
      <c r="J4" s="33" t="s">
        <v>1810</v>
      </c>
      <c r="K4" s="33" t="s">
        <v>1791</v>
      </c>
      <c r="L4" s="33" t="s">
        <v>1809</v>
      </c>
      <c r="M4" s="33" t="s">
        <v>1811</v>
      </c>
      <c r="N4" s="33" t="s">
        <v>93</v>
      </c>
      <c r="O4" s="33" t="s">
        <v>1812</v>
      </c>
      <c r="P4" s="33" t="s">
        <v>1764</v>
      </c>
      <c r="Q4" s="33" t="s">
        <v>1796</v>
      </c>
    </row>
    <row r="5" spans="1:17">
      <c r="A5" s="33" t="s">
        <v>1813</v>
      </c>
      <c r="B5" s="33" t="s">
        <v>1814</v>
      </c>
      <c r="C5" s="33" t="s">
        <v>1807</v>
      </c>
      <c r="D5" s="33" t="s">
        <v>41</v>
      </c>
      <c r="E5" s="33" t="s">
        <v>1786</v>
      </c>
      <c r="F5" s="33" t="s">
        <v>1815</v>
      </c>
      <c r="G5" s="33" t="s">
        <v>94</v>
      </c>
      <c r="H5" s="33" t="s">
        <v>1809</v>
      </c>
      <c r="I5" s="33" t="s">
        <v>1809</v>
      </c>
      <c r="J5" s="33" t="s">
        <v>1816</v>
      </c>
      <c r="K5" s="33" t="s">
        <v>1791</v>
      </c>
      <c r="L5" s="33" t="s">
        <v>1792</v>
      </c>
      <c r="M5" s="33" t="s">
        <v>1811</v>
      </c>
      <c r="N5" s="33" t="s">
        <v>93</v>
      </c>
      <c r="O5" s="33" t="s">
        <v>1812</v>
      </c>
      <c r="P5" s="33" t="s">
        <v>1795</v>
      </c>
      <c r="Q5" s="33" t="s">
        <v>1796</v>
      </c>
    </row>
    <row r="6" spans="1:17">
      <c r="A6" s="33" t="s">
        <v>1817</v>
      </c>
      <c r="B6" s="33" t="s">
        <v>1818</v>
      </c>
      <c r="C6" s="33" t="s">
        <v>1819</v>
      </c>
      <c r="D6" s="33" t="s">
        <v>41</v>
      </c>
      <c r="E6" s="33" t="s">
        <v>1786</v>
      </c>
      <c r="F6" s="33" t="s">
        <v>1787</v>
      </c>
      <c r="G6" s="33" t="s">
        <v>1820</v>
      </c>
      <c r="H6" s="33" t="s">
        <v>1809</v>
      </c>
      <c r="I6" s="33" t="s">
        <v>1809</v>
      </c>
      <c r="J6" s="33" t="s">
        <v>1821</v>
      </c>
      <c r="K6" s="33" t="s">
        <v>1791</v>
      </c>
      <c r="L6" s="33" t="s">
        <v>1802</v>
      </c>
      <c r="M6" s="33" t="s">
        <v>1822</v>
      </c>
      <c r="N6" s="33" t="s">
        <v>1078</v>
      </c>
      <c r="O6" s="33" t="s">
        <v>1823</v>
      </c>
      <c r="P6" s="33" t="s">
        <v>1795</v>
      </c>
      <c r="Q6" s="33" t="s">
        <v>1796</v>
      </c>
    </row>
    <row r="7" spans="1:17">
      <c r="A7" s="33" t="s">
        <v>1824</v>
      </c>
      <c r="B7" s="33" t="s">
        <v>1825</v>
      </c>
      <c r="C7" s="33" t="s">
        <v>1819</v>
      </c>
      <c r="D7" s="33" t="s">
        <v>41</v>
      </c>
      <c r="E7" s="33" t="s">
        <v>1786</v>
      </c>
      <c r="F7" s="33" t="s">
        <v>1787</v>
      </c>
      <c r="G7" s="33" t="s">
        <v>1820</v>
      </c>
      <c r="H7" s="33" t="s">
        <v>1809</v>
      </c>
      <c r="I7" s="33" t="s">
        <v>1809</v>
      </c>
      <c r="J7" s="33" t="s">
        <v>1826</v>
      </c>
      <c r="K7" s="33" t="s">
        <v>1791</v>
      </c>
      <c r="L7" s="33" t="s">
        <v>1792</v>
      </c>
      <c r="M7" s="33" t="s">
        <v>1827</v>
      </c>
      <c r="N7" s="33" t="s">
        <v>1078</v>
      </c>
      <c r="O7" s="33" t="s">
        <v>1828</v>
      </c>
      <c r="P7" s="33" t="s">
        <v>1795</v>
      </c>
      <c r="Q7" s="33" t="s">
        <v>1796</v>
      </c>
    </row>
    <row r="8" spans="1:17">
      <c r="A8" s="33" t="s">
        <v>1829</v>
      </c>
      <c r="B8" s="33" t="s">
        <v>1830</v>
      </c>
      <c r="C8" s="33" t="s">
        <v>1831</v>
      </c>
      <c r="D8" s="33" t="s">
        <v>41</v>
      </c>
      <c r="E8" s="33" t="s">
        <v>1786</v>
      </c>
      <c r="F8" s="33" t="s">
        <v>1787</v>
      </c>
      <c r="G8" s="33" t="s">
        <v>68</v>
      </c>
      <c r="H8" s="33" t="s">
        <v>1809</v>
      </c>
      <c r="I8" s="33" t="s">
        <v>1809</v>
      </c>
      <c r="J8" s="33" t="s">
        <v>1832</v>
      </c>
      <c r="K8" s="33" t="s">
        <v>1791</v>
      </c>
      <c r="L8" s="33" t="s">
        <v>1792</v>
      </c>
      <c r="M8" s="33" t="s">
        <v>1827</v>
      </c>
      <c r="N8" s="33" t="s">
        <v>1827</v>
      </c>
      <c r="O8" s="33" t="s">
        <v>1833</v>
      </c>
      <c r="P8" s="33" t="s">
        <v>1795</v>
      </c>
      <c r="Q8" s="33" t="s">
        <v>1796</v>
      </c>
    </row>
    <row r="9" spans="1:17" hidden="1">
      <c r="A9" s="33" t="s">
        <v>1834</v>
      </c>
      <c r="B9" s="33" t="s">
        <v>1835</v>
      </c>
      <c r="C9" s="33" t="s">
        <v>1831</v>
      </c>
      <c r="D9" s="33" t="s">
        <v>41</v>
      </c>
      <c r="E9" s="33" t="s">
        <v>1836</v>
      </c>
      <c r="F9" s="33" t="s">
        <v>1787</v>
      </c>
      <c r="G9" s="33" t="s">
        <v>68</v>
      </c>
      <c r="H9" s="33" t="s">
        <v>1809</v>
      </c>
      <c r="I9" s="33" t="s">
        <v>1809</v>
      </c>
      <c r="J9" s="33" t="s">
        <v>1837</v>
      </c>
      <c r="K9" s="33" t="s">
        <v>1791</v>
      </c>
      <c r="L9" s="33" t="s">
        <v>1802</v>
      </c>
      <c r="M9" s="33" t="s">
        <v>1838</v>
      </c>
      <c r="N9" s="33" t="s">
        <v>1839</v>
      </c>
      <c r="O9" s="33" t="s">
        <v>1840</v>
      </c>
      <c r="P9" s="33" t="s">
        <v>1795</v>
      </c>
      <c r="Q9" s="33" t="s">
        <v>1796</v>
      </c>
    </row>
    <row r="10" spans="1:17" hidden="1">
      <c r="A10" s="33" t="s">
        <v>1841</v>
      </c>
      <c r="B10" s="33" t="s">
        <v>1842</v>
      </c>
      <c r="C10" s="33" t="s">
        <v>1831</v>
      </c>
      <c r="D10" s="33" t="s">
        <v>41</v>
      </c>
      <c r="E10" s="33" t="s">
        <v>1836</v>
      </c>
      <c r="F10" s="33" t="s">
        <v>1787</v>
      </c>
      <c r="G10" s="33" t="s">
        <v>68</v>
      </c>
      <c r="H10" s="33" t="s">
        <v>1809</v>
      </c>
      <c r="I10" s="33" t="s">
        <v>1809</v>
      </c>
      <c r="J10" s="33" t="s">
        <v>1843</v>
      </c>
      <c r="K10" s="33" t="s">
        <v>1791</v>
      </c>
      <c r="L10" s="33" t="s">
        <v>1802</v>
      </c>
      <c r="M10" s="33" t="s">
        <v>1844</v>
      </c>
      <c r="N10" s="33" t="s">
        <v>1839</v>
      </c>
      <c r="O10" s="33" t="s">
        <v>1845</v>
      </c>
      <c r="P10" s="33" t="s">
        <v>1764</v>
      </c>
      <c r="Q10" s="33" t="s">
        <v>1796</v>
      </c>
    </row>
    <row r="11" spans="1:17" hidden="1">
      <c r="A11" s="33" t="s">
        <v>1846</v>
      </c>
      <c r="B11" s="33" t="s">
        <v>1847</v>
      </c>
      <c r="C11" s="33" t="s">
        <v>1831</v>
      </c>
      <c r="D11" s="33" t="s">
        <v>41</v>
      </c>
      <c r="E11" s="33" t="s">
        <v>1836</v>
      </c>
      <c r="F11" s="33" t="s">
        <v>1787</v>
      </c>
      <c r="G11" s="33" t="s">
        <v>68</v>
      </c>
      <c r="H11" s="33" t="s">
        <v>1809</v>
      </c>
      <c r="I11" s="33" t="s">
        <v>1809</v>
      </c>
      <c r="J11" s="33" t="s">
        <v>1848</v>
      </c>
      <c r="K11" s="33" t="s">
        <v>1791</v>
      </c>
      <c r="L11" s="33" t="s">
        <v>1792</v>
      </c>
      <c r="M11" s="33" t="s">
        <v>1849</v>
      </c>
      <c r="N11" s="33" t="s">
        <v>1839</v>
      </c>
      <c r="O11" s="33" t="s">
        <v>1850</v>
      </c>
      <c r="P11" s="33" t="s">
        <v>1764</v>
      </c>
      <c r="Q11" s="33" t="s">
        <v>1796</v>
      </c>
    </row>
    <row r="12" spans="1:17">
      <c r="A12" s="33" t="s">
        <v>1851</v>
      </c>
      <c r="B12" s="33" t="s">
        <v>1852</v>
      </c>
      <c r="C12" s="33" t="s">
        <v>1831</v>
      </c>
      <c r="D12" s="33" t="s">
        <v>41</v>
      </c>
      <c r="E12" s="33" t="s">
        <v>1786</v>
      </c>
      <c r="F12" s="33" t="s">
        <v>1787</v>
      </c>
      <c r="G12" s="33" t="s">
        <v>68</v>
      </c>
      <c r="H12" s="33" t="s">
        <v>1802</v>
      </c>
      <c r="I12" s="33" t="s">
        <v>1802</v>
      </c>
      <c r="J12" s="33" t="s">
        <v>1853</v>
      </c>
      <c r="K12" s="33" t="s">
        <v>1791</v>
      </c>
      <c r="L12" s="33" t="s">
        <v>1802</v>
      </c>
      <c r="M12" s="33" t="s">
        <v>1827</v>
      </c>
      <c r="N12" s="33" t="s">
        <v>1827</v>
      </c>
      <c r="O12" s="33" t="s">
        <v>1815</v>
      </c>
      <c r="P12" s="33" t="s">
        <v>1795</v>
      </c>
      <c r="Q12" s="33" t="s">
        <v>1796</v>
      </c>
    </row>
    <row r="13" spans="1:17">
      <c r="A13" s="33" t="s">
        <v>1854</v>
      </c>
      <c r="B13" s="33" t="s">
        <v>1855</v>
      </c>
      <c r="C13" s="33" t="s">
        <v>1807</v>
      </c>
      <c r="D13" s="33" t="s">
        <v>41</v>
      </c>
      <c r="E13" s="33" t="s">
        <v>1786</v>
      </c>
      <c r="F13" s="33" t="s">
        <v>1856</v>
      </c>
      <c r="G13" s="33" t="s">
        <v>94</v>
      </c>
      <c r="H13" s="33" t="s">
        <v>1792</v>
      </c>
      <c r="I13" s="33" t="s">
        <v>1792</v>
      </c>
      <c r="J13" s="33" t="s">
        <v>1857</v>
      </c>
      <c r="K13" s="33" t="s">
        <v>1791</v>
      </c>
      <c r="L13" s="33" t="s">
        <v>1792</v>
      </c>
      <c r="M13" s="33" t="s">
        <v>1811</v>
      </c>
      <c r="N13" s="33" t="s">
        <v>93</v>
      </c>
      <c r="O13" s="33" t="s">
        <v>1858</v>
      </c>
      <c r="P13" s="33" t="s">
        <v>1795</v>
      </c>
      <c r="Q13" s="33" t="s">
        <v>1796</v>
      </c>
    </row>
    <row r="14" spans="1:17">
      <c r="A14" s="33" t="s">
        <v>1859</v>
      </c>
      <c r="B14" s="33" t="s">
        <v>1860</v>
      </c>
      <c r="C14" s="33" t="s">
        <v>1831</v>
      </c>
      <c r="D14" s="33" t="s">
        <v>41</v>
      </c>
      <c r="E14" s="33" t="s">
        <v>1786</v>
      </c>
      <c r="F14" s="33" t="s">
        <v>1787</v>
      </c>
      <c r="G14" s="33" t="s">
        <v>1861</v>
      </c>
      <c r="H14" s="33" t="s">
        <v>1792</v>
      </c>
      <c r="I14" s="33" t="s">
        <v>1792</v>
      </c>
      <c r="J14" s="33" t="s">
        <v>1862</v>
      </c>
      <c r="K14" s="33" t="s">
        <v>1791</v>
      </c>
      <c r="L14" s="33" t="s">
        <v>1792</v>
      </c>
      <c r="M14" s="33" t="s">
        <v>1863</v>
      </c>
      <c r="N14" s="33" t="s">
        <v>1839</v>
      </c>
      <c r="O14" s="33" t="s">
        <v>1864</v>
      </c>
      <c r="P14" s="33" t="s">
        <v>1804</v>
      </c>
      <c r="Q14" s="33" t="s">
        <v>1796</v>
      </c>
    </row>
    <row r="15" spans="1:17">
      <c r="A15" s="33" t="s">
        <v>1865</v>
      </c>
      <c r="B15" s="33" t="s">
        <v>1866</v>
      </c>
      <c r="C15" s="33" t="s">
        <v>1785</v>
      </c>
      <c r="D15" s="33" t="s">
        <v>41</v>
      </c>
      <c r="E15" s="33" t="s">
        <v>1786</v>
      </c>
      <c r="F15" s="33" t="s">
        <v>1815</v>
      </c>
      <c r="G15" s="33" t="s">
        <v>1788</v>
      </c>
      <c r="H15" s="33" t="s">
        <v>1792</v>
      </c>
      <c r="I15" s="33" t="s">
        <v>1792</v>
      </c>
      <c r="J15" s="33" t="s">
        <v>1867</v>
      </c>
      <c r="K15" s="33" t="s">
        <v>1791</v>
      </c>
      <c r="L15" s="33" t="s">
        <v>1792</v>
      </c>
      <c r="M15" s="33" t="s">
        <v>1793</v>
      </c>
      <c r="N15" s="33" t="s">
        <v>1793</v>
      </c>
      <c r="O15" s="33" t="s">
        <v>1868</v>
      </c>
      <c r="P15" s="33" t="s">
        <v>1869</v>
      </c>
      <c r="Q15" s="33" t="s">
        <v>1796</v>
      </c>
    </row>
    <row r="16" spans="1:17">
      <c r="A16" s="33" t="s">
        <v>1870</v>
      </c>
      <c r="B16" s="33" t="s">
        <v>1871</v>
      </c>
      <c r="C16" s="33" t="s">
        <v>1831</v>
      </c>
      <c r="D16" s="33" t="s">
        <v>41</v>
      </c>
      <c r="E16" s="33" t="s">
        <v>1786</v>
      </c>
      <c r="F16" s="33" t="s">
        <v>1856</v>
      </c>
      <c r="G16" s="33" t="s">
        <v>1872</v>
      </c>
      <c r="H16" s="33" t="s">
        <v>1873</v>
      </c>
      <c r="I16" s="33" t="s">
        <v>1873</v>
      </c>
      <c r="J16" s="33" t="s">
        <v>1874</v>
      </c>
      <c r="K16" s="33" t="s">
        <v>1791</v>
      </c>
      <c r="L16" s="33" t="s">
        <v>1875</v>
      </c>
      <c r="M16" s="33" t="s">
        <v>1849</v>
      </c>
      <c r="N16" s="33" t="s">
        <v>1827</v>
      </c>
      <c r="O16" s="33" t="s">
        <v>1876</v>
      </c>
      <c r="P16" s="33" t="s">
        <v>1795</v>
      </c>
      <c r="Q16" s="33" t="s">
        <v>1796</v>
      </c>
    </row>
    <row r="17" spans="1:17">
      <c r="A17" s="33" t="s">
        <v>1877</v>
      </c>
      <c r="B17" s="33" t="s">
        <v>1878</v>
      </c>
      <c r="C17" s="33" t="s">
        <v>1831</v>
      </c>
      <c r="D17" s="33" t="s">
        <v>41</v>
      </c>
      <c r="E17" s="33" t="s">
        <v>1786</v>
      </c>
      <c r="F17" s="33" t="s">
        <v>1815</v>
      </c>
      <c r="G17" s="33" t="s">
        <v>1861</v>
      </c>
      <c r="H17" s="33" t="s">
        <v>1879</v>
      </c>
      <c r="I17" s="33" t="s">
        <v>1879</v>
      </c>
      <c r="J17" s="33" t="s">
        <v>1880</v>
      </c>
      <c r="K17" s="33" t="s">
        <v>1791</v>
      </c>
      <c r="L17" s="33" t="s">
        <v>1881</v>
      </c>
      <c r="M17" s="33" t="s">
        <v>1863</v>
      </c>
      <c r="N17" s="33" t="s">
        <v>1839</v>
      </c>
      <c r="O17" s="33" t="s">
        <v>1815</v>
      </c>
      <c r="P17" s="33" t="s">
        <v>1795</v>
      </c>
      <c r="Q17" s="33" t="s">
        <v>1796</v>
      </c>
    </row>
    <row r="18" spans="1:17">
      <c r="A18" s="33" t="s">
        <v>1882</v>
      </c>
      <c r="B18" s="33" t="s">
        <v>1883</v>
      </c>
      <c r="C18" s="33" t="s">
        <v>1831</v>
      </c>
      <c r="D18" s="33" t="s">
        <v>41</v>
      </c>
      <c r="E18" s="33" t="s">
        <v>1786</v>
      </c>
      <c r="F18" s="33" t="s">
        <v>1856</v>
      </c>
      <c r="G18" s="33" t="s">
        <v>1861</v>
      </c>
      <c r="H18" s="33" t="s">
        <v>1879</v>
      </c>
      <c r="I18" s="33" t="s">
        <v>1879</v>
      </c>
      <c r="J18" s="33" t="s">
        <v>1884</v>
      </c>
      <c r="K18" s="33" t="s">
        <v>1791</v>
      </c>
      <c r="L18" s="33" t="s">
        <v>1881</v>
      </c>
      <c r="M18" s="33" t="s">
        <v>1863</v>
      </c>
      <c r="N18" s="33" t="s">
        <v>1839</v>
      </c>
      <c r="O18" s="33" t="s">
        <v>1856</v>
      </c>
      <c r="P18" s="33" t="s">
        <v>1795</v>
      </c>
      <c r="Q18" s="33" t="s">
        <v>1796</v>
      </c>
    </row>
    <row r="19" spans="1:17">
      <c r="A19" s="33" t="s">
        <v>1885</v>
      </c>
      <c r="B19" s="33" t="s">
        <v>1886</v>
      </c>
      <c r="C19" s="33" t="s">
        <v>1831</v>
      </c>
      <c r="D19" s="33" t="s">
        <v>41</v>
      </c>
      <c r="E19" s="33" t="s">
        <v>1786</v>
      </c>
      <c r="F19" s="33" t="s">
        <v>1856</v>
      </c>
      <c r="G19" s="33" t="s">
        <v>1861</v>
      </c>
      <c r="H19" s="33" t="s">
        <v>1879</v>
      </c>
      <c r="I19" s="33" t="s">
        <v>1879</v>
      </c>
      <c r="J19" s="33" t="s">
        <v>1887</v>
      </c>
      <c r="K19" s="33" t="s">
        <v>1791</v>
      </c>
      <c r="L19" s="33" t="s">
        <v>1881</v>
      </c>
      <c r="M19" s="33" t="s">
        <v>1863</v>
      </c>
      <c r="N19" s="33" t="s">
        <v>1839</v>
      </c>
      <c r="O19" s="33" t="s">
        <v>1888</v>
      </c>
      <c r="P19" s="33" t="s">
        <v>1795</v>
      </c>
      <c r="Q19" s="33" t="s">
        <v>1796</v>
      </c>
    </row>
    <row r="20" spans="1:17">
      <c r="A20" s="33" t="s">
        <v>1889</v>
      </c>
      <c r="B20" s="33" t="s">
        <v>1890</v>
      </c>
      <c r="C20" s="33" t="s">
        <v>1891</v>
      </c>
      <c r="D20" s="33" t="s">
        <v>41</v>
      </c>
      <c r="E20" s="33" t="s">
        <v>1786</v>
      </c>
      <c r="F20" s="33" t="s">
        <v>1815</v>
      </c>
      <c r="G20" s="33" t="s">
        <v>1892</v>
      </c>
      <c r="H20" s="33" t="s">
        <v>1879</v>
      </c>
      <c r="I20" s="33" t="s">
        <v>1879</v>
      </c>
      <c r="J20" s="33" t="s">
        <v>1893</v>
      </c>
      <c r="K20" s="33" t="s">
        <v>1791</v>
      </c>
      <c r="L20" s="33" t="s">
        <v>1881</v>
      </c>
      <c r="M20" s="33" t="s">
        <v>1894</v>
      </c>
      <c r="N20" s="33" t="s">
        <v>43</v>
      </c>
      <c r="O20" s="33" t="s">
        <v>1895</v>
      </c>
      <c r="P20" s="33" t="s">
        <v>1795</v>
      </c>
      <c r="Q20" s="33" t="s">
        <v>1796</v>
      </c>
    </row>
    <row r="21" spans="1:17">
      <c r="A21" s="33" t="s">
        <v>1896</v>
      </c>
      <c r="B21" s="33" t="s">
        <v>1897</v>
      </c>
      <c r="C21" s="33" t="s">
        <v>1891</v>
      </c>
      <c r="D21" s="33" t="s">
        <v>41</v>
      </c>
      <c r="E21" s="33" t="s">
        <v>1786</v>
      </c>
      <c r="F21" s="33" t="s">
        <v>1815</v>
      </c>
      <c r="G21" s="33" t="s">
        <v>1892</v>
      </c>
      <c r="H21" s="33" t="s">
        <v>1879</v>
      </c>
      <c r="I21" s="33" t="s">
        <v>1879</v>
      </c>
      <c r="J21" s="33" t="s">
        <v>1898</v>
      </c>
      <c r="K21" s="33" t="s">
        <v>1791</v>
      </c>
      <c r="L21" s="33" t="s">
        <v>1881</v>
      </c>
      <c r="M21" s="33" t="s">
        <v>1899</v>
      </c>
      <c r="N21" s="33" t="s">
        <v>43</v>
      </c>
      <c r="O21" s="33" t="s">
        <v>1900</v>
      </c>
      <c r="P21" s="33" t="s">
        <v>1795</v>
      </c>
      <c r="Q21" s="33" t="s">
        <v>1796</v>
      </c>
    </row>
    <row r="22" spans="1:17">
      <c r="A22" s="33" t="s">
        <v>1901</v>
      </c>
      <c r="B22" s="33" t="s">
        <v>1902</v>
      </c>
      <c r="C22" s="33" t="s">
        <v>1819</v>
      </c>
      <c r="D22" s="33" t="s">
        <v>41</v>
      </c>
      <c r="E22" s="33" t="s">
        <v>1786</v>
      </c>
      <c r="F22" s="33" t="s">
        <v>1787</v>
      </c>
      <c r="G22" s="33" t="s">
        <v>1820</v>
      </c>
      <c r="H22" s="33" t="s">
        <v>1903</v>
      </c>
      <c r="I22" s="33" t="s">
        <v>1903</v>
      </c>
      <c r="J22" s="33" t="s">
        <v>1904</v>
      </c>
      <c r="K22" s="33" t="s">
        <v>1791</v>
      </c>
      <c r="L22" s="33" t="s">
        <v>1881</v>
      </c>
      <c r="M22" s="33" t="s">
        <v>1811</v>
      </c>
      <c r="N22" s="33" t="s">
        <v>1078</v>
      </c>
      <c r="O22" s="33" t="s">
        <v>1905</v>
      </c>
      <c r="P22" s="33" t="s">
        <v>1795</v>
      </c>
      <c r="Q22" s="33" t="s">
        <v>1796</v>
      </c>
    </row>
    <row r="23" spans="1:17">
      <c r="A23" s="33" t="s">
        <v>1906</v>
      </c>
      <c r="B23" s="33" t="s">
        <v>1907</v>
      </c>
      <c r="C23" s="33" t="s">
        <v>1819</v>
      </c>
      <c r="D23" s="33" t="s">
        <v>41</v>
      </c>
      <c r="E23" s="33" t="s">
        <v>1786</v>
      </c>
      <c r="F23" s="33" t="s">
        <v>1787</v>
      </c>
      <c r="G23" s="33" t="s">
        <v>1820</v>
      </c>
      <c r="H23" s="33" t="s">
        <v>1903</v>
      </c>
      <c r="I23" s="33" t="s">
        <v>1903</v>
      </c>
      <c r="J23" s="33" t="s">
        <v>1908</v>
      </c>
      <c r="K23" s="33" t="s">
        <v>1791</v>
      </c>
      <c r="L23" s="33" t="s">
        <v>1881</v>
      </c>
      <c r="M23" s="33" t="s">
        <v>1811</v>
      </c>
      <c r="N23" s="33" t="s">
        <v>1078</v>
      </c>
      <c r="O23" s="33" t="s">
        <v>1905</v>
      </c>
      <c r="P23" s="33" t="s">
        <v>1795</v>
      </c>
      <c r="Q23" s="33" t="s">
        <v>1796</v>
      </c>
    </row>
    <row r="24" spans="1:17">
      <c r="A24" s="33" t="s">
        <v>1909</v>
      </c>
      <c r="B24" s="33" t="s">
        <v>1910</v>
      </c>
      <c r="C24" s="33" t="s">
        <v>1831</v>
      </c>
      <c r="D24" s="33" t="s">
        <v>41</v>
      </c>
      <c r="E24" s="33" t="s">
        <v>1786</v>
      </c>
      <c r="F24" s="33" t="s">
        <v>1815</v>
      </c>
      <c r="G24" s="33" t="s">
        <v>1861</v>
      </c>
      <c r="H24" s="33" t="s">
        <v>1903</v>
      </c>
      <c r="I24" s="33" t="s">
        <v>1903</v>
      </c>
      <c r="J24" s="33" t="s">
        <v>1911</v>
      </c>
      <c r="K24" s="33" t="s">
        <v>1791</v>
      </c>
      <c r="L24" s="33" t="s">
        <v>1881</v>
      </c>
      <c r="M24" s="33" t="s">
        <v>1863</v>
      </c>
      <c r="N24" s="33" t="s">
        <v>1839</v>
      </c>
      <c r="O24" s="33" t="s">
        <v>1845</v>
      </c>
      <c r="P24" s="33" t="s">
        <v>1804</v>
      </c>
      <c r="Q24" s="33" t="s">
        <v>1796</v>
      </c>
    </row>
    <row r="25" spans="1:17">
      <c r="A25" s="33" t="s">
        <v>1912</v>
      </c>
      <c r="B25" s="33" t="s">
        <v>1913</v>
      </c>
      <c r="C25" s="33" t="s">
        <v>1891</v>
      </c>
      <c r="D25" s="33" t="s">
        <v>41</v>
      </c>
      <c r="E25" s="33" t="s">
        <v>1786</v>
      </c>
      <c r="F25" s="33" t="s">
        <v>1856</v>
      </c>
      <c r="G25" s="33" t="s">
        <v>1892</v>
      </c>
      <c r="H25" s="33" t="s">
        <v>1903</v>
      </c>
      <c r="I25" s="33" t="s">
        <v>1903</v>
      </c>
      <c r="J25" s="33" t="s">
        <v>1914</v>
      </c>
      <c r="K25" s="33" t="s">
        <v>1791</v>
      </c>
      <c r="L25" s="33" t="s">
        <v>1875</v>
      </c>
      <c r="M25" s="33" t="s">
        <v>1811</v>
      </c>
      <c r="N25" s="33" t="s">
        <v>43</v>
      </c>
      <c r="O25" s="33" t="s">
        <v>1915</v>
      </c>
      <c r="P25" s="33" t="s">
        <v>1795</v>
      </c>
      <c r="Q25" s="33" t="s">
        <v>1796</v>
      </c>
    </row>
    <row r="26" spans="1:17">
      <c r="A26" s="33" t="s">
        <v>1916</v>
      </c>
      <c r="B26" s="33" t="s">
        <v>1917</v>
      </c>
      <c r="C26" s="33" t="s">
        <v>1891</v>
      </c>
      <c r="D26" s="33" t="s">
        <v>41</v>
      </c>
      <c r="E26" s="33" t="s">
        <v>1786</v>
      </c>
      <c r="F26" s="33" t="s">
        <v>1856</v>
      </c>
      <c r="G26" s="33" t="s">
        <v>1892</v>
      </c>
      <c r="H26" s="33" t="s">
        <v>1903</v>
      </c>
      <c r="I26" s="33" t="s">
        <v>1903</v>
      </c>
      <c r="J26" s="33" t="s">
        <v>1918</v>
      </c>
      <c r="K26" s="33" t="s">
        <v>1791</v>
      </c>
      <c r="L26" s="33" t="s">
        <v>1881</v>
      </c>
      <c r="M26" s="33" t="s">
        <v>1811</v>
      </c>
      <c r="N26" s="33" t="s">
        <v>43</v>
      </c>
      <c r="O26" s="33" t="s">
        <v>1919</v>
      </c>
      <c r="P26" s="33" t="s">
        <v>1795</v>
      </c>
      <c r="Q26" s="33" t="s">
        <v>1796</v>
      </c>
    </row>
    <row r="27" spans="1:17">
      <c r="A27" s="33" t="s">
        <v>1920</v>
      </c>
      <c r="B27" s="33" t="s">
        <v>1921</v>
      </c>
      <c r="C27" s="33" t="s">
        <v>1891</v>
      </c>
      <c r="D27" s="33" t="s">
        <v>41</v>
      </c>
      <c r="E27" s="33" t="s">
        <v>1786</v>
      </c>
      <c r="F27" s="33" t="s">
        <v>1864</v>
      </c>
      <c r="G27" s="33" t="s">
        <v>1892</v>
      </c>
      <c r="H27" s="33" t="s">
        <v>1903</v>
      </c>
      <c r="I27" s="33" t="s">
        <v>1903</v>
      </c>
      <c r="J27" s="33" t="s">
        <v>1922</v>
      </c>
      <c r="K27" s="33" t="s">
        <v>1791</v>
      </c>
      <c r="L27" s="33" t="s">
        <v>1875</v>
      </c>
      <c r="M27" s="33" t="s">
        <v>1811</v>
      </c>
      <c r="N27" s="33" t="s">
        <v>43</v>
      </c>
      <c r="O27" s="33" t="s">
        <v>1923</v>
      </c>
      <c r="P27" s="33" t="s">
        <v>1795</v>
      </c>
      <c r="Q27" s="33" t="s">
        <v>1796</v>
      </c>
    </row>
    <row r="28" spans="1:17">
      <c r="A28" s="33" t="s">
        <v>1870</v>
      </c>
      <c r="B28" s="33" t="s">
        <v>1924</v>
      </c>
      <c r="C28" s="33" t="s">
        <v>1891</v>
      </c>
      <c r="D28" s="33" t="s">
        <v>41</v>
      </c>
      <c r="E28" s="33" t="s">
        <v>1786</v>
      </c>
      <c r="F28" s="33" t="s">
        <v>1815</v>
      </c>
      <c r="G28" s="33" t="s">
        <v>1892</v>
      </c>
      <c r="H28" s="33" t="s">
        <v>1903</v>
      </c>
      <c r="I28" s="33" t="s">
        <v>1903</v>
      </c>
      <c r="J28" s="33" t="s">
        <v>1925</v>
      </c>
      <c r="K28" s="33" t="s">
        <v>1791</v>
      </c>
      <c r="L28" s="33" t="s">
        <v>1875</v>
      </c>
      <c r="M28" s="33" t="s">
        <v>1811</v>
      </c>
      <c r="N28" s="33" t="s">
        <v>43</v>
      </c>
      <c r="O28" s="33" t="s">
        <v>1926</v>
      </c>
      <c r="P28" s="33" t="s">
        <v>1795</v>
      </c>
      <c r="Q28" s="33" t="s">
        <v>1796</v>
      </c>
    </row>
    <row r="29" spans="1:17">
      <c r="A29" s="33" t="s">
        <v>1927</v>
      </c>
      <c r="B29" s="33" t="s">
        <v>1928</v>
      </c>
      <c r="C29" s="33" t="s">
        <v>1891</v>
      </c>
      <c r="D29" s="33" t="s">
        <v>41</v>
      </c>
      <c r="E29" s="33" t="s">
        <v>1786</v>
      </c>
      <c r="F29" s="33" t="s">
        <v>1815</v>
      </c>
      <c r="G29" s="33" t="s">
        <v>1892</v>
      </c>
      <c r="H29" s="33" t="s">
        <v>1903</v>
      </c>
      <c r="I29" s="33" t="s">
        <v>1903</v>
      </c>
      <c r="J29" s="33" t="s">
        <v>1929</v>
      </c>
      <c r="K29" s="33" t="s">
        <v>1791</v>
      </c>
      <c r="L29" s="33" t="s">
        <v>1881</v>
      </c>
      <c r="M29" s="33" t="s">
        <v>1811</v>
      </c>
      <c r="N29" s="33" t="s">
        <v>43</v>
      </c>
      <c r="O29" s="33" t="s">
        <v>1930</v>
      </c>
      <c r="P29" s="33" t="s">
        <v>1795</v>
      </c>
      <c r="Q29" s="33" t="s">
        <v>1796</v>
      </c>
    </row>
    <row r="30" spans="1:17">
      <c r="A30" s="33" t="s">
        <v>1931</v>
      </c>
      <c r="B30" s="33" t="s">
        <v>1932</v>
      </c>
      <c r="C30" s="33" t="s">
        <v>1891</v>
      </c>
      <c r="D30" s="33" t="s">
        <v>41</v>
      </c>
      <c r="E30" s="33" t="s">
        <v>1786</v>
      </c>
      <c r="F30" s="33" t="s">
        <v>1856</v>
      </c>
      <c r="G30" s="33" t="s">
        <v>1892</v>
      </c>
      <c r="H30" s="33" t="s">
        <v>1903</v>
      </c>
      <c r="I30" s="33" t="s">
        <v>1903</v>
      </c>
      <c r="J30" s="33" t="s">
        <v>1933</v>
      </c>
      <c r="K30" s="33" t="s">
        <v>1791</v>
      </c>
      <c r="L30" s="33" t="s">
        <v>1881</v>
      </c>
      <c r="M30" s="33" t="s">
        <v>1844</v>
      </c>
      <c r="N30" s="33" t="s">
        <v>43</v>
      </c>
      <c r="O30" s="33" t="s">
        <v>1876</v>
      </c>
      <c r="P30" s="33" t="s">
        <v>1795</v>
      </c>
      <c r="Q30" s="33" t="s">
        <v>1796</v>
      </c>
    </row>
    <row r="31" spans="1:17" hidden="1">
      <c r="A31" s="33" t="s">
        <v>1934</v>
      </c>
      <c r="B31" s="33" t="s">
        <v>1935</v>
      </c>
      <c r="C31" s="33" t="s">
        <v>1831</v>
      </c>
      <c r="D31" s="33" t="s">
        <v>41</v>
      </c>
      <c r="E31" s="33" t="s">
        <v>1836</v>
      </c>
      <c r="F31" s="33" t="s">
        <v>1787</v>
      </c>
      <c r="G31" s="33" t="s">
        <v>68</v>
      </c>
      <c r="H31" s="33" t="s">
        <v>1903</v>
      </c>
      <c r="I31" s="33" t="s">
        <v>1903</v>
      </c>
      <c r="J31" s="33" t="s">
        <v>1936</v>
      </c>
      <c r="K31" s="33" t="s">
        <v>1791</v>
      </c>
      <c r="L31" s="33" t="s">
        <v>1937</v>
      </c>
      <c r="M31" s="33" t="s">
        <v>1849</v>
      </c>
      <c r="N31" s="33" t="s">
        <v>1839</v>
      </c>
      <c r="O31" s="33" t="s">
        <v>1938</v>
      </c>
      <c r="P31" s="33" t="s">
        <v>1764</v>
      </c>
      <c r="Q31" s="33" t="s">
        <v>1796</v>
      </c>
    </row>
    <row r="32" spans="1:17" hidden="1">
      <c r="A32" s="33" t="s">
        <v>1939</v>
      </c>
      <c r="B32" s="33" t="s">
        <v>1940</v>
      </c>
      <c r="C32" s="33" t="s">
        <v>1831</v>
      </c>
      <c r="D32" s="33" t="s">
        <v>41</v>
      </c>
      <c r="E32" s="33" t="s">
        <v>1836</v>
      </c>
      <c r="F32" s="33" t="s">
        <v>1787</v>
      </c>
      <c r="G32" s="33" t="s">
        <v>68</v>
      </c>
      <c r="H32" s="33" t="s">
        <v>1903</v>
      </c>
      <c r="I32" s="33" t="s">
        <v>1903</v>
      </c>
      <c r="J32" s="33" t="s">
        <v>1941</v>
      </c>
      <c r="K32" s="33" t="s">
        <v>1791</v>
      </c>
      <c r="L32" s="33" t="s">
        <v>1881</v>
      </c>
      <c r="M32" s="33" t="s">
        <v>1863</v>
      </c>
      <c r="N32" s="33" t="s">
        <v>1839</v>
      </c>
      <c r="O32" s="33" t="s">
        <v>1930</v>
      </c>
      <c r="P32" s="33" t="s">
        <v>1764</v>
      </c>
      <c r="Q32" s="33" t="s">
        <v>1796</v>
      </c>
    </row>
    <row r="33" spans="1:17">
      <c r="A33" s="33" t="s">
        <v>1942</v>
      </c>
      <c r="B33" s="33" t="s">
        <v>1943</v>
      </c>
      <c r="C33" s="33" t="s">
        <v>1831</v>
      </c>
      <c r="D33" s="33" t="s">
        <v>41</v>
      </c>
      <c r="E33" s="33" t="s">
        <v>1786</v>
      </c>
      <c r="F33" s="33" t="s">
        <v>1787</v>
      </c>
      <c r="G33" s="33" t="s">
        <v>68</v>
      </c>
      <c r="H33" s="33" t="s">
        <v>1903</v>
      </c>
      <c r="I33" s="33" t="s">
        <v>1903</v>
      </c>
      <c r="J33" s="33" t="s">
        <v>1944</v>
      </c>
      <c r="K33" s="33" t="s">
        <v>1791</v>
      </c>
      <c r="L33" s="33" t="s">
        <v>1945</v>
      </c>
      <c r="M33" s="33" t="s">
        <v>1827</v>
      </c>
      <c r="N33" s="33" t="s">
        <v>1827</v>
      </c>
      <c r="O33" s="33" t="s">
        <v>1946</v>
      </c>
      <c r="P33" s="33" t="s">
        <v>1869</v>
      </c>
      <c r="Q33" s="33" t="s">
        <v>1796</v>
      </c>
    </row>
    <row r="34" spans="1:17">
      <c r="A34" s="33" t="s">
        <v>1947</v>
      </c>
      <c r="B34" s="33" t="s">
        <v>1948</v>
      </c>
      <c r="C34" s="33" t="s">
        <v>1949</v>
      </c>
      <c r="D34" s="33" t="s">
        <v>41</v>
      </c>
      <c r="E34" s="33" t="s">
        <v>1786</v>
      </c>
      <c r="F34" s="33" t="s">
        <v>1815</v>
      </c>
      <c r="G34" s="33" t="s">
        <v>67</v>
      </c>
      <c r="H34" s="33" t="s">
        <v>1903</v>
      </c>
      <c r="I34" s="33" t="s">
        <v>1903</v>
      </c>
      <c r="J34" s="33" t="s">
        <v>1950</v>
      </c>
      <c r="K34" s="33" t="s">
        <v>1791</v>
      </c>
      <c r="L34" s="33" t="s">
        <v>1945</v>
      </c>
      <c r="M34" s="33" t="s">
        <v>1863</v>
      </c>
      <c r="N34" s="33" t="s">
        <v>55</v>
      </c>
      <c r="O34" s="33" t="s">
        <v>1951</v>
      </c>
      <c r="P34" s="33" t="s">
        <v>1869</v>
      </c>
      <c r="Q34" s="33" t="s">
        <v>1796</v>
      </c>
    </row>
    <row r="35" spans="1:17">
      <c r="A35" s="33" t="s">
        <v>1952</v>
      </c>
      <c r="B35" s="33" t="s">
        <v>1953</v>
      </c>
      <c r="C35" s="33" t="s">
        <v>1819</v>
      </c>
      <c r="D35" s="33" t="s">
        <v>41</v>
      </c>
      <c r="E35" s="33" t="s">
        <v>1786</v>
      </c>
      <c r="F35" s="33" t="s">
        <v>1815</v>
      </c>
      <c r="G35" s="33" t="s">
        <v>1954</v>
      </c>
      <c r="H35" s="33" t="s">
        <v>1955</v>
      </c>
      <c r="I35" s="33" t="s">
        <v>1955</v>
      </c>
      <c r="J35" s="33" t="s">
        <v>1956</v>
      </c>
      <c r="K35" s="33" t="s">
        <v>1791</v>
      </c>
      <c r="L35" s="33" t="s">
        <v>1945</v>
      </c>
      <c r="M35" s="33" t="s">
        <v>1863</v>
      </c>
      <c r="N35" s="33" t="s">
        <v>1078</v>
      </c>
      <c r="O35" s="33" t="s">
        <v>1946</v>
      </c>
      <c r="P35" s="33" t="s">
        <v>1804</v>
      </c>
      <c r="Q35" s="33" t="s">
        <v>1796</v>
      </c>
    </row>
    <row r="36" spans="1:17">
      <c r="A36" s="33" t="s">
        <v>1957</v>
      </c>
      <c r="B36" s="33" t="s">
        <v>1958</v>
      </c>
      <c r="C36" s="33" t="s">
        <v>1831</v>
      </c>
      <c r="D36" s="33" t="s">
        <v>41</v>
      </c>
      <c r="E36" s="33" t="s">
        <v>1786</v>
      </c>
      <c r="F36" s="33" t="s">
        <v>1815</v>
      </c>
      <c r="G36" s="33" t="s">
        <v>68</v>
      </c>
      <c r="H36" s="33" t="s">
        <v>1955</v>
      </c>
      <c r="I36" s="33" t="s">
        <v>1955</v>
      </c>
      <c r="J36" s="33" t="s">
        <v>1959</v>
      </c>
      <c r="K36" s="33" t="s">
        <v>1791</v>
      </c>
      <c r="L36" s="33" t="s">
        <v>1881</v>
      </c>
      <c r="M36" s="33" t="s">
        <v>1827</v>
      </c>
      <c r="N36" s="33" t="s">
        <v>1827</v>
      </c>
      <c r="O36" s="33" t="s">
        <v>1960</v>
      </c>
      <c r="P36" s="33" t="s">
        <v>1795</v>
      </c>
      <c r="Q36" s="33" t="s">
        <v>1796</v>
      </c>
    </row>
    <row r="37" spans="1:17">
      <c r="A37" s="33" t="s">
        <v>1961</v>
      </c>
      <c r="B37" s="33" t="s">
        <v>1962</v>
      </c>
      <c r="C37" s="33" t="s">
        <v>1831</v>
      </c>
      <c r="D37" s="33" t="s">
        <v>41</v>
      </c>
      <c r="E37" s="33" t="s">
        <v>1786</v>
      </c>
      <c r="F37" s="33" t="s">
        <v>1815</v>
      </c>
      <c r="G37" s="33" t="s">
        <v>1872</v>
      </c>
      <c r="H37" s="33" t="s">
        <v>1955</v>
      </c>
      <c r="I37" s="33" t="s">
        <v>1955</v>
      </c>
      <c r="J37" s="33" t="s">
        <v>1963</v>
      </c>
      <c r="K37" s="33" t="s">
        <v>1791</v>
      </c>
      <c r="L37" s="33" t="s">
        <v>1945</v>
      </c>
      <c r="M37" s="33" t="s">
        <v>1827</v>
      </c>
      <c r="N37" s="33" t="s">
        <v>1827</v>
      </c>
      <c r="O37" s="33" t="s">
        <v>1964</v>
      </c>
      <c r="P37" s="33" t="s">
        <v>1804</v>
      </c>
      <c r="Q37" s="33" t="s">
        <v>1796</v>
      </c>
    </row>
    <row r="38" spans="1:17">
      <c r="A38" s="33" t="s">
        <v>1965</v>
      </c>
      <c r="B38" s="33" t="s">
        <v>1966</v>
      </c>
      <c r="C38" s="33" t="s">
        <v>1807</v>
      </c>
      <c r="D38" s="33" t="s">
        <v>41</v>
      </c>
      <c r="E38" s="33" t="s">
        <v>1786</v>
      </c>
      <c r="F38" s="33" t="s">
        <v>1856</v>
      </c>
      <c r="G38" s="33" t="s">
        <v>94</v>
      </c>
      <c r="H38" s="33" t="s">
        <v>1967</v>
      </c>
      <c r="I38" s="33" t="s">
        <v>1967</v>
      </c>
      <c r="J38" s="33" t="s">
        <v>1968</v>
      </c>
      <c r="K38" s="33" t="s">
        <v>1791</v>
      </c>
      <c r="L38" s="33" t="s">
        <v>1875</v>
      </c>
      <c r="M38" s="33" t="s">
        <v>1811</v>
      </c>
      <c r="N38" s="33" t="s">
        <v>93</v>
      </c>
      <c r="O38" s="33" t="s">
        <v>1969</v>
      </c>
      <c r="P38" s="33" t="s">
        <v>1795</v>
      </c>
      <c r="Q38" s="33" t="s">
        <v>1796</v>
      </c>
    </row>
    <row r="39" spans="1:17">
      <c r="A39" s="33" t="s">
        <v>1970</v>
      </c>
      <c r="B39" s="33" t="s">
        <v>1971</v>
      </c>
      <c r="C39" s="33" t="s">
        <v>1807</v>
      </c>
      <c r="D39" s="33" t="s">
        <v>41</v>
      </c>
      <c r="E39" s="33" t="s">
        <v>1786</v>
      </c>
      <c r="F39" s="33" t="s">
        <v>1815</v>
      </c>
      <c r="G39" s="33" t="s">
        <v>94</v>
      </c>
      <c r="H39" s="33" t="s">
        <v>1967</v>
      </c>
      <c r="I39" s="33" t="s">
        <v>1967</v>
      </c>
      <c r="J39" s="33" t="s">
        <v>1972</v>
      </c>
      <c r="K39" s="33" t="s">
        <v>1791</v>
      </c>
      <c r="L39" s="33" t="s">
        <v>1881</v>
      </c>
      <c r="M39" s="33" t="s">
        <v>1811</v>
      </c>
      <c r="N39" s="33" t="s">
        <v>93</v>
      </c>
      <c r="O39" s="33" t="s">
        <v>1973</v>
      </c>
      <c r="P39" s="33" t="s">
        <v>1795</v>
      </c>
      <c r="Q39" s="33" t="s">
        <v>1796</v>
      </c>
    </row>
    <row r="40" spans="1:17">
      <c r="A40" s="33" t="s">
        <v>1974</v>
      </c>
      <c r="B40" s="33" t="s">
        <v>1975</v>
      </c>
      <c r="C40" s="33" t="s">
        <v>1807</v>
      </c>
      <c r="D40" s="33" t="s">
        <v>41</v>
      </c>
      <c r="E40" s="33" t="s">
        <v>1786</v>
      </c>
      <c r="F40" s="33" t="s">
        <v>1856</v>
      </c>
      <c r="G40" s="33" t="s">
        <v>94</v>
      </c>
      <c r="H40" s="33" t="s">
        <v>1967</v>
      </c>
      <c r="I40" s="33" t="s">
        <v>1967</v>
      </c>
      <c r="J40" s="33" t="s">
        <v>1976</v>
      </c>
      <c r="K40" s="33" t="s">
        <v>1791</v>
      </c>
      <c r="L40" s="33" t="s">
        <v>1881</v>
      </c>
      <c r="M40" s="33" t="s">
        <v>1811</v>
      </c>
      <c r="N40" s="33" t="s">
        <v>93</v>
      </c>
      <c r="O40" s="33" t="s">
        <v>1977</v>
      </c>
      <c r="P40" s="33" t="s">
        <v>1795</v>
      </c>
      <c r="Q40" s="33" t="s">
        <v>1796</v>
      </c>
    </row>
    <row r="41" spans="1:17">
      <c r="A41" s="33" t="s">
        <v>1978</v>
      </c>
      <c r="B41" s="33" t="s">
        <v>1979</v>
      </c>
      <c r="C41" s="33" t="s">
        <v>1980</v>
      </c>
      <c r="D41" s="33" t="s">
        <v>41</v>
      </c>
      <c r="E41" s="33" t="s">
        <v>1786</v>
      </c>
      <c r="F41" s="33" t="s">
        <v>1787</v>
      </c>
      <c r="G41" s="33" t="s">
        <v>1981</v>
      </c>
      <c r="H41" s="33" t="s">
        <v>1967</v>
      </c>
      <c r="I41" s="33" t="s">
        <v>1873</v>
      </c>
      <c r="J41" s="33" t="s">
        <v>1982</v>
      </c>
      <c r="K41" s="33" t="s">
        <v>1791</v>
      </c>
      <c r="L41" s="33" t="s">
        <v>1881</v>
      </c>
      <c r="M41" s="33" t="s">
        <v>82</v>
      </c>
      <c r="N41" s="33" t="s">
        <v>82</v>
      </c>
      <c r="O41" s="33" t="s">
        <v>1983</v>
      </c>
      <c r="P41" s="33" t="s">
        <v>1795</v>
      </c>
      <c r="Q41" s="33" t="s">
        <v>1796</v>
      </c>
    </row>
    <row r="42" spans="1:17">
      <c r="A42" s="33" t="s">
        <v>1984</v>
      </c>
      <c r="B42" s="33" t="s">
        <v>1985</v>
      </c>
      <c r="C42" s="33" t="s">
        <v>1819</v>
      </c>
      <c r="D42" s="33" t="s">
        <v>41</v>
      </c>
      <c r="E42" s="33" t="s">
        <v>1786</v>
      </c>
      <c r="F42" s="33" t="s">
        <v>1815</v>
      </c>
      <c r="G42" s="33" t="s">
        <v>1986</v>
      </c>
      <c r="H42" s="33" t="s">
        <v>1967</v>
      </c>
      <c r="I42" s="33" t="s">
        <v>1967</v>
      </c>
      <c r="J42" s="33" t="s">
        <v>1987</v>
      </c>
      <c r="K42" s="33" t="s">
        <v>1791</v>
      </c>
      <c r="L42" s="33" t="s">
        <v>1875</v>
      </c>
      <c r="M42" s="33" t="s">
        <v>1827</v>
      </c>
      <c r="N42" s="33" t="s">
        <v>1078</v>
      </c>
      <c r="O42" s="33" t="s">
        <v>1946</v>
      </c>
      <c r="P42" s="33" t="s">
        <v>1795</v>
      </c>
      <c r="Q42" s="33" t="s">
        <v>1796</v>
      </c>
    </row>
    <row r="43" spans="1:17">
      <c r="A43" s="33" t="s">
        <v>1988</v>
      </c>
      <c r="B43" s="33" t="s">
        <v>1989</v>
      </c>
      <c r="C43" s="33" t="s">
        <v>1819</v>
      </c>
      <c r="D43" s="33" t="s">
        <v>41</v>
      </c>
      <c r="E43" s="33" t="s">
        <v>1786</v>
      </c>
      <c r="F43" s="33" t="s">
        <v>1815</v>
      </c>
      <c r="G43" s="33" t="s">
        <v>1954</v>
      </c>
      <c r="H43" s="33" t="s">
        <v>1967</v>
      </c>
      <c r="I43" s="33" t="s">
        <v>1967</v>
      </c>
      <c r="J43" s="33" t="s">
        <v>1990</v>
      </c>
      <c r="K43" s="33" t="s">
        <v>1791</v>
      </c>
      <c r="L43" s="33" t="s">
        <v>1937</v>
      </c>
      <c r="M43" s="33" t="s">
        <v>1849</v>
      </c>
      <c r="N43" s="33" t="s">
        <v>1078</v>
      </c>
      <c r="O43" s="33" t="s">
        <v>189</v>
      </c>
      <c r="P43" s="33" t="s">
        <v>1795</v>
      </c>
      <c r="Q43" s="33" t="s">
        <v>1796</v>
      </c>
    </row>
    <row r="44" spans="1:17">
      <c r="A44" s="33" t="s">
        <v>1991</v>
      </c>
      <c r="B44" s="33" t="s">
        <v>1992</v>
      </c>
      <c r="C44" s="33" t="s">
        <v>1980</v>
      </c>
      <c r="D44" s="33" t="s">
        <v>41</v>
      </c>
      <c r="E44" s="33" t="s">
        <v>1786</v>
      </c>
      <c r="F44" s="33" t="s">
        <v>1787</v>
      </c>
      <c r="G44" s="33" t="s">
        <v>1981</v>
      </c>
      <c r="H44" s="33" t="s">
        <v>1993</v>
      </c>
      <c r="I44" s="33" t="s">
        <v>1903</v>
      </c>
      <c r="J44" s="33" t="s">
        <v>1994</v>
      </c>
      <c r="K44" s="33" t="s">
        <v>1791</v>
      </c>
      <c r="L44" s="33" t="s">
        <v>1875</v>
      </c>
      <c r="M44" s="33" t="s">
        <v>1995</v>
      </c>
      <c r="N44" s="33" t="s">
        <v>1849</v>
      </c>
      <c r="O44" s="33" t="s">
        <v>1983</v>
      </c>
      <c r="P44" s="33" t="s">
        <v>1795</v>
      </c>
      <c r="Q44" s="33" t="s">
        <v>1796</v>
      </c>
    </row>
    <row r="45" spans="1:17">
      <c r="A45" s="33" t="s">
        <v>1996</v>
      </c>
      <c r="B45" s="33" t="s">
        <v>1997</v>
      </c>
      <c r="C45" s="33" t="s">
        <v>1831</v>
      </c>
      <c r="D45" s="33" t="s">
        <v>41</v>
      </c>
      <c r="E45" s="33" t="s">
        <v>1786</v>
      </c>
      <c r="F45" s="33" t="s">
        <v>1787</v>
      </c>
      <c r="G45" s="33" t="s">
        <v>1998</v>
      </c>
      <c r="H45" s="33" t="s">
        <v>1993</v>
      </c>
      <c r="I45" s="33" t="s">
        <v>1903</v>
      </c>
      <c r="J45" s="33" t="s">
        <v>1999</v>
      </c>
      <c r="K45" s="33" t="s">
        <v>1791</v>
      </c>
      <c r="L45" s="33" t="s">
        <v>2000</v>
      </c>
      <c r="M45" s="33" t="s">
        <v>1811</v>
      </c>
      <c r="N45" s="33" t="s">
        <v>1849</v>
      </c>
      <c r="O45" s="33" t="s">
        <v>1983</v>
      </c>
      <c r="P45" s="33" t="s">
        <v>1795</v>
      </c>
      <c r="Q45" s="33" t="s">
        <v>1796</v>
      </c>
    </row>
    <row r="46" spans="1:17">
      <c r="A46" s="33" t="s">
        <v>2001</v>
      </c>
      <c r="B46" s="33" t="s">
        <v>2002</v>
      </c>
      <c r="C46" s="33" t="s">
        <v>1819</v>
      </c>
      <c r="D46" s="33" t="s">
        <v>41</v>
      </c>
      <c r="E46" s="33" t="s">
        <v>1786</v>
      </c>
      <c r="F46" s="33" t="s">
        <v>1815</v>
      </c>
      <c r="G46" s="33" t="s">
        <v>1954</v>
      </c>
      <c r="H46" s="33" t="s">
        <v>1993</v>
      </c>
      <c r="I46" s="33" t="s">
        <v>1993</v>
      </c>
      <c r="J46" s="33" t="s">
        <v>2003</v>
      </c>
      <c r="K46" s="33" t="s">
        <v>1791</v>
      </c>
      <c r="L46" s="33" t="s">
        <v>1881</v>
      </c>
      <c r="M46" s="33" t="s">
        <v>196</v>
      </c>
      <c r="N46" s="33" t="s">
        <v>1078</v>
      </c>
      <c r="O46" s="33" t="s">
        <v>1923</v>
      </c>
      <c r="P46" s="33" t="s">
        <v>1795</v>
      </c>
      <c r="Q46" s="33" t="s">
        <v>1796</v>
      </c>
    </row>
    <row r="47" spans="1:17" hidden="1">
      <c r="A47" s="33" t="s">
        <v>2004</v>
      </c>
      <c r="B47" s="33" t="s">
        <v>2005</v>
      </c>
      <c r="C47" s="33" t="s">
        <v>1819</v>
      </c>
      <c r="D47" s="33" t="s">
        <v>41</v>
      </c>
      <c r="E47" s="33" t="s">
        <v>1836</v>
      </c>
      <c r="F47" s="33" t="s">
        <v>1787</v>
      </c>
      <c r="G47" s="33" t="s">
        <v>1820</v>
      </c>
      <c r="H47" s="33" t="s">
        <v>2006</v>
      </c>
      <c r="I47" s="33" t="s">
        <v>2006</v>
      </c>
      <c r="J47" s="33" t="s">
        <v>2007</v>
      </c>
      <c r="K47" s="33" t="s">
        <v>1791</v>
      </c>
      <c r="L47" s="33" t="s">
        <v>1875</v>
      </c>
      <c r="M47" s="33" t="s">
        <v>93</v>
      </c>
      <c r="N47" s="33" t="s">
        <v>1838</v>
      </c>
      <c r="O47" s="33" t="s">
        <v>2008</v>
      </c>
      <c r="P47" s="33" t="s">
        <v>1764</v>
      </c>
      <c r="Q47" s="33" t="s">
        <v>1796</v>
      </c>
    </row>
    <row r="48" spans="1:17">
      <c r="A48" s="33" t="s">
        <v>2009</v>
      </c>
      <c r="B48" s="33" t="s">
        <v>2010</v>
      </c>
      <c r="C48" s="33" t="s">
        <v>1785</v>
      </c>
      <c r="D48" s="33" t="s">
        <v>41</v>
      </c>
      <c r="E48" s="33" t="s">
        <v>1786</v>
      </c>
      <c r="F48" s="33" t="s">
        <v>2011</v>
      </c>
      <c r="G48" s="33" t="s">
        <v>1788</v>
      </c>
      <c r="H48" s="33" t="s">
        <v>2006</v>
      </c>
      <c r="I48" s="33" t="s">
        <v>2006</v>
      </c>
      <c r="J48" s="33" t="s">
        <v>2012</v>
      </c>
      <c r="K48" s="33" t="s">
        <v>1791</v>
      </c>
      <c r="L48" s="33" t="s">
        <v>1945</v>
      </c>
      <c r="M48" s="33" t="s">
        <v>1793</v>
      </c>
      <c r="N48" s="33" t="s">
        <v>1793</v>
      </c>
      <c r="O48" s="33" t="s">
        <v>2013</v>
      </c>
      <c r="P48" s="33" t="s">
        <v>1804</v>
      </c>
      <c r="Q48" s="33" t="s">
        <v>1796</v>
      </c>
    </row>
    <row r="49" spans="1:17">
      <c r="A49" s="33" t="s">
        <v>2014</v>
      </c>
      <c r="B49" s="33" t="s">
        <v>2015</v>
      </c>
      <c r="C49" s="33" t="s">
        <v>1807</v>
      </c>
      <c r="D49" s="33" t="s">
        <v>41</v>
      </c>
      <c r="E49" s="33" t="s">
        <v>1786</v>
      </c>
      <c r="F49" s="33" t="s">
        <v>1815</v>
      </c>
      <c r="G49" s="33" t="s">
        <v>94</v>
      </c>
      <c r="H49" s="33" t="s">
        <v>2016</v>
      </c>
      <c r="I49" s="33" t="s">
        <v>2016</v>
      </c>
      <c r="J49" s="33" t="s">
        <v>2017</v>
      </c>
      <c r="K49" s="33" t="s">
        <v>1791</v>
      </c>
      <c r="L49" s="33" t="s">
        <v>1881</v>
      </c>
      <c r="M49" s="33" t="s">
        <v>1811</v>
      </c>
      <c r="N49" s="33" t="s">
        <v>93</v>
      </c>
      <c r="O49" s="33" t="s">
        <v>1858</v>
      </c>
      <c r="P49" s="33" t="s">
        <v>1795</v>
      </c>
      <c r="Q49" s="33" t="s">
        <v>1796</v>
      </c>
    </row>
    <row r="50" spans="1:17">
      <c r="A50" s="33" t="s">
        <v>2018</v>
      </c>
      <c r="B50" s="33" t="s">
        <v>2019</v>
      </c>
      <c r="C50" s="33" t="s">
        <v>2020</v>
      </c>
      <c r="D50" s="33" t="s">
        <v>41</v>
      </c>
      <c r="E50" s="33" t="s">
        <v>1786</v>
      </c>
      <c r="F50" s="33" t="s">
        <v>1787</v>
      </c>
      <c r="G50" s="33" t="s">
        <v>79</v>
      </c>
      <c r="H50" s="33" t="s">
        <v>2016</v>
      </c>
      <c r="I50" s="33" t="s">
        <v>2016</v>
      </c>
      <c r="J50" s="33" t="s">
        <v>2021</v>
      </c>
      <c r="K50" s="33" t="s">
        <v>1791</v>
      </c>
      <c r="L50" s="33" t="s">
        <v>1945</v>
      </c>
      <c r="M50" s="33" t="s">
        <v>196</v>
      </c>
      <c r="N50" s="33" t="s">
        <v>196</v>
      </c>
      <c r="O50" s="33" t="s">
        <v>2022</v>
      </c>
      <c r="P50" s="33" t="s">
        <v>2023</v>
      </c>
      <c r="Q50" s="33" t="s">
        <v>1796</v>
      </c>
    </row>
    <row r="51" spans="1:17">
      <c r="A51" s="33" t="s">
        <v>2024</v>
      </c>
      <c r="B51" s="33" t="s">
        <v>2025</v>
      </c>
      <c r="C51" s="33" t="s">
        <v>2026</v>
      </c>
      <c r="D51" s="33" t="s">
        <v>41</v>
      </c>
      <c r="E51" s="33" t="s">
        <v>1786</v>
      </c>
      <c r="F51" s="33" t="s">
        <v>1815</v>
      </c>
      <c r="G51" s="33" t="s">
        <v>90</v>
      </c>
      <c r="H51" s="33" t="s">
        <v>2027</v>
      </c>
      <c r="I51" s="33" t="s">
        <v>2027</v>
      </c>
      <c r="J51" s="33" t="s">
        <v>2028</v>
      </c>
      <c r="K51" s="33" t="s">
        <v>1791</v>
      </c>
      <c r="L51" s="33" t="s">
        <v>1881</v>
      </c>
      <c r="M51" s="33" t="s">
        <v>1838</v>
      </c>
      <c r="N51" s="33" t="s">
        <v>1838</v>
      </c>
      <c r="O51" s="33" t="s">
        <v>2029</v>
      </c>
      <c r="P51" s="33" t="s">
        <v>1795</v>
      </c>
      <c r="Q51" s="33" t="s">
        <v>1796</v>
      </c>
    </row>
    <row r="52" spans="1:17">
      <c r="A52" s="33" t="s">
        <v>2030</v>
      </c>
      <c r="B52" s="33" t="s">
        <v>2031</v>
      </c>
      <c r="C52" s="33" t="s">
        <v>2026</v>
      </c>
      <c r="D52" s="33" t="s">
        <v>41</v>
      </c>
      <c r="E52" s="33" t="s">
        <v>1786</v>
      </c>
      <c r="F52" s="33" t="s">
        <v>1815</v>
      </c>
      <c r="G52" s="33" t="s">
        <v>90</v>
      </c>
      <c r="H52" s="33" t="s">
        <v>2027</v>
      </c>
      <c r="I52" s="33" t="s">
        <v>2027</v>
      </c>
      <c r="J52" s="33" t="s">
        <v>2032</v>
      </c>
      <c r="K52" s="33" t="s">
        <v>1791</v>
      </c>
      <c r="L52" s="33" t="s">
        <v>1881</v>
      </c>
      <c r="M52" s="33" t="s">
        <v>2033</v>
      </c>
      <c r="N52" s="33" t="s">
        <v>1838</v>
      </c>
      <c r="O52" s="33" t="s">
        <v>189</v>
      </c>
      <c r="P52" s="33" t="s">
        <v>1795</v>
      </c>
      <c r="Q52" s="33" t="s">
        <v>1796</v>
      </c>
    </row>
    <row r="53" spans="1:17">
      <c r="A53" s="33" t="s">
        <v>2034</v>
      </c>
      <c r="B53" s="33" t="s">
        <v>2035</v>
      </c>
      <c r="C53" s="33" t="s">
        <v>2026</v>
      </c>
      <c r="D53" s="33" t="s">
        <v>41</v>
      </c>
      <c r="E53" s="33" t="s">
        <v>1786</v>
      </c>
      <c r="F53" s="33" t="s">
        <v>1815</v>
      </c>
      <c r="G53" s="33" t="s">
        <v>90</v>
      </c>
      <c r="H53" s="33" t="s">
        <v>2027</v>
      </c>
      <c r="I53" s="33" t="s">
        <v>2027</v>
      </c>
      <c r="J53" s="33" t="s">
        <v>2036</v>
      </c>
      <c r="K53" s="33" t="s">
        <v>1791</v>
      </c>
      <c r="L53" s="33" t="s">
        <v>1881</v>
      </c>
      <c r="M53" s="33" t="s">
        <v>2037</v>
      </c>
      <c r="N53" s="33" t="s">
        <v>1838</v>
      </c>
      <c r="O53" s="33" t="s">
        <v>1840</v>
      </c>
      <c r="P53" s="33" t="s">
        <v>1795</v>
      </c>
      <c r="Q53" s="33" t="s">
        <v>1796</v>
      </c>
    </row>
    <row r="54" spans="1:17">
      <c r="A54" s="33" t="s">
        <v>2038</v>
      </c>
      <c r="B54" s="33" t="s">
        <v>2039</v>
      </c>
      <c r="C54" s="33" t="s">
        <v>2026</v>
      </c>
      <c r="D54" s="33" t="s">
        <v>41</v>
      </c>
      <c r="E54" s="33" t="s">
        <v>1786</v>
      </c>
      <c r="F54" s="33" t="s">
        <v>1815</v>
      </c>
      <c r="G54" s="33" t="s">
        <v>90</v>
      </c>
      <c r="H54" s="33" t="s">
        <v>2027</v>
      </c>
      <c r="I54" s="33" t="s">
        <v>2027</v>
      </c>
      <c r="J54" s="33" t="s">
        <v>2040</v>
      </c>
      <c r="K54" s="33" t="s">
        <v>1791</v>
      </c>
      <c r="L54" s="33" t="s">
        <v>1881</v>
      </c>
      <c r="M54" s="33" t="s">
        <v>2041</v>
      </c>
      <c r="N54" s="33" t="s">
        <v>1838</v>
      </c>
      <c r="O54" s="33" t="s">
        <v>2013</v>
      </c>
      <c r="P54" s="33" t="s">
        <v>1795</v>
      </c>
      <c r="Q54" s="33" t="s">
        <v>1796</v>
      </c>
    </row>
    <row r="55" spans="1:17">
      <c r="A55" s="33" t="s">
        <v>2042</v>
      </c>
      <c r="B55" s="33" t="s">
        <v>2043</v>
      </c>
      <c r="C55" s="33" t="s">
        <v>1819</v>
      </c>
      <c r="D55" s="33" t="s">
        <v>41</v>
      </c>
      <c r="E55" s="33" t="s">
        <v>1786</v>
      </c>
      <c r="F55" s="33" t="s">
        <v>1787</v>
      </c>
      <c r="G55" s="33" t="s">
        <v>1986</v>
      </c>
      <c r="H55" s="33" t="s">
        <v>2027</v>
      </c>
      <c r="I55" s="33" t="s">
        <v>2027</v>
      </c>
      <c r="J55" s="33" t="s">
        <v>2044</v>
      </c>
      <c r="K55" s="33" t="s">
        <v>1791</v>
      </c>
      <c r="L55" s="33" t="s">
        <v>1875</v>
      </c>
      <c r="M55" s="33" t="s">
        <v>2045</v>
      </c>
      <c r="N55" s="33" t="s">
        <v>1078</v>
      </c>
      <c r="O55" s="33" t="s">
        <v>2046</v>
      </c>
      <c r="P55" s="33" t="s">
        <v>1795</v>
      </c>
      <c r="Q55" s="33" t="s">
        <v>1796</v>
      </c>
    </row>
    <row r="56" spans="1:17">
      <c r="A56" s="33" t="s">
        <v>2047</v>
      </c>
      <c r="B56" s="33" t="s">
        <v>2048</v>
      </c>
      <c r="C56" s="33" t="s">
        <v>2026</v>
      </c>
      <c r="D56" s="33" t="s">
        <v>41</v>
      </c>
      <c r="E56" s="33" t="s">
        <v>1786</v>
      </c>
      <c r="F56" s="33" t="s">
        <v>1815</v>
      </c>
      <c r="G56" s="33" t="s">
        <v>90</v>
      </c>
      <c r="H56" s="33" t="s">
        <v>2027</v>
      </c>
      <c r="I56" s="33" t="s">
        <v>2027</v>
      </c>
      <c r="J56" s="33" t="s">
        <v>2049</v>
      </c>
      <c r="K56" s="33" t="s">
        <v>1791</v>
      </c>
      <c r="L56" s="33" t="s">
        <v>1881</v>
      </c>
      <c r="M56" s="33" t="s">
        <v>2050</v>
      </c>
      <c r="N56" s="33" t="s">
        <v>1838</v>
      </c>
      <c r="O56" s="33" t="s">
        <v>1845</v>
      </c>
      <c r="P56" s="33" t="s">
        <v>1795</v>
      </c>
      <c r="Q56" s="33" t="s">
        <v>1796</v>
      </c>
    </row>
    <row r="57" spans="1:17">
      <c r="A57" s="33" t="s">
        <v>2051</v>
      </c>
      <c r="B57" s="33" t="s">
        <v>2052</v>
      </c>
      <c r="C57" s="33" t="s">
        <v>1831</v>
      </c>
      <c r="D57" s="33" t="s">
        <v>41</v>
      </c>
      <c r="E57" s="33" t="s">
        <v>1786</v>
      </c>
      <c r="F57" s="33" t="s">
        <v>1815</v>
      </c>
      <c r="G57" s="33" t="s">
        <v>1872</v>
      </c>
      <c r="H57" s="33" t="s">
        <v>2027</v>
      </c>
      <c r="I57" s="33" t="s">
        <v>2027</v>
      </c>
      <c r="J57" s="33" t="s">
        <v>2053</v>
      </c>
      <c r="K57" s="33" t="s">
        <v>1791</v>
      </c>
      <c r="L57" s="33" t="s">
        <v>1881</v>
      </c>
      <c r="M57" s="33" t="s">
        <v>1849</v>
      </c>
      <c r="N57" s="33" t="s">
        <v>1827</v>
      </c>
      <c r="O57" s="33" t="s">
        <v>2054</v>
      </c>
      <c r="P57" s="33" t="s">
        <v>1795</v>
      </c>
      <c r="Q57" s="33" t="s">
        <v>1796</v>
      </c>
    </row>
    <row r="58" spans="1:17">
      <c r="A58" s="33" t="s">
        <v>2055</v>
      </c>
      <c r="B58" s="33" t="s">
        <v>2056</v>
      </c>
      <c r="C58" s="33" t="s">
        <v>1831</v>
      </c>
      <c r="D58" s="33" t="s">
        <v>41</v>
      </c>
      <c r="E58" s="33" t="s">
        <v>1786</v>
      </c>
      <c r="F58" s="33" t="s">
        <v>1856</v>
      </c>
      <c r="G58" s="33" t="s">
        <v>1872</v>
      </c>
      <c r="H58" s="33" t="s">
        <v>2027</v>
      </c>
      <c r="I58" s="33" t="s">
        <v>2027</v>
      </c>
      <c r="J58" s="33" t="s">
        <v>2057</v>
      </c>
      <c r="K58" s="33" t="s">
        <v>1791</v>
      </c>
      <c r="L58" s="33" t="s">
        <v>1875</v>
      </c>
      <c r="M58" s="33" t="s">
        <v>1849</v>
      </c>
      <c r="N58" s="33" t="s">
        <v>1827</v>
      </c>
      <c r="O58" s="33" t="s">
        <v>2054</v>
      </c>
      <c r="P58" s="33" t="s">
        <v>1795</v>
      </c>
      <c r="Q58" s="33" t="s">
        <v>1796</v>
      </c>
    </row>
    <row r="59" spans="1:17">
      <c r="A59" s="33" t="s">
        <v>2058</v>
      </c>
      <c r="B59" s="33" t="s">
        <v>2059</v>
      </c>
      <c r="C59" s="33" t="s">
        <v>1831</v>
      </c>
      <c r="D59" s="33" t="s">
        <v>41</v>
      </c>
      <c r="E59" s="33" t="s">
        <v>1786</v>
      </c>
      <c r="F59" s="33" t="s">
        <v>1787</v>
      </c>
      <c r="G59" s="33" t="s">
        <v>1872</v>
      </c>
      <c r="H59" s="33" t="s">
        <v>2027</v>
      </c>
      <c r="I59" s="33" t="s">
        <v>2027</v>
      </c>
      <c r="J59" s="33" t="s">
        <v>2060</v>
      </c>
      <c r="K59" s="33" t="s">
        <v>1791</v>
      </c>
      <c r="L59" s="33" t="s">
        <v>1875</v>
      </c>
      <c r="M59" s="33" t="s">
        <v>1849</v>
      </c>
      <c r="N59" s="33" t="s">
        <v>1827</v>
      </c>
      <c r="O59" s="33" t="s">
        <v>2061</v>
      </c>
      <c r="P59" s="33" t="s">
        <v>1795</v>
      </c>
      <c r="Q59" s="33" t="s">
        <v>1796</v>
      </c>
    </row>
    <row r="60" spans="1:17">
      <c r="A60" s="33" t="s">
        <v>2062</v>
      </c>
      <c r="B60" s="33" t="s">
        <v>2063</v>
      </c>
      <c r="C60" s="33" t="s">
        <v>1831</v>
      </c>
      <c r="D60" s="33" t="s">
        <v>41</v>
      </c>
      <c r="E60" s="33" t="s">
        <v>1786</v>
      </c>
      <c r="F60" s="33" t="s">
        <v>1815</v>
      </c>
      <c r="G60" s="33" t="s">
        <v>1861</v>
      </c>
      <c r="H60" s="33" t="s">
        <v>1945</v>
      </c>
      <c r="I60" s="33" t="s">
        <v>1945</v>
      </c>
      <c r="J60" s="33" t="s">
        <v>2064</v>
      </c>
      <c r="K60" s="33" t="s">
        <v>1791</v>
      </c>
      <c r="L60" s="33" t="s">
        <v>1881</v>
      </c>
      <c r="M60" s="33" t="s">
        <v>1863</v>
      </c>
      <c r="N60" s="33" t="s">
        <v>1839</v>
      </c>
      <c r="O60" s="33" t="s">
        <v>2065</v>
      </c>
      <c r="P60" s="33" t="s">
        <v>1804</v>
      </c>
      <c r="Q60" s="33" t="s">
        <v>1796</v>
      </c>
    </row>
    <row r="61" spans="1:17">
      <c r="A61" s="33" t="s">
        <v>2066</v>
      </c>
      <c r="B61" s="33" t="s">
        <v>2067</v>
      </c>
      <c r="C61" s="33" t="s">
        <v>1831</v>
      </c>
      <c r="D61" s="33" t="s">
        <v>41</v>
      </c>
      <c r="E61" s="33" t="s">
        <v>1786</v>
      </c>
      <c r="F61" s="33" t="s">
        <v>1815</v>
      </c>
      <c r="G61" s="33" t="s">
        <v>1861</v>
      </c>
      <c r="H61" s="33" t="s">
        <v>1945</v>
      </c>
      <c r="I61" s="33" t="s">
        <v>1945</v>
      </c>
      <c r="J61" s="33" t="s">
        <v>2068</v>
      </c>
      <c r="K61" s="33" t="s">
        <v>1791</v>
      </c>
      <c r="L61" s="33" t="s">
        <v>1881</v>
      </c>
      <c r="M61" s="33" t="s">
        <v>1863</v>
      </c>
      <c r="N61" s="33" t="s">
        <v>1839</v>
      </c>
      <c r="O61" s="33" t="s">
        <v>2069</v>
      </c>
      <c r="P61" s="33" t="s">
        <v>1804</v>
      </c>
      <c r="Q61" s="33" t="s">
        <v>1796</v>
      </c>
    </row>
    <row r="62" spans="1:17">
      <c r="A62" s="33" t="s">
        <v>2070</v>
      </c>
      <c r="B62" s="33" t="s">
        <v>2071</v>
      </c>
      <c r="C62" s="33" t="s">
        <v>1785</v>
      </c>
      <c r="D62" s="33" t="s">
        <v>41</v>
      </c>
      <c r="E62" s="33" t="s">
        <v>1786</v>
      </c>
      <c r="F62" s="33" t="s">
        <v>1815</v>
      </c>
      <c r="G62" s="33" t="s">
        <v>1799</v>
      </c>
      <c r="H62" s="33" t="s">
        <v>1945</v>
      </c>
      <c r="I62" s="33" t="s">
        <v>1945</v>
      </c>
      <c r="J62" s="33" t="s">
        <v>2072</v>
      </c>
      <c r="K62" s="33" t="s">
        <v>1791</v>
      </c>
      <c r="L62" s="33" t="s">
        <v>1875</v>
      </c>
      <c r="M62" s="33" t="s">
        <v>1849</v>
      </c>
      <c r="N62" s="33" t="s">
        <v>1793</v>
      </c>
      <c r="O62" s="33" t="s">
        <v>2073</v>
      </c>
      <c r="P62" s="33" t="s">
        <v>1795</v>
      </c>
      <c r="Q62" s="33" t="s">
        <v>1796</v>
      </c>
    </row>
    <row r="63" spans="1:17">
      <c r="A63" s="33" t="s">
        <v>2074</v>
      </c>
      <c r="B63" s="33" t="s">
        <v>2075</v>
      </c>
      <c r="C63" s="33" t="s">
        <v>2026</v>
      </c>
      <c r="D63" s="33" t="s">
        <v>41</v>
      </c>
      <c r="E63" s="33" t="s">
        <v>1786</v>
      </c>
      <c r="F63" s="33" t="s">
        <v>1856</v>
      </c>
      <c r="G63" s="33" t="s">
        <v>89</v>
      </c>
      <c r="H63" s="33" t="s">
        <v>1945</v>
      </c>
      <c r="I63" s="33" t="s">
        <v>1945</v>
      </c>
      <c r="J63" s="33" t="s">
        <v>2076</v>
      </c>
      <c r="K63" s="33" t="s">
        <v>1791</v>
      </c>
      <c r="L63" s="33" t="s">
        <v>1945</v>
      </c>
      <c r="M63" s="33" t="s">
        <v>2041</v>
      </c>
      <c r="N63" s="33" t="s">
        <v>2077</v>
      </c>
      <c r="O63" s="33" t="s">
        <v>1787</v>
      </c>
      <c r="P63" s="33" t="s">
        <v>1795</v>
      </c>
      <c r="Q63" s="33" t="s">
        <v>1796</v>
      </c>
    </row>
    <row r="64" spans="1:17">
      <c r="A64" s="33" t="s">
        <v>2078</v>
      </c>
      <c r="B64" s="33" t="s">
        <v>2079</v>
      </c>
      <c r="C64" s="33" t="s">
        <v>2080</v>
      </c>
      <c r="D64" s="33" t="s">
        <v>41</v>
      </c>
      <c r="E64" s="33" t="s">
        <v>1786</v>
      </c>
      <c r="F64" s="33" t="s">
        <v>1787</v>
      </c>
      <c r="G64" s="33" t="s">
        <v>89</v>
      </c>
      <c r="H64" s="33" t="s">
        <v>1945</v>
      </c>
      <c r="I64" s="33" t="s">
        <v>1945</v>
      </c>
      <c r="J64" s="33" t="s">
        <v>2081</v>
      </c>
      <c r="K64" s="33" t="s">
        <v>1791</v>
      </c>
      <c r="L64" s="33" t="s">
        <v>1881</v>
      </c>
      <c r="M64" s="33" t="s">
        <v>2077</v>
      </c>
      <c r="N64" s="33" t="s">
        <v>2077</v>
      </c>
      <c r="O64" s="33" t="s">
        <v>2082</v>
      </c>
      <c r="P64" s="33" t="s">
        <v>2023</v>
      </c>
      <c r="Q64" s="33" t="s">
        <v>1796</v>
      </c>
    </row>
    <row r="65" spans="1:17">
      <c r="A65" s="33" t="s">
        <v>2083</v>
      </c>
      <c r="B65" s="33" t="s">
        <v>2084</v>
      </c>
      <c r="C65" s="33" t="s">
        <v>2080</v>
      </c>
      <c r="D65" s="33" t="s">
        <v>41</v>
      </c>
      <c r="E65" s="33" t="s">
        <v>1786</v>
      </c>
      <c r="F65" s="33" t="s">
        <v>1787</v>
      </c>
      <c r="G65" s="33" t="s">
        <v>89</v>
      </c>
      <c r="H65" s="33" t="s">
        <v>1945</v>
      </c>
      <c r="I65" s="33" t="s">
        <v>1945</v>
      </c>
      <c r="J65" s="33" t="s">
        <v>2085</v>
      </c>
      <c r="K65" s="33" t="s">
        <v>1791</v>
      </c>
      <c r="L65" s="33" t="s">
        <v>1881</v>
      </c>
      <c r="M65" s="33" t="s">
        <v>1838</v>
      </c>
      <c r="N65" s="33" t="s">
        <v>2077</v>
      </c>
      <c r="O65" s="33" t="s">
        <v>2082</v>
      </c>
      <c r="P65" s="33" t="s">
        <v>1795</v>
      </c>
      <c r="Q65" s="33" t="s">
        <v>1796</v>
      </c>
    </row>
    <row r="66" spans="1:17">
      <c r="A66" s="33" t="s">
        <v>2086</v>
      </c>
      <c r="B66" s="33" t="s">
        <v>2087</v>
      </c>
      <c r="C66" s="33" t="s">
        <v>1831</v>
      </c>
      <c r="D66" s="33" t="s">
        <v>41</v>
      </c>
      <c r="E66" s="33" t="s">
        <v>1786</v>
      </c>
      <c r="F66" s="33" t="s">
        <v>1787</v>
      </c>
      <c r="G66" s="33" t="s">
        <v>2088</v>
      </c>
      <c r="H66" s="33" t="s">
        <v>1945</v>
      </c>
      <c r="I66" s="33" t="s">
        <v>1945</v>
      </c>
      <c r="J66" s="33" t="s">
        <v>2089</v>
      </c>
      <c r="K66" s="33" t="s">
        <v>1791</v>
      </c>
      <c r="L66" s="33" t="s">
        <v>1875</v>
      </c>
      <c r="M66" s="33" t="s">
        <v>93</v>
      </c>
      <c r="N66" s="33" t="s">
        <v>1827</v>
      </c>
      <c r="O66" s="33" t="s">
        <v>2065</v>
      </c>
      <c r="P66" s="33" t="s">
        <v>1795</v>
      </c>
      <c r="Q66" s="33" t="s">
        <v>1796</v>
      </c>
    </row>
    <row r="67" spans="1:17">
      <c r="A67" s="33" t="s">
        <v>2090</v>
      </c>
      <c r="B67" s="33" t="s">
        <v>2091</v>
      </c>
      <c r="C67" s="33" t="s">
        <v>1949</v>
      </c>
      <c r="D67" s="33" t="s">
        <v>41</v>
      </c>
      <c r="E67" s="33" t="s">
        <v>1786</v>
      </c>
      <c r="F67" s="33" t="s">
        <v>1787</v>
      </c>
      <c r="G67" s="33" t="s">
        <v>67</v>
      </c>
      <c r="H67" s="33" t="s">
        <v>1937</v>
      </c>
      <c r="I67" s="33" t="s">
        <v>1937</v>
      </c>
      <c r="J67" s="33" t="s">
        <v>2092</v>
      </c>
      <c r="K67" s="33" t="s">
        <v>1791</v>
      </c>
      <c r="L67" s="33" t="s">
        <v>1875</v>
      </c>
      <c r="M67" s="33" t="s">
        <v>1811</v>
      </c>
      <c r="N67" s="33" t="s">
        <v>55</v>
      </c>
      <c r="O67" s="33" t="s">
        <v>2093</v>
      </c>
      <c r="P67" s="33" t="s">
        <v>1795</v>
      </c>
      <c r="Q67" s="33" t="s">
        <v>1796</v>
      </c>
    </row>
    <row r="68" spans="1:17">
      <c r="A68" s="33" t="s">
        <v>2094</v>
      </c>
      <c r="B68" s="33" t="s">
        <v>2095</v>
      </c>
      <c r="C68" s="33" t="s">
        <v>2096</v>
      </c>
      <c r="D68" s="33" t="s">
        <v>41</v>
      </c>
      <c r="E68" s="33" t="s">
        <v>1786</v>
      </c>
      <c r="F68" s="33" t="s">
        <v>1787</v>
      </c>
      <c r="G68" s="33" t="s">
        <v>2097</v>
      </c>
      <c r="H68" s="33" t="s">
        <v>1937</v>
      </c>
      <c r="I68" s="33" t="s">
        <v>1937</v>
      </c>
      <c r="J68" s="33" t="s">
        <v>2098</v>
      </c>
      <c r="K68" s="33" t="s">
        <v>1791</v>
      </c>
      <c r="L68" s="33" t="s">
        <v>1875</v>
      </c>
      <c r="M68" s="33" t="s">
        <v>1849</v>
      </c>
      <c r="N68" s="33" t="s">
        <v>1863</v>
      </c>
      <c r="O68" s="33" t="s">
        <v>2099</v>
      </c>
      <c r="P68" s="33" t="s">
        <v>1804</v>
      </c>
      <c r="Q68" s="33" t="s">
        <v>1796</v>
      </c>
    </row>
    <row r="69" spans="1:17">
      <c r="A69" s="33" t="s">
        <v>2100</v>
      </c>
      <c r="B69" s="33" t="s">
        <v>2101</v>
      </c>
      <c r="C69" s="33" t="s">
        <v>2096</v>
      </c>
      <c r="D69" s="33" t="s">
        <v>41</v>
      </c>
      <c r="E69" s="33" t="s">
        <v>1786</v>
      </c>
      <c r="F69" s="33" t="s">
        <v>1787</v>
      </c>
      <c r="G69" s="33" t="s">
        <v>2097</v>
      </c>
      <c r="H69" s="33" t="s">
        <v>1937</v>
      </c>
      <c r="I69" s="33" t="s">
        <v>1937</v>
      </c>
      <c r="J69" s="33" t="s">
        <v>2102</v>
      </c>
      <c r="K69" s="33" t="s">
        <v>1791</v>
      </c>
      <c r="L69" s="33" t="s">
        <v>1881</v>
      </c>
      <c r="M69" s="33" t="s">
        <v>1849</v>
      </c>
      <c r="N69" s="33" t="s">
        <v>1863</v>
      </c>
      <c r="O69" s="33" t="s">
        <v>2103</v>
      </c>
      <c r="P69" s="33" t="s">
        <v>1795</v>
      </c>
      <c r="Q69" s="33" t="s">
        <v>1796</v>
      </c>
    </row>
    <row r="70" spans="1:17">
      <c r="A70" s="33" t="s">
        <v>2104</v>
      </c>
      <c r="B70" s="33" t="s">
        <v>2105</v>
      </c>
      <c r="C70" s="33" t="s">
        <v>2096</v>
      </c>
      <c r="D70" s="33" t="s">
        <v>41</v>
      </c>
      <c r="E70" s="33" t="s">
        <v>1786</v>
      </c>
      <c r="F70" s="33" t="s">
        <v>1787</v>
      </c>
      <c r="G70" s="33" t="s">
        <v>2097</v>
      </c>
      <c r="H70" s="33" t="s">
        <v>1937</v>
      </c>
      <c r="I70" s="33" t="s">
        <v>1937</v>
      </c>
      <c r="J70" s="33" t="s">
        <v>2106</v>
      </c>
      <c r="K70" s="33" t="s">
        <v>1791</v>
      </c>
      <c r="L70" s="33" t="s">
        <v>1881</v>
      </c>
      <c r="M70" s="33" t="s">
        <v>1863</v>
      </c>
      <c r="N70" s="33" t="s">
        <v>1863</v>
      </c>
      <c r="O70" s="33" t="s">
        <v>1946</v>
      </c>
      <c r="P70" s="33" t="s">
        <v>1804</v>
      </c>
      <c r="Q70" s="33" t="s">
        <v>1796</v>
      </c>
    </row>
    <row r="71" spans="1:17">
      <c r="A71" s="33" t="s">
        <v>2107</v>
      </c>
      <c r="B71" s="33" t="s">
        <v>2108</v>
      </c>
      <c r="C71" s="33" t="s">
        <v>1831</v>
      </c>
      <c r="D71" s="33" t="s">
        <v>41</v>
      </c>
      <c r="E71" s="33" t="s">
        <v>1786</v>
      </c>
      <c r="F71" s="33" t="s">
        <v>1815</v>
      </c>
      <c r="G71" s="33" t="s">
        <v>1872</v>
      </c>
      <c r="H71" s="33" t="s">
        <v>1937</v>
      </c>
      <c r="I71" s="33" t="s">
        <v>1937</v>
      </c>
      <c r="J71" s="33" t="s">
        <v>2109</v>
      </c>
      <c r="K71" s="33" t="s">
        <v>1791</v>
      </c>
      <c r="L71" s="33" t="s">
        <v>1881</v>
      </c>
      <c r="M71" s="33" t="s">
        <v>1849</v>
      </c>
      <c r="N71" s="33" t="s">
        <v>1827</v>
      </c>
      <c r="O71" s="33" t="s">
        <v>2110</v>
      </c>
      <c r="P71" s="33" t="s">
        <v>1795</v>
      </c>
      <c r="Q71" s="33" t="s">
        <v>1796</v>
      </c>
    </row>
    <row r="72" spans="1:17">
      <c r="A72" s="33" t="s">
        <v>2111</v>
      </c>
      <c r="B72" s="33" t="s">
        <v>2112</v>
      </c>
      <c r="C72" s="33" t="s">
        <v>1819</v>
      </c>
      <c r="D72" s="33" t="s">
        <v>41</v>
      </c>
      <c r="E72" s="33" t="s">
        <v>1786</v>
      </c>
      <c r="F72" s="33" t="s">
        <v>1815</v>
      </c>
      <c r="G72" s="33" t="s">
        <v>1954</v>
      </c>
      <c r="H72" s="33" t="s">
        <v>1937</v>
      </c>
      <c r="I72" s="33" t="s">
        <v>1937</v>
      </c>
      <c r="J72" s="33" t="s">
        <v>2113</v>
      </c>
      <c r="K72" s="33" t="s">
        <v>1791</v>
      </c>
      <c r="L72" s="33" t="s">
        <v>1881</v>
      </c>
      <c r="M72" s="33" t="s">
        <v>1849</v>
      </c>
      <c r="N72" s="33" t="s">
        <v>1078</v>
      </c>
      <c r="O72" s="33" t="s">
        <v>2114</v>
      </c>
      <c r="P72" s="33" t="s">
        <v>1795</v>
      </c>
      <c r="Q72" s="33" t="s">
        <v>1796</v>
      </c>
    </row>
    <row r="73" spans="1:17">
      <c r="A73" s="33" t="s">
        <v>2115</v>
      </c>
      <c r="B73" s="33" t="s">
        <v>2116</v>
      </c>
      <c r="C73" s="33" t="s">
        <v>1831</v>
      </c>
      <c r="D73" s="33" t="s">
        <v>41</v>
      </c>
      <c r="E73" s="33" t="s">
        <v>1786</v>
      </c>
      <c r="F73" s="33" t="s">
        <v>1815</v>
      </c>
      <c r="G73" s="33" t="s">
        <v>1872</v>
      </c>
      <c r="H73" s="33" t="s">
        <v>1937</v>
      </c>
      <c r="I73" s="33" t="s">
        <v>1937</v>
      </c>
      <c r="J73" s="33" t="s">
        <v>2117</v>
      </c>
      <c r="K73" s="33" t="s">
        <v>1791</v>
      </c>
      <c r="L73" s="33" t="s">
        <v>1881</v>
      </c>
      <c r="M73" s="33" t="s">
        <v>1849</v>
      </c>
      <c r="N73" s="33" t="s">
        <v>1827</v>
      </c>
      <c r="O73" s="33" t="s">
        <v>2118</v>
      </c>
      <c r="P73" s="33" t="s">
        <v>1795</v>
      </c>
      <c r="Q73" s="33" t="s">
        <v>1796</v>
      </c>
    </row>
    <row r="74" spans="1:17">
      <c r="A74" s="33" t="s">
        <v>2119</v>
      </c>
      <c r="B74" s="33" t="s">
        <v>2120</v>
      </c>
      <c r="C74" s="33" t="s">
        <v>1831</v>
      </c>
      <c r="D74" s="33" t="s">
        <v>41</v>
      </c>
      <c r="E74" s="33" t="s">
        <v>1786</v>
      </c>
      <c r="F74" s="33" t="s">
        <v>1856</v>
      </c>
      <c r="G74" s="33" t="s">
        <v>1872</v>
      </c>
      <c r="H74" s="33" t="s">
        <v>1937</v>
      </c>
      <c r="I74" s="33" t="s">
        <v>1937</v>
      </c>
      <c r="J74" s="33" t="s">
        <v>2121</v>
      </c>
      <c r="K74" s="33" t="s">
        <v>1791</v>
      </c>
      <c r="L74" s="33" t="s">
        <v>1875</v>
      </c>
      <c r="M74" s="33" t="s">
        <v>1849</v>
      </c>
      <c r="N74" s="33" t="s">
        <v>1827</v>
      </c>
      <c r="O74" s="33" t="s">
        <v>2118</v>
      </c>
      <c r="P74" s="33" t="s">
        <v>1795</v>
      </c>
      <c r="Q74" s="33" t="s">
        <v>1796</v>
      </c>
    </row>
    <row r="75" spans="1:17">
      <c r="A75" s="33" t="s">
        <v>2122</v>
      </c>
      <c r="B75" s="33" t="s">
        <v>2123</v>
      </c>
      <c r="C75" s="33" t="s">
        <v>1819</v>
      </c>
      <c r="D75" s="33" t="s">
        <v>41</v>
      </c>
      <c r="E75" s="33" t="s">
        <v>1786</v>
      </c>
      <c r="F75" s="33" t="s">
        <v>1856</v>
      </c>
      <c r="G75" s="33" t="s">
        <v>1954</v>
      </c>
      <c r="H75" s="33" t="s">
        <v>1937</v>
      </c>
      <c r="I75" s="33" t="s">
        <v>1937</v>
      </c>
      <c r="J75" s="33" t="s">
        <v>2124</v>
      </c>
      <c r="K75" s="33" t="s">
        <v>1791</v>
      </c>
      <c r="L75" s="33" t="s">
        <v>1881</v>
      </c>
      <c r="M75" s="33" t="s">
        <v>1863</v>
      </c>
      <c r="N75" s="33" t="s">
        <v>1078</v>
      </c>
      <c r="O75" s="33" t="s">
        <v>1926</v>
      </c>
      <c r="P75" s="33" t="s">
        <v>1804</v>
      </c>
      <c r="Q75" s="33" t="s">
        <v>1796</v>
      </c>
    </row>
    <row r="76" spans="1:17">
      <c r="A76" s="33" t="s">
        <v>2125</v>
      </c>
      <c r="B76" s="33" t="s">
        <v>2126</v>
      </c>
      <c r="C76" s="33" t="s">
        <v>1980</v>
      </c>
      <c r="D76" s="33" t="s">
        <v>41</v>
      </c>
      <c r="E76" s="33" t="s">
        <v>1786</v>
      </c>
      <c r="F76" s="33" t="s">
        <v>1815</v>
      </c>
      <c r="G76" s="33" t="s">
        <v>1872</v>
      </c>
      <c r="H76" s="33" t="s">
        <v>1875</v>
      </c>
      <c r="I76" s="33" t="s">
        <v>1875</v>
      </c>
      <c r="J76" s="33" t="s">
        <v>2127</v>
      </c>
      <c r="K76" s="33" t="s">
        <v>1791</v>
      </c>
      <c r="L76" s="33" t="s">
        <v>1881</v>
      </c>
      <c r="M76" s="33" t="s">
        <v>1844</v>
      </c>
      <c r="N76" s="33" t="s">
        <v>1849</v>
      </c>
      <c r="O76" s="33" t="s">
        <v>2128</v>
      </c>
      <c r="P76" s="33" t="s">
        <v>1795</v>
      </c>
      <c r="Q76" s="33" t="s">
        <v>1796</v>
      </c>
    </row>
    <row r="77" spans="1:17">
      <c r="A77" s="33" t="s">
        <v>2129</v>
      </c>
      <c r="B77" s="33" t="s">
        <v>2130</v>
      </c>
      <c r="C77" s="33" t="s">
        <v>1891</v>
      </c>
      <c r="D77" s="33" t="s">
        <v>41</v>
      </c>
      <c r="E77" s="33" t="s">
        <v>1786</v>
      </c>
      <c r="F77" s="33" t="s">
        <v>1864</v>
      </c>
      <c r="G77" s="33" t="s">
        <v>1892</v>
      </c>
      <c r="H77" s="33" t="s">
        <v>1881</v>
      </c>
      <c r="I77" s="33" t="s">
        <v>1881</v>
      </c>
      <c r="J77" s="33" t="s">
        <v>2131</v>
      </c>
      <c r="K77" s="33" t="s">
        <v>1791</v>
      </c>
      <c r="L77" s="33" t="s">
        <v>1881</v>
      </c>
      <c r="M77" s="33" t="s">
        <v>1811</v>
      </c>
      <c r="N77" s="33" t="s">
        <v>43</v>
      </c>
      <c r="O77" s="33" t="s">
        <v>1895</v>
      </c>
      <c r="P77" s="33" t="s">
        <v>1795</v>
      </c>
      <c r="Q77" s="33" t="s">
        <v>1796</v>
      </c>
    </row>
    <row r="78" spans="1:17">
      <c r="A78" s="33" t="s">
        <v>2132</v>
      </c>
      <c r="B78" s="33" t="s">
        <v>2133</v>
      </c>
      <c r="C78" s="33" t="s">
        <v>1819</v>
      </c>
      <c r="D78" s="33" t="s">
        <v>41</v>
      </c>
      <c r="E78" s="33" t="s">
        <v>1786</v>
      </c>
      <c r="F78" s="33" t="s">
        <v>1787</v>
      </c>
      <c r="G78" s="33" t="s">
        <v>1954</v>
      </c>
      <c r="H78" s="33" t="s">
        <v>1881</v>
      </c>
      <c r="I78" s="33" t="s">
        <v>1881</v>
      </c>
      <c r="J78" s="33" t="s">
        <v>2134</v>
      </c>
      <c r="K78" s="33" t="s">
        <v>1791</v>
      </c>
      <c r="L78" s="33" t="s">
        <v>1881</v>
      </c>
      <c r="M78" s="33" t="s">
        <v>196</v>
      </c>
      <c r="N78" s="33" t="s">
        <v>1078</v>
      </c>
      <c r="O78" s="33" t="s">
        <v>2103</v>
      </c>
      <c r="P78" s="33" t="s">
        <v>1804</v>
      </c>
      <c r="Q78" s="33" t="s">
        <v>1796</v>
      </c>
    </row>
    <row r="79" spans="1:17">
      <c r="A79" s="33" t="s">
        <v>2135</v>
      </c>
      <c r="B79" s="33" t="s">
        <v>2136</v>
      </c>
      <c r="C79" s="33" t="s">
        <v>1819</v>
      </c>
      <c r="D79" s="33" t="s">
        <v>41</v>
      </c>
      <c r="E79" s="33" t="s">
        <v>1786</v>
      </c>
      <c r="F79" s="33" t="s">
        <v>1787</v>
      </c>
      <c r="G79" s="33" t="s">
        <v>1954</v>
      </c>
      <c r="H79" s="33" t="s">
        <v>1881</v>
      </c>
      <c r="I79" s="33" t="s">
        <v>1881</v>
      </c>
      <c r="J79" s="33" t="s">
        <v>2137</v>
      </c>
      <c r="K79" s="33" t="s">
        <v>1791</v>
      </c>
      <c r="L79" s="33" t="s">
        <v>1881</v>
      </c>
      <c r="M79" s="33" t="s">
        <v>1863</v>
      </c>
      <c r="N79" s="33" t="s">
        <v>1078</v>
      </c>
      <c r="O79" s="33" t="s">
        <v>1946</v>
      </c>
      <c r="P79" s="33" t="s">
        <v>1804</v>
      </c>
      <c r="Q79" s="33" t="s">
        <v>1796</v>
      </c>
    </row>
    <row r="80" spans="1:17">
      <c r="A80" s="33" t="s">
        <v>2115</v>
      </c>
      <c r="B80" s="33" t="s">
        <v>2138</v>
      </c>
      <c r="C80" s="33" t="s">
        <v>1831</v>
      </c>
      <c r="D80" s="33" t="s">
        <v>41</v>
      </c>
      <c r="E80" s="33" t="s">
        <v>1786</v>
      </c>
      <c r="F80" s="33" t="s">
        <v>1815</v>
      </c>
      <c r="G80" s="33" t="s">
        <v>1872</v>
      </c>
      <c r="H80" s="33" t="s">
        <v>1881</v>
      </c>
      <c r="I80" s="33" t="s">
        <v>1881</v>
      </c>
      <c r="J80" s="33" t="s">
        <v>2139</v>
      </c>
      <c r="K80" s="33" t="s">
        <v>1791</v>
      </c>
      <c r="L80" s="33" t="s">
        <v>1881</v>
      </c>
      <c r="M80" s="33" t="s">
        <v>1849</v>
      </c>
      <c r="N80" s="33" t="s">
        <v>1844</v>
      </c>
      <c r="O80" s="33" t="s">
        <v>2140</v>
      </c>
      <c r="P80" s="33" t="s">
        <v>1795</v>
      </c>
      <c r="Q80" s="33" t="s">
        <v>1796</v>
      </c>
    </row>
    <row r="81" spans="1:17">
      <c r="A81" s="33" t="s">
        <v>2141</v>
      </c>
      <c r="B81" s="33" t="s">
        <v>2142</v>
      </c>
      <c r="C81" s="33" t="s">
        <v>1980</v>
      </c>
      <c r="D81" s="33" t="s">
        <v>41</v>
      </c>
      <c r="E81" s="33" t="s">
        <v>1786</v>
      </c>
      <c r="F81" s="33" t="s">
        <v>1787</v>
      </c>
      <c r="G81" s="33" t="s">
        <v>1981</v>
      </c>
      <c r="H81" s="33" t="s">
        <v>1881</v>
      </c>
      <c r="I81" s="33" t="s">
        <v>2006</v>
      </c>
      <c r="J81" s="33" t="s">
        <v>2143</v>
      </c>
      <c r="K81" s="33" t="s">
        <v>1791</v>
      </c>
      <c r="L81" s="33" t="s">
        <v>1881</v>
      </c>
      <c r="M81" s="33" t="s">
        <v>82</v>
      </c>
      <c r="N81" s="33" t="s">
        <v>1849</v>
      </c>
      <c r="O81" s="33" t="s">
        <v>2144</v>
      </c>
      <c r="P81" s="33" t="s">
        <v>1795</v>
      </c>
      <c r="Q81" s="33" t="s">
        <v>1796</v>
      </c>
    </row>
    <row r="82" spans="1:17">
      <c r="A82" s="33" t="s">
        <v>2145</v>
      </c>
      <c r="B82" s="33" t="s">
        <v>2146</v>
      </c>
      <c r="C82" s="33" t="s">
        <v>2147</v>
      </c>
      <c r="D82" s="33" t="s">
        <v>41</v>
      </c>
      <c r="E82" s="33" t="s">
        <v>1786</v>
      </c>
      <c r="F82" s="33" t="s">
        <v>1815</v>
      </c>
      <c r="G82" s="33" t="s">
        <v>2148</v>
      </c>
      <c r="H82" s="33" t="s">
        <v>1881</v>
      </c>
      <c r="I82" s="33" t="s">
        <v>2149</v>
      </c>
      <c r="J82" s="33" t="s">
        <v>2150</v>
      </c>
      <c r="K82" s="33" t="s">
        <v>1791</v>
      </c>
      <c r="L82" s="33" t="s">
        <v>2000</v>
      </c>
      <c r="M82" s="33" t="s">
        <v>2050</v>
      </c>
      <c r="N82" s="33" t="s">
        <v>2151</v>
      </c>
      <c r="O82" s="33" t="s">
        <v>2152</v>
      </c>
      <c r="P82" s="33" t="s">
        <v>1795</v>
      </c>
      <c r="Q82" s="33" t="s">
        <v>1796</v>
      </c>
    </row>
    <row r="83" spans="1:17" hidden="1">
      <c r="A83" s="33" t="s">
        <v>2153</v>
      </c>
      <c r="B83" s="33" t="s">
        <v>2154</v>
      </c>
      <c r="C83" s="33" t="s">
        <v>1980</v>
      </c>
      <c r="D83" s="33" t="s">
        <v>41</v>
      </c>
      <c r="E83" s="33" t="s">
        <v>1836</v>
      </c>
      <c r="F83" s="33" t="s">
        <v>1787</v>
      </c>
      <c r="G83" s="33" t="s">
        <v>2155</v>
      </c>
      <c r="H83" s="33" t="s">
        <v>1881</v>
      </c>
      <c r="I83" s="33" t="s">
        <v>2149</v>
      </c>
      <c r="J83" s="33" t="s">
        <v>2156</v>
      </c>
      <c r="K83" s="33" t="s">
        <v>1791</v>
      </c>
      <c r="L83" s="33" t="s">
        <v>2000</v>
      </c>
      <c r="M83" s="33" t="s">
        <v>1793</v>
      </c>
      <c r="N83" s="33" t="s">
        <v>1793</v>
      </c>
      <c r="O83" s="33" t="s">
        <v>1983</v>
      </c>
      <c r="P83" s="33" t="s">
        <v>1764</v>
      </c>
      <c r="Q83" s="33" t="s">
        <v>1796</v>
      </c>
    </row>
    <row r="84" spans="1:17">
      <c r="A84" s="33" t="s">
        <v>2157</v>
      </c>
      <c r="B84" s="33" t="s">
        <v>2158</v>
      </c>
      <c r="C84" s="33" t="s">
        <v>1831</v>
      </c>
      <c r="D84" s="33" t="s">
        <v>41</v>
      </c>
      <c r="E84" s="33" t="s">
        <v>1786</v>
      </c>
      <c r="F84" s="33" t="s">
        <v>1815</v>
      </c>
      <c r="G84" s="33" t="s">
        <v>1872</v>
      </c>
      <c r="H84" s="33" t="s">
        <v>1881</v>
      </c>
      <c r="I84" s="33" t="s">
        <v>1881</v>
      </c>
      <c r="J84" s="33" t="s">
        <v>2159</v>
      </c>
      <c r="K84" s="33" t="s">
        <v>1791</v>
      </c>
      <c r="L84" s="33" t="s">
        <v>1881</v>
      </c>
      <c r="M84" s="33" t="s">
        <v>1849</v>
      </c>
      <c r="N84" s="33" t="s">
        <v>1844</v>
      </c>
      <c r="O84" s="33" t="s">
        <v>2160</v>
      </c>
      <c r="P84" s="33" t="s">
        <v>1795</v>
      </c>
      <c r="Q84" s="33" t="s">
        <v>1796</v>
      </c>
    </row>
    <row r="85" spans="1:17">
      <c r="A85" s="33" t="s">
        <v>2161</v>
      </c>
      <c r="B85" s="33" t="s">
        <v>2162</v>
      </c>
      <c r="C85" s="33" t="s">
        <v>1819</v>
      </c>
      <c r="D85" s="33" t="s">
        <v>41</v>
      </c>
      <c r="E85" s="33" t="s">
        <v>1786</v>
      </c>
      <c r="F85" s="33" t="s">
        <v>1815</v>
      </c>
      <c r="G85" s="33" t="s">
        <v>1986</v>
      </c>
      <c r="H85" s="33" t="s">
        <v>1881</v>
      </c>
      <c r="I85" s="33" t="s">
        <v>1881</v>
      </c>
      <c r="J85" s="33" t="s">
        <v>2163</v>
      </c>
      <c r="K85" s="33" t="s">
        <v>1791</v>
      </c>
      <c r="L85" s="33" t="s">
        <v>1881</v>
      </c>
      <c r="M85" s="33" t="s">
        <v>1811</v>
      </c>
      <c r="N85" s="33" t="s">
        <v>1078</v>
      </c>
      <c r="O85" s="33" t="s">
        <v>189</v>
      </c>
      <c r="P85" s="33" t="s">
        <v>1795</v>
      </c>
      <c r="Q85" s="33" t="s">
        <v>1796</v>
      </c>
    </row>
    <row r="86" spans="1:17">
      <c r="A86" s="33" t="s">
        <v>2164</v>
      </c>
      <c r="B86" s="33" t="s">
        <v>2165</v>
      </c>
      <c r="C86" s="33" t="s">
        <v>1831</v>
      </c>
      <c r="D86" s="33" t="s">
        <v>41</v>
      </c>
      <c r="E86" s="33" t="s">
        <v>1786</v>
      </c>
      <c r="F86" s="33" t="s">
        <v>1815</v>
      </c>
      <c r="G86" s="33" t="s">
        <v>1872</v>
      </c>
      <c r="H86" s="33" t="s">
        <v>1881</v>
      </c>
      <c r="I86" s="33" t="s">
        <v>1881</v>
      </c>
      <c r="J86" s="33" t="s">
        <v>2166</v>
      </c>
      <c r="K86" s="33" t="s">
        <v>1791</v>
      </c>
      <c r="L86" s="33" t="s">
        <v>1881</v>
      </c>
      <c r="M86" s="33" t="s">
        <v>1849</v>
      </c>
      <c r="N86" s="33" t="s">
        <v>1844</v>
      </c>
      <c r="O86" s="33" t="s">
        <v>2167</v>
      </c>
      <c r="P86" s="33" t="s">
        <v>1795</v>
      </c>
      <c r="Q86" s="33" t="s">
        <v>1796</v>
      </c>
    </row>
    <row r="87" spans="1:17" hidden="1">
      <c r="A87" s="33" t="s">
        <v>2168</v>
      </c>
      <c r="B87" s="33" t="s">
        <v>2169</v>
      </c>
      <c r="C87" s="33" t="s">
        <v>1819</v>
      </c>
      <c r="D87" s="33" t="s">
        <v>41</v>
      </c>
      <c r="E87" s="33" t="s">
        <v>1808</v>
      </c>
      <c r="F87" s="33" t="s">
        <v>1787</v>
      </c>
      <c r="G87" s="33" t="s">
        <v>1986</v>
      </c>
      <c r="H87" s="33" t="s">
        <v>1881</v>
      </c>
      <c r="I87" s="33" t="s">
        <v>1881</v>
      </c>
      <c r="J87" s="33" t="s">
        <v>2170</v>
      </c>
      <c r="K87" s="33" t="s">
        <v>1791</v>
      </c>
      <c r="L87" s="33" t="s">
        <v>1881</v>
      </c>
      <c r="M87" s="33" t="s">
        <v>1811</v>
      </c>
      <c r="N87" s="33" t="s">
        <v>1078</v>
      </c>
      <c r="O87" s="33" t="s">
        <v>189</v>
      </c>
      <c r="P87" s="33" t="s">
        <v>1764</v>
      </c>
      <c r="Q87" s="33" t="s">
        <v>1796</v>
      </c>
    </row>
    <row r="88" spans="1:17">
      <c r="A88" s="33" t="s">
        <v>2171</v>
      </c>
      <c r="B88" s="33" t="s">
        <v>2172</v>
      </c>
      <c r="C88" s="33" t="s">
        <v>1819</v>
      </c>
      <c r="D88" s="33" t="s">
        <v>41</v>
      </c>
      <c r="E88" s="33" t="s">
        <v>1786</v>
      </c>
      <c r="F88" s="33" t="s">
        <v>1815</v>
      </c>
      <c r="G88" s="33" t="s">
        <v>1986</v>
      </c>
      <c r="H88" s="33" t="s">
        <v>1881</v>
      </c>
      <c r="I88" s="33" t="s">
        <v>1881</v>
      </c>
      <c r="J88" s="33" t="s">
        <v>2173</v>
      </c>
      <c r="K88" s="33" t="s">
        <v>1791</v>
      </c>
      <c r="L88" s="33" t="s">
        <v>1881</v>
      </c>
      <c r="M88" s="33" t="s">
        <v>1811</v>
      </c>
      <c r="N88" s="33" t="s">
        <v>1078</v>
      </c>
      <c r="O88" s="33" t="s">
        <v>189</v>
      </c>
      <c r="P88" s="33" t="s">
        <v>1795</v>
      </c>
      <c r="Q88" s="33" t="s">
        <v>1796</v>
      </c>
    </row>
    <row r="89" spans="1:17">
      <c r="A89" s="33" t="s">
        <v>2174</v>
      </c>
      <c r="B89" s="33" t="s">
        <v>2175</v>
      </c>
      <c r="C89" s="33" t="s">
        <v>1785</v>
      </c>
      <c r="D89" s="33" t="s">
        <v>41</v>
      </c>
      <c r="E89" s="33" t="s">
        <v>1786</v>
      </c>
      <c r="F89" s="33" t="s">
        <v>1864</v>
      </c>
      <c r="G89" s="33" t="s">
        <v>1788</v>
      </c>
      <c r="H89" s="33" t="s">
        <v>1881</v>
      </c>
      <c r="I89" s="33" t="s">
        <v>2016</v>
      </c>
      <c r="J89" s="33" t="s">
        <v>2176</v>
      </c>
      <c r="K89" s="33" t="s">
        <v>1791</v>
      </c>
      <c r="L89" s="33" t="s">
        <v>1881</v>
      </c>
      <c r="M89" s="33" t="s">
        <v>1793</v>
      </c>
      <c r="N89" s="33" t="s">
        <v>1793</v>
      </c>
      <c r="O89" s="33" t="s">
        <v>1983</v>
      </c>
      <c r="P89" s="33" t="s">
        <v>1795</v>
      </c>
      <c r="Q89" s="33" t="s">
        <v>1796</v>
      </c>
    </row>
    <row r="90" spans="1:17">
      <c r="A90" s="33" t="s">
        <v>2177</v>
      </c>
      <c r="B90" s="33" t="s">
        <v>2178</v>
      </c>
      <c r="C90" s="33" t="s">
        <v>1949</v>
      </c>
      <c r="D90" s="33" t="s">
        <v>41</v>
      </c>
      <c r="E90" s="33" t="s">
        <v>1786</v>
      </c>
      <c r="F90" s="33" t="s">
        <v>2069</v>
      </c>
      <c r="G90" s="33" t="s">
        <v>67</v>
      </c>
      <c r="H90" s="33" t="s">
        <v>1881</v>
      </c>
      <c r="I90" s="33" t="s">
        <v>2016</v>
      </c>
      <c r="J90" s="33" t="s">
        <v>2179</v>
      </c>
      <c r="K90" s="33" t="s">
        <v>1791</v>
      </c>
      <c r="L90" s="33" t="s">
        <v>1881</v>
      </c>
      <c r="M90" s="33" t="s">
        <v>1811</v>
      </c>
      <c r="N90" s="33" t="s">
        <v>55</v>
      </c>
      <c r="O90" s="33" t="s">
        <v>2152</v>
      </c>
      <c r="P90" s="33" t="s">
        <v>1869</v>
      </c>
      <c r="Q90" s="33" t="s">
        <v>1796</v>
      </c>
    </row>
    <row r="91" spans="1:17">
      <c r="A91" s="33" t="s">
        <v>2180</v>
      </c>
      <c r="B91" s="33" t="s">
        <v>2181</v>
      </c>
      <c r="C91" s="33" t="s">
        <v>1819</v>
      </c>
      <c r="D91" s="33" t="s">
        <v>41</v>
      </c>
      <c r="E91" s="33" t="s">
        <v>1786</v>
      </c>
      <c r="F91" s="33" t="s">
        <v>1815</v>
      </c>
      <c r="G91" s="33" t="s">
        <v>1986</v>
      </c>
      <c r="H91" s="33" t="s">
        <v>1881</v>
      </c>
      <c r="I91" s="33" t="s">
        <v>1881</v>
      </c>
      <c r="J91" s="33" t="s">
        <v>2182</v>
      </c>
      <c r="K91" s="33" t="s">
        <v>1791</v>
      </c>
      <c r="L91" s="33" t="s">
        <v>1881</v>
      </c>
      <c r="M91" s="33" t="s">
        <v>1811</v>
      </c>
      <c r="N91" s="33" t="s">
        <v>1078</v>
      </c>
      <c r="O91" s="33" t="s">
        <v>189</v>
      </c>
      <c r="P91" s="33" t="s">
        <v>1795</v>
      </c>
      <c r="Q91" s="33" t="s">
        <v>1796</v>
      </c>
    </row>
    <row r="92" spans="1:17">
      <c r="A92" s="33" t="s">
        <v>2183</v>
      </c>
      <c r="B92" s="33" t="s">
        <v>2184</v>
      </c>
      <c r="C92" s="33" t="s">
        <v>1949</v>
      </c>
      <c r="D92" s="33" t="s">
        <v>41</v>
      </c>
      <c r="E92" s="33" t="s">
        <v>1786</v>
      </c>
      <c r="F92" s="33" t="s">
        <v>1787</v>
      </c>
      <c r="G92" s="33" t="s">
        <v>67</v>
      </c>
      <c r="H92" s="33" t="s">
        <v>1881</v>
      </c>
      <c r="I92" s="33" t="s">
        <v>2027</v>
      </c>
      <c r="J92" s="33" t="s">
        <v>2185</v>
      </c>
      <c r="K92" s="33" t="s">
        <v>1791</v>
      </c>
      <c r="L92" s="33" t="s">
        <v>2000</v>
      </c>
      <c r="M92" s="33" t="s">
        <v>1811</v>
      </c>
      <c r="N92" s="33" t="s">
        <v>55</v>
      </c>
      <c r="O92" s="33" t="s">
        <v>1983</v>
      </c>
      <c r="P92" s="33" t="s">
        <v>1795</v>
      </c>
      <c r="Q92" s="33" t="s">
        <v>1796</v>
      </c>
    </row>
    <row r="93" spans="1:17" hidden="1">
      <c r="A93" s="33" t="s">
        <v>2186</v>
      </c>
      <c r="B93" s="33" t="s">
        <v>2187</v>
      </c>
      <c r="C93" s="33" t="s">
        <v>1785</v>
      </c>
      <c r="D93" s="33" t="s">
        <v>41</v>
      </c>
      <c r="E93" s="33" t="s">
        <v>1836</v>
      </c>
      <c r="F93" s="33" t="s">
        <v>1864</v>
      </c>
      <c r="G93" s="33" t="s">
        <v>1788</v>
      </c>
      <c r="H93" s="33" t="s">
        <v>1881</v>
      </c>
      <c r="I93" s="33" t="s">
        <v>2027</v>
      </c>
      <c r="J93" s="33" t="s">
        <v>2188</v>
      </c>
      <c r="K93" s="33" t="s">
        <v>1791</v>
      </c>
      <c r="L93" s="33" t="s">
        <v>2000</v>
      </c>
      <c r="M93" s="33" t="s">
        <v>1793</v>
      </c>
      <c r="N93" s="33" t="s">
        <v>1793</v>
      </c>
      <c r="O93" s="33" t="s">
        <v>2152</v>
      </c>
      <c r="P93" s="33" t="s">
        <v>1764</v>
      </c>
      <c r="Q93" s="33" t="s">
        <v>1796</v>
      </c>
    </row>
    <row r="94" spans="1:17">
      <c r="A94" s="33" t="s">
        <v>2189</v>
      </c>
      <c r="B94" s="33" t="s">
        <v>2190</v>
      </c>
      <c r="C94" s="33" t="s">
        <v>1819</v>
      </c>
      <c r="D94" s="33" t="s">
        <v>41</v>
      </c>
      <c r="E94" s="33" t="s">
        <v>1786</v>
      </c>
      <c r="F94" s="33" t="s">
        <v>1815</v>
      </c>
      <c r="G94" s="33" t="s">
        <v>1986</v>
      </c>
      <c r="H94" s="33" t="s">
        <v>1881</v>
      </c>
      <c r="I94" s="33" t="s">
        <v>1881</v>
      </c>
      <c r="J94" s="33" t="s">
        <v>2191</v>
      </c>
      <c r="K94" s="33" t="s">
        <v>1791</v>
      </c>
      <c r="L94" s="33" t="s">
        <v>1881</v>
      </c>
      <c r="M94" s="33" t="s">
        <v>1827</v>
      </c>
      <c r="N94" s="33" t="s">
        <v>1078</v>
      </c>
      <c r="O94" s="33" t="s">
        <v>189</v>
      </c>
      <c r="P94" s="33" t="s">
        <v>1795</v>
      </c>
      <c r="Q94" s="33" t="s">
        <v>1796</v>
      </c>
    </row>
    <row r="95" spans="1:17">
      <c r="A95" s="33" t="s">
        <v>2192</v>
      </c>
      <c r="B95" s="33" t="s">
        <v>2193</v>
      </c>
      <c r="C95" s="33" t="s">
        <v>1949</v>
      </c>
      <c r="D95" s="33" t="s">
        <v>41</v>
      </c>
      <c r="E95" s="33" t="s">
        <v>1786</v>
      </c>
      <c r="F95" s="33" t="s">
        <v>1856</v>
      </c>
      <c r="G95" s="33" t="s">
        <v>67</v>
      </c>
      <c r="H95" s="33" t="s">
        <v>1881</v>
      </c>
      <c r="I95" s="33" t="s">
        <v>2027</v>
      </c>
      <c r="J95" s="33" t="s">
        <v>2194</v>
      </c>
      <c r="K95" s="33" t="s">
        <v>1791</v>
      </c>
      <c r="L95" s="33" t="s">
        <v>1881</v>
      </c>
      <c r="M95" s="33" t="s">
        <v>1822</v>
      </c>
      <c r="N95" s="33" t="s">
        <v>55</v>
      </c>
      <c r="O95" s="33" t="s">
        <v>2152</v>
      </c>
      <c r="P95" s="33" t="s">
        <v>1869</v>
      </c>
      <c r="Q95" s="33" t="s">
        <v>1796</v>
      </c>
    </row>
    <row r="96" spans="1:17" hidden="1">
      <c r="A96" s="33" t="s">
        <v>2195</v>
      </c>
      <c r="B96" s="33" t="s">
        <v>2196</v>
      </c>
      <c r="C96" s="33" t="s">
        <v>1949</v>
      </c>
      <c r="D96" s="33" t="s">
        <v>41</v>
      </c>
      <c r="E96" s="33" t="s">
        <v>1836</v>
      </c>
      <c r="F96" s="33" t="s">
        <v>1856</v>
      </c>
      <c r="G96" s="33" t="s">
        <v>67</v>
      </c>
      <c r="H96" s="33" t="s">
        <v>1881</v>
      </c>
      <c r="I96" s="33" t="s">
        <v>2027</v>
      </c>
      <c r="J96" s="33" t="s">
        <v>2197</v>
      </c>
      <c r="K96" s="33" t="s">
        <v>1791</v>
      </c>
      <c r="L96" s="33" t="s">
        <v>1881</v>
      </c>
      <c r="M96" s="33" t="s">
        <v>1838</v>
      </c>
      <c r="N96" s="33" t="s">
        <v>55</v>
      </c>
      <c r="O96" s="33" t="s">
        <v>2152</v>
      </c>
      <c r="P96" s="33" t="s">
        <v>1764</v>
      </c>
      <c r="Q96" s="33" t="s">
        <v>1796</v>
      </c>
    </row>
    <row r="97" spans="1:17">
      <c r="A97" s="33" t="s">
        <v>2198</v>
      </c>
      <c r="B97" s="33" t="s">
        <v>2199</v>
      </c>
      <c r="C97" s="33" t="s">
        <v>1831</v>
      </c>
      <c r="D97" s="33" t="s">
        <v>41</v>
      </c>
      <c r="E97" s="33" t="s">
        <v>1786</v>
      </c>
      <c r="F97" s="33" t="s">
        <v>1787</v>
      </c>
      <c r="G97" s="33" t="s">
        <v>2200</v>
      </c>
      <c r="H97" s="33" t="s">
        <v>1881</v>
      </c>
      <c r="I97" s="33" t="s">
        <v>1945</v>
      </c>
      <c r="J97" s="33" t="s">
        <v>2201</v>
      </c>
      <c r="K97" s="33" t="s">
        <v>1791</v>
      </c>
      <c r="L97" s="33" t="s">
        <v>1881</v>
      </c>
      <c r="M97" s="33" t="s">
        <v>1844</v>
      </c>
      <c r="N97" s="33" t="s">
        <v>1844</v>
      </c>
      <c r="O97" s="33" t="s">
        <v>2202</v>
      </c>
      <c r="P97" s="33" t="s">
        <v>1795</v>
      </c>
      <c r="Q97" s="33" t="s">
        <v>1796</v>
      </c>
    </row>
    <row r="98" spans="1:17">
      <c r="A98" s="33" t="s">
        <v>2203</v>
      </c>
      <c r="B98" s="33" t="s">
        <v>2204</v>
      </c>
      <c r="C98" s="33" t="s">
        <v>2205</v>
      </c>
      <c r="D98" s="33" t="s">
        <v>41</v>
      </c>
      <c r="E98" s="33" t="s">
        <v>1786</v>
      </c>
      <c r="F98" s="33" t="s">
        <v>1815</v>
      </c>
      <c r="G98" s="33" t="s">
        <v>74</v>
      </c>
      <c r="H98" s="33" t="s">
        <v>1881</v>
      </c>
      <c r="I98" s="33" t="s">
        <v>1875</v>
      </c>
      <c r="J98" s="33" t="s">
        <v>2206</v>
      </c>
      <c r="K98" s="33" t="s">
        <v>1791</v>
      </c>
      <c r="L98" s="33" t="s">
        <v>1881</v>
      </c>
      <c r="M98" s="33" t="s">
        <v>1811</v>
      </c>
      <c r="N98" s="33" t="s">
        <v>55</v>
      </c>
      <c r="O98" s="33" t="s">
        <v>2152</v>
      </c>
      <c r="P98" s="33" t="s">
        <v>1795</v>
      </c>
      <c r="Q98" s="33" t="s">
        <v>1796</v>
      </c>
    </row>
    <row r="99" spans="1:17">
      <c r="A99" s="33" t="s">
        <v>2207</v>
      </c>
      <c r="B99" s="33" t="s">
        <v>2208</v>
      </c>
      <c r="C99" s="33" t="s">
        <v>1949</v>
      </c>
      <c r="D99" s="33" t="s">
        <v>41</v>
      </c>
      <c r="E99" s="33" t="s">
        <v>1786</v>
      </c>
      <c r="F99" s="33" t="s">
        <v>1856</v>
      </c>
      <c r="G99" s="33" t="s">
        <v>67</v>
      </c>
      <c r="H99" s="33" t="s">
        <v>1881</v>
      </c>
      <c r="I99" s="33" t="s">
        <v>2209</v>
      </c>
      <c r="J99" s="33" t="s">
        <v>2210</v>
      </c>
      <c r="K99" s="33" t="s">
        <v>1791</v>
      </c>
      <c r="L99" s="33" t="s">
        <v>2211</v>
      </c>
      <c r="M99" s="33" t="s">
        <v>1838</v>
      </c>
      <c r="N99" s="33" t="s">
        <v>55</v>
      </c>
      <c r="O99" s="33" t="s">
        <v>2152</v>
      </c>
      <c r="P99" s="33" t="s">
        <v>1795</v>
      </c>
      <c r="Q99" s="33" t="s">
        <v>1796</v>
      </c>
    </row>
    <row r="100" spans="1:17">
      <c r="A100" s="33" t="s">
        <v>2212</v>
      </c>
      <c r="B100" s="33" t="s">
        <v>2213</v>
      </c>
      <c r="C100" s="33" t="s">
        <v>1819</v>
      </c>
      <c r="D100" s="33" t="s">
        <v>41</v>
      </c>
      <c r="E100" s="33" t="s">
        <v>1786</v>
      </c>
      <c r="F100" s="33" t="s">
        <v>1815</v>
      </c>
      <c r="G100" s="33" t="s">
        <v>1986</v>
      </c>
      <c r="H100" s="33" t="s">
        <v>1881</v>
      </c>
      <c r="I100" s="33" t="s">
        <v>1881</v>
      </c>
      <c r="J100" s="33" t="s">
        <v>2214</v>
      </c>
      <c r="K100" s="33" t="s">
        <v>1791</v>
      </c>
      <c r="L100" s="33" t="s">
        <v>1881</v>
      </c>
      <c r="M100" s="33" t="s">
        <v>1827</v>
      </c>
      <c r="N100" s="33" t="s">
        <v>1078</v>
      </c>
      <c r="O100" s="33" t="s">
        <v>2215</v>
      </c>
      <c r="P100" s="33" t="s">
        <v>1795</v>
      </c>
      <c r="Q100" s="33" t="s">
        <v>1796</v>
      </c>
    </row>
    <row r="101" spans="1:17">
      <c r="A101" s="33" t="s">
        <v>2216</v>
      </c>
      <c r="B101" s="33" t="s">
        <v>2217</v>
      </c>
      <c r="C101" s="33" t="s">
        <v>1819</v>
      </c>
      <c r="D101" s="33" t="s">
        <v>41</v>
      </c>
      <c r="E101" s="33" t="s">
        <v>1786</v>
      </c>
      <c r="F101" s="33" t="s">
        <v>1815</v>
      </c>
      <c r="G101" s="33" t="s">
        <v>1986</v>
      </c>
      <c r="H101" s="33" t="s">
        <v>1881</v>
      </c>
      <c r="I101" s="33" t="s">
        <v>1881</v>
      </c>
      <c r="J101" s="33" t="s">
        <v>2218</v>
      </c>
      <c r="K101" s="33" t="s">
        <v>1791</v>
      </c>
      <c r="L101" s="33" t="s">
        <v>1881</v>
      </c>
      <c r="M101" s="33" t="s">
        <v>1827</v>
      </c>
      <c r="N101" s="33" t="s">
        <v>1078</v>
      </c>
      <c r="O101" s="33" t="s">
        <v>2219</v>
      </c>
      <c r="P101" s="33" t="s">
        <v>1795</v>
      </c>
      <c r="Q101" s="33" t="s">
        <v>1796</v>
      </c>
    </row>
    <row r="102" spans="1:17">
      <c r="A102" s="33" t="s">
        <v>2220</v>
      </c>
      <c r="B102" s="33" t="s">
        <v>2221</v>
      </c>
      <c r="C102" s="33" t="s">
        <v>1819</v>
      </c>
      <c r="D102" s="33" t="s">
        <v>41</v>
      </c>
      <c r="E102" s="33" t="s">
        <v>1786</v>
      </c>
      <c r="F102" s="33" t="s">
        <v>1856</v>
      </c>
      <c r="G102" s="33" t="s">
        <v>1986</v>
      </c>
      <c r="H102" s="33" t="s">
        <v>1881</v>
      </c>
      <c r="I102" s="33" t="s">
        <v>1881</v>
      </c>
      <c r="J102" s="33" t="s">
        <v>2222</v>
      </c>
      <c r="K102" s="33" t="s">
        <v>1791</v>
      </c>
      <c r="L102" s="33" t="s">
        <v>1881</v>
      </c>
      <c r="M102" s="33" t="s">
        <v>1827</v>
      </c>
      <c r="N102" s="33" t="s">
        <v>1078</v>
      </c>
      <c r="O102" s="33" t="s">
        <v>189</v>
      </c>
      <c r="P102" s="33" t="s">
        <v>1795</v>
      </c>
      <c r="Q102" s="33" t="s">
        <v>1796</v>
      </c>
    </row>
    <row r="103" spans="1:17">
      <c r="A103" s="33" t="s">
        <v>2223</v>
      </c>
      <c r="B103" s="33" t="s">
        <v>2224</v>
      </c>
      <c r="C103" s="33" t="s">
        <v>1819</v>
      </c>
      <c r="D103" s="33" t="s">
        <v>41</v>
      </c>
      <c r="E103" s="33" t="s">
        <v>1786</v>
      </c>
      <c r="F103" s="33" t="s">
        <v>1856</v>
      </c>
      <c r="G103" s="33" t="s">
        <v>1986</v>
      </c>
      <c r="H103" s="33" t="s">
        <v>1881</v>
      </c>
      <c r="I103" s="33" t="s">
        <v>1881</v>
      </c>
      <c r="J103" s="33" t="s">
        <v>2225</v>
      </c>
      <c r="K103" s="33" t="s">
        <v>1791</v>
      </c>
      <c r="L103" s="33" t="s">
        <v>1881</v>
      </c>
      <c r="M103" s="33" t="s">
        <v>1827</v>
      </c>
      <c r="N103" s="33" t="s">
        <v>1078</v>
      </c>
      <c r="O103" s="33" t="s">
        <v>189</v>
      </c>
      <c r="P103" s="33" t="s">
        <v>1795</v>
      </c>
      <c r="Q103" s="33" t="s">
        <v>1796</v>
      </c>
    </row>
    <row r="104" spans="1:17">
      <c r="A104" s="33" t="s">
        <v>2226</v>
      </c>
      <c r="B104" s="33" t="s">
        <v>2227</v>
      </c>
      <c r="C104" s="33" t="s">
        <v>1819</v>
      </c>
      <c r="D104" s="33" t="s">
        <v>41</v>
      </c>
      <c r="E104" s="33" t="s">
        <v>1786</v>
      </c>
      <c r="F104" s="33" t="s">
        <v>1856</v>
      </c>
      <c r="G104" s="33" t="s">
        <v>1986</v>
      </c>
      <c r="H104" s="33" t="s">
        <v>1881</v>
      </c>
      <c r="I104" s="33" t="s">
        <v>1881</v>
      </c>
      <c r="J104" s="33" t="s">
        <v>2228</v>
      </c>
      <c r="K104" s="33" t="s">
        <v>1791</v>
      </c>
      <c r="L104" s="33" t="s">
        <v>1881</v>
      </c>
      <c r="M104" s="33" t="s">
        <v>1827</v>
      </c>
      <c r="N104" s="33" t="s">
        <v>1078</v>
      </c>
      <c r="O104" s="33" t="s">
        <v>189</v>
      </c>
      <c r="P104" s="33" t="s">
        <v>1795</v>
      </c>
      <c r="Q104" s="33" t="s">
        <v>1796</v>
      </c>
    </row>
    <row r="105" spans="1:17">
      <c r="A105" s="33" t="s">
        <v>2229</v>
      </c>
      <c r="B105" s="33" t="s">
        <v>2230</v>
      </c>
      <c r="C105" s="33" t="s">
        <v>1819</v>
      </c>
      <c r="D105" s="33" t="s">
        <v>41</v>
      </c>
      <c r="E105" s="33" t="s">
        <v>1786</v>
      </c>
      <c r="F105" s="33" t="s">
        <v>1815</v>
      </c>
      <c r="G105" s="33" t="s">
        <v>1986</v>
      </c>
      <c r="H105" s="33" t="s">
        <v>1881</v>
      </c>
      <c r="I105" s="33" t="s">
        <v>1881</v>
      </c>
      <c r="J105" s="33" t="s">
        <v>2231</v>
      </c>
      <c r="K105" s="33" t="s">
        <v>1791</v>
      </c>
      <c r="L105" s="33" t="s">
        <v>1881</v>
      </c>
      <c r="M105" s="33" t="s">
        <v>1838</v>
      </c>
      <c r="N105" s="33" t="s">
        <v>1078</v>
      </c>
      <c r="O105" s="33" t="s">
        <v>189</v>
      </c>
      <c r="P105" s="33" t="s">
        <v>1795</v>
      </c>
      <c r="Q105" s="33" t="s">
        <v>1796</v>
      </c>
    </row>
    <row r="106" spans="1:17">
      <c r="A106" s="33" t="s">
        <v>2232</v>
      </c>
      <c r="B106" s="33" t="s">
        <v>2233</v>
      </c>
      <c r="C106" s="33" t="s">
        <v>1819</v>
      </c>
      <c r="D106" s="33" t="s">
        <v>41</v>
      </c>
      <c r="E106" s="33" t="s">
        <v>1786</v>
      </c>
      <c r="F106" s="33" t="s">
        <v>1856</v>
      </c>
      <c r="G106" s="33" t="s">
        <v>1986</v>
      </c>
      <c r="H106" s="33" t="s">
        <v>1881</v>
      </c>
      <c r="I106" s="33" t="s">
        <v>1881</v>
      </c>
      <c r="J106" s="33" t="s">
        <v>2234</v>
      </c>
      <c r="K106" s="33" t="s">
        <v>1791</v>
      </c>
      <c r="L106" s="33" t="s">
        <v>1881</v>
      </c>
      <c r="M106" s="33" t="s">
        <v>1838</v>
      </c>
      <c r="N106" s="33" t="s">
        <v>1078</v>
      </c>
      <c r="O106" s="33" t="s">
        <v>1923</v>
      </c>
      <c r="P106" s="33" t="s">
        <v>1795</v>
      </c>
      <c r="Q106" s="33" t="s">
        <v>1796</v>
      </c>
    </row>
    <row r="107" spans="1:17">
      <c r="A107" s="33" t="s">
        <v>2235</v>
      </c>
      <c r="B107" s="33" t="s">
        <v>2236</v>
      </c>
      <c r="C107" s="33" t="s">
        <v>1831</v>
      </c>
      <c r="D107" s="33" t="s">
        <v>41</v>
      </c>
      <c r="E107" s="33" t="s">
        <v>1786</v>
      </c>
      <c r="F107" s="33" t="s">
        <v>1815</v>
      </c>
      <c r="G107" s="33" t="s">
        <v>2088</v>
      </c>
      <c r="H107" s="33" t="s">
        <v>2237</v>
      </c>
      <c r="I107" s="33" t="s">
        <v>2237</v>
      </c>
      <c r="J107" s="33" t="s">
        <v>2238</v>
      </c>
      <c r="K107" s="33" t="s">
        <v>1791</v>
      </c>
      <c r="L107" s="33" t="s">
        <v>2000</v>
      </c>
      <c r="M107" s="33" t="s">
        <v>1827</v>
      </c>
      <c r="N107" s="33" t="s">
        <v>1827</v>
      </c>
      <c r="O107" s="33" t="s">
        <v>2239</v>
      </c>
      <c r="P107" s="33" t="s">
        <v>1804</v>
      </c>
      <c r="Q107" s="33" t="s">
        <v>1796</v>
      </c>
    </row>
    <row r="108" spans="1:17">
      <c r="A108" s="33" t="s">
        <v>2240</v>
      </c>
      <c r="B108" s="33" t="s">
        <v>2241</v>
      </c>
      <c r="C108" s="33" t="s">
        <v>1819</v>
      </c>
      <c r="D108" s="33" t="s">
        <v>41</v>
      </c>
      <c r="E108" s="33" t="s">
        <v>1786</v>
      </c>
      <c r="F108" s="33" t="s">
        <v>1787</v>
      </c>
      <c r="G108" s="33" t="s">
        <v>1986</v>
      </c>
      <c r="H108" s="33" t="s">
        <v>2237</v>
      </c>
      <c r="I108" s="33" t="s">
        <v>2237</v>
      </c>
      <c r="J108" s="33" t="s">
        <v>2242</v>
      </c>
      <c r="K108" s="33" t="s">
        <v>1791</v>
      </c>
      <c r="L108" s="33" t="s">
        <v>2243</v>
      </c>
      <c r="M108" s="33" t="s">
        <v>82</v>
      </c>
      <c r="N108" s="33" t="s">
        <v>1078</v>
      </c>
      <c r="O108" s="33" t="s">
        <v>190</v>
      </c>
      <c r="P108" s="33" t="s">
        <v>1804</v>
      </c>
      <c r="Q108" s="33" t="s">
        <v>1796</v>
      </c>
    </row>
    <row r="109" spans="1:17">
      <c r="A109" s="33" t="s">
        <v>2240</v>
      </c>
      <c r="B109" s="33" t="s">
        <v>2244</v>
      </c>
      <c r="C109" s="33" t="s">
        <v>1819</v>
      </c>
      <c r="D109" s="33" t="s">
        <v>41</v>
      </c>
      <c r="E109" s="33" t="s">
        <v>1786</v>
      </c>
      <c r="F109" s="33" t="s">
        <v>1787</v>
      </c>
      <c r="G109" s="33" t="s">
        <v>1986</v>
      </c>
      <c r="H109" s="33" t="s">
        <v>2237</v>
      </c>
      <c r="I109" s="33" t="s">
        <v>2237</v>
      </c>
      <c r="J109" s="33" t="s">
        <v>2245</v>
      </c>
      <c r="K109" s="33" t="s">
        <v>1791</v>
      </c>
      <c r="L109" s="33" t="s">
        <v>2243</v>
      </c>
      <c r="M109" s="33" t="s">
        <v>82</v>
      </c>
      <c r="N109" s="33" t="s">
        <v>1078</v>
      </c>
      <c r="O109" s="33" t="s">
        <v>190</v>
      </c>
      <c r="P109" s="33" t="s">
        <v>1804</v>
      </c>
      <c r="Q109" s="33" t="s">
        <v>1796</v>
      </c>
    </row>
    <row r="110" spans="1:17">
      <c r="A110" s="33" t="s">
        <v>2240</v>
      </c>
      <c r="B110" s="33" t="s">
        <v>2246</v>
      </c>
      <c r="C110" s="33" t="s">
        <v>1819</v>
      </c>
      <c r="D110" s="33" t="s">
        <v>41</v>
      </c>
      <c r="E110" s="33" t="s">
        <v>1786</v>
      </c>
      <c r="F110" s="33" t="s">
        <v>1787</v>
      </c>
      <c r="G110" s="33" t="s">
        <v>1986</v>
      </c>
      <c r="H110" s="33" t="s">
        <v>2237</v>
      </c>
      <c r="I110" s="33" t="s">
        <v>2237</v>
      </c>
      <c r="J110" s="33" t="s">
        <v>2247</v>
      </c>
      <c r="K110" s="33" t="s">
        <v>1791</v>
      </c>
      <c r="L110" s="33" t="s">
        <v>2243</v>
      </c>
      <c r="M110" s="33" t="s">
        <v>82</v>
      </c>
      <c r="N110" s="33" t="s">
        <v>1078</v>
      </c>
      <c r="O110" s="33" t="s">
        <v>190</v>
      </c>
      <c r="P110" s="33" t="s">
        <v>1804</v>
      </c>
      <c r="Q110" s="33" t="s">
        <v>1796</v>
      </c>
    </row>
    <row r="111" spans="1:17">
      <c r="A111" s="33" t="s">
        <v>2240</v>
      </c>
      <c r="B111" s="33" t="s">
        <v>2248</v>
      </c>
      <c r="C111" s="33" t="s">
        <v>1819</v>
      </c>
      <c r="D111" s="33" t="s">
        <v>41</v>
      </c>
      <c r="E111" s="33" t="s">
        <v>1786</v>
      </c>
      <c r="F111" s="33" t="s">
        <v>1787</v>
      </c>
      <c r="G111" s="33" t="s">
        <v>1986</v>
      </c>
      <c r="H111" s="33" t="s">
        <v>2237</v>
      </c>
      <c r="I111" s="33" t="s">
        <v>2237</v>
      </c>
      <c r="J111" s="33" t="s">
        <v>2249</v>
      </c>
      <c r="K111" s="33" t="s">
        <v>1791</v>
      </c>
      <c r="L111" s="33" t="s">
        <v>2243</v>
      </c>
      <c r="M111" s="33" t="s">
        <v>1793</v>
      </c>
      <c r="N111" s="33" t="s">
        <v>1078</v>
      </c>
      <c r="O111" s="33" t="s">
        <v>190</v>
      </c>
      <c r="P111" s="33" t="s">
        <v>1804</v>
      </c>
      <c r="Q111" s="33" t="s">
        <v>1796</v>
      </c>
    </row>
    <row r="112" spans="1:17">
      <c r="A112" s="33" t="s">
        <v>2240</v>
      </c>
      <c r="B112" s="33" t="s">
        <v>2250</v>
      </c>
      <c r="C112" s="33" t="s">
        <v>1819</v>
      </c>
      <c r="D112" s="33" t="s">
        <v>41</v>
      </c>
      <c r="E112" s="33" t="s">
        <v>1786</v>
      </c>
      <c r="F112" s="33" t="s">
        <v>1787</v>
      </c>
      <c r="G112" s="33" t="s">
        <v>1986</v>
      </c>
      <c r="H112" s="33" t="s">
        <v>2237</v>
      </c>
      <c r="I112" s="33" t="s">
        <v>2237</v>
      </c>
      <c r="J112" s="33" t="s">
        <v>2251</v>
      </c>
      <c r="K112" s="33" t="s">
        <v>1791</v>
      </c>
      <c r="L112" s="33" t="s">
        <v>2243</v>
      </c>
      <c r="M112" s="33" t="s">
        <v>1793</v>
      </c>
      <c r="N112" s="33" t="s">
        <v>1078</v>
      </c>
      <c r="O112" s="33" t="s">
        <v>190</v>
      </c>
      <c r="P112" s="33" t="s">
        <v>1804</v>
      </c>
      <c r="Q112" s="33" t="s">
        <v>1796</v>
      </c>
    </row>
    <row r="113" spans="1:17">
      <c r="A113" s="33" t="s">
        <v>2252</v>
      </c>
      <c r="B113" s="33" t="s">
        <v>2253</v>
      </c>
      <c r="C113" s="33" t="s">
        <v>2020</v>
      </c>
      <c r="D113" s="33" t="s">
        <v>41</v>
      </c>
      <c r="E113" s="33" t="s">
        <v>1786</v>
      </c>
      <c r="F113" s="33" t="s">
        <v>1787</v>
      </c>
      <c r="G113" s="33" t="s">
        <v>79</v>
      </c>
      <c r="H113" s="33" t="s">
        <v>2237</v>
      </c>
      <c r="I113" s="33" t="s">
        <v>2237</v>
      </c>
      <c r="J113" s="33" t="s">
        <v>2254</v>
      </c>
      <c r="K113" s="33" t="s">
        <v>1791</v>
      </c>
      <c r="L113" s="33" t="s">
        <v>2000</v>
      </c>
      <c r="M113" s="33" t="s">
        <v>1811</v>
      </c>
      <c r="N113" s="33" t="s">
        <v>196</v>
      </c>
      <c r="O113" s="33" t="s">
        <v>2255</v>
      </c>
      <c r="P113" s="33" t="s">
        <v>2023</v>
      </c>
      <c r="Q113" s="33" t="s">
        <v>1796</v>
      </c>
    </row>
    <row r="114" spans="1:17">
      <c r="A114" s="33" t="s">
        <v>2256</v>
      </c>
      <c r="B114" s="33" t="s">
        <v>2257</v>
      </c>
      <c r="C114" s="33" t="s">
        <v>2020</v>
      </c>
      <c r="D114" s="33" t="s">
        <v>41</v>
      </c>
      <c r="E114" s="33" t="s">
        <v>1786</v>
      </c>
      <c r="F114" s="33" t="s">
        <v>1787</v>
      </c>
      <c r="G114" s="33" t="s">
        <v>79</v>
      </c>
      <c r="H114" s="33" t="s">
        <v>2237</v>
      </c>
      <c r="I114" s="33" t="s">
        <v>2237</v>
      </c>
      <c r="J114" s="33" t="s">
        <v>2258</v>
      </c>
      <c r="K114" s="33" t="s">
        <v>1791</v>
      </c>
      <c r="L114" s="33" t="s">
        <v>2000</v>
      </c>
      <c r="M114" s="33" t="s">
        <v>1811</v>
      </c>
      <c r="N114" s="33" t="s">
        <v>196</v>
      </c>
      <c r="O114" s="33" t="s">
        <v>2022</v>
      </c>
      <c r="P114" s="33" t="s">
        <v>2023</v>
      </c>
      <c r="Q114" s="33" t="s">
        <v>1796</v>
      </c>
    </row>
    <row r="115" spans="1:17">
      <c r="A115" s="33" t="s">
        <v>2259</v>
      </c>
      <c r="B115" s="33" t="s">
        <v>2260</v>
      </c>
      <c r="C115" s="33" t="s">
        <v>1831</v>
      </c>
      <c r="D115" s="33" t="s">
        <v>41</v>
      </c>
      <c r="E115" s="33" t="s">
        <v>1786</v>
      </c>
      <c r="F115" s="33" t="s">
        <v>1787</v>
      </c>
      <c r="G115" s="33" t="s">
        <v>2200</v>
      </c>
      <c r="H115" s="33" t="s">
        <v>2237</v>
      </c>
      <c r="I115" s="33" t="s">
        <v>2237</v>
      </c>
      <c r="J115" s="33" t="s">
        <v>2261</v>
      </c>
      <c r="K115" s="33" t="s">
        <v>1791</v>
      </c>
      <c r="L115" s="33" t="s">
        <v>2243</v>
      </c>
      <c r="M115" s="33" t="s">
        <v>1844</v>
      </c>
      <c r="N115" s="33" t="s">
        <v>1844</v>
      </c>
      <c r="O115" s="33" t="s">
        <v>2262</v>
      </c>
      <c r="P115" s="33" t="s">
        <v>2263</v>
      </c>
      <c r="Q115" s="33" t="s">
        <v>1796</v>
      </c>
    </row>
    <row r="116" spans="1:17">
      <c r="A116" s="33" t="s">
        <v>2264</v>
      </c>
      <c r="B116" s="33" t="s">
        <v>2265</v>
      </c>
      <c r="C116" s="33" t="s">
        <v>1831</v>
      </c>
      <c r="D116" s="33" t="s">
        <v>41</v>
      </c>
      <c r="E116" s="33" t="s">
        <v>1786</v>
      </c>
      <c r="F116" s="33" t="s">
        <v>1787</v>
      </c>
      <c r="G116" s="33" t="s">
        <v>2200</v>
      </c>
      <c r="H116" s="33" t="s">
        <v>2237</v>
      </c>
      <c r="I116" s="33" t="s">
        <v>2237</v>
      </c>
      <c r="J116" s="33" t="s">
        <v>2266</v>
      </c>
      <c r="K116" s="33" t="s">
        <v>1791</v>
      </c>
      <c r="L116" s="33" t="s">
        <v>2243</v>
      </c>
      <c r="M116" s="33" t="s">
        <v>1844</v>
      </c>
      <c r="N116" s="33" t="s">
        <v>1844</v>
      </c>
      <c r="O116" s="33" t="s">
        <v>2267</v>
      </c>
      <c r="P116" s="33" t="s">
        <v>1804</v>
      </c>
      <c r="Q116" s="33" t="s">
        <v>1796</v>
      </c>
    </row>
    <row r="117" spans="1:17">
      <c r="A117" s="33" t="s">
        <v>2268</v>
      </c>
      <c r="B117" s="33" t="s">
        <v>2269</v>
      </c>
      <c r="C117" s="33" t="s">
        <v>1819</v>
      </c>
      <c r="D117" s="33" t="s">
        <v>41</v>
      </c>
      <c r="E117" s="33" t="s">
        <v>1786</v>
      </c>
      <c r="F117" s="33" t="s">
        <v>1787</v>
      </c>
      <c r="G117" s="33" t="s">
        <v>1954</v>
      </c>
      <c r="H117" s="33" t="s">
        <v>2243</v>
      </c>
      <c r="I117" s="33" t="s">
        <v>2243</v>
      </c>
      <c r="J117" s="33" t="s">
        <v>2270</v>
      </c>
      <c r="K117" s="33" t="s">
        <v>1791</v>
      </c>
      <c r="L117" s="33" t="s">
        <v>2000</v>
      </c>
      <c r="M117" s="33" t="s">
        <v>1863</v>
      </c>
      <c r="N117" s="33" t="s">
        <v>1078</v>
      </c>
      <c r="O117" s="33" t="s">
        <v>1930</v>
      </c>
      <c r="P117" s="33" t="s">
        <v>1795</v>
      </c>
      <c r="Q117" s="33" t="s">
        <v>1796</v>
      </c>
    </row>
    <row r="118" spans="1:17">
      <c r="A118" s="33" t="s">
        <v>2271</v>
      </c>
      <c r="B118" s="33" t="s">
        <v>2272</v>
      </c>
      <c r="C118" s="33" t="s">
        <v>2273</v>
      </c>
      <c r="D118" s="33" t="s">
        <v>41</v>
      </c>
      <c r="E118" s="33" t="s">
        <v>1786</v>
      </c>
      <c r="F118" s="33" t="s">
        <v>1787</v>
      </c>
      <c r="G118" s="33" t="s">
        <v>2274</v>
      </c>
      <c r="H118" s="33" t="s">
        <v>2243</v>
      </c>
      <c r="I118" s="33" t="s">
        <v>2243</v>
      </c>
      <c r="J118" s="33" t="s">
        <v>2275</v>
      </c>
      <c r="K118" s="33" t="s">
        <v>1791</v>
      </c>
      <c r="L118" s="33" t="s">
        <v>2000</v>
      </c>
      <c r="M118" s="33" t="s">
        <v>1811</v>
      </c>
      <c r="N118" s="33" t="s">
        <v>1811</v>
      </c>
      <c r="O118" s="33" t="s">
        <v>2276</v>
      </c>
      <c r="P118" s="33" t="s">
        <v>1795</v>
      </c>
      <c r="Q118" s="33" t="s">
        <v>1796</v>
      </c>
    </row>
    <row r="119" spans="1:17">
      <c r="A119" s="33" t="s">
        <v>2277</v>
      </c>
      <c r="B119" s="33" t="s">
        <v>2278</v>
      </c>
      <c r="C119" s="33" t="s">
        <v>1831</v>
      </c>
      <c r="D119" s="33" t="s">
        <v>41</v>
      </c>
      <c r="E119" s="33" t="s">
        <v>1786</v>
      </c>
      <c r="F119" s="33" t="s">
        <v>1787</v>
      </c>
      <c r="G119" s="33" t="s">
        <v>1872</v>
      </c>
      <c r="H119" s="33" t="s">
        <v>2243</v>
      </c>
      <c r="I119" s="33" t="s">
        <v>2243</v>
      </c>
      <c r="J119" s="33" t="s">
        <v>2279</v>
      </c>
      <c r="K119" s="33" t="s">
        <v>1791</v>
      </c>
      <c r="L119" s="33" t="s">
        <v>2211</v>
      </c>
      <c r="M119" s="33" t="s">
        <v>1849</v>
      </c>
      <c r="N119" s="33" t="s">
        <v>1827</v>
      </c>
      <c r="O119" s="33" t="s">
        <v>2280</v>
      </c>
      <c r="P119" s="33" t="s">
        <v>1795</v>
      </c>
      <c r="Q119" s="33" t="s">
        <v>1796</v>
      </c>
    </row>
    <row r="120" spans="1:17">
      <c r="A120" s="33" t="s">
        <v>2281</v>
      </c>
      <c r="B120" s="33" t="s">
        <v>2282</v>
      </c>
      <c r="C120" s="33" t="s">
        <v>2147</v>
      </c>
      <c r="D120" s="33" t="s">
        <v>41</v>
      </c>
      <c r="E120" s="33" t="s">
        <v>1786</v>
      </c>
      <c r="F120" s="33" t="s">
        <v>1787</v>
      </c>
      <c r="G120" s="33" t="s">
        <v>62</v>
      </c>
      <c r="H120" s="33" t="s">
        <v>2243</v>
      </c>
      <c r="I120" s="33" t="s">
        <v>2243</v>
      </c>
      <c r="J120" s="33" t="s">
        <v>2283</v>
      </c>
      <c r="K120" s="33" t="s">
        <v>1791</v>
      </c>
      <c r="L120" s="33" t="s">
        <v>2000</v>
      </c>
      <c r="M120" s="33" t="s">
        <v>1811</v>
      </c>
      <c r="N120" s="33" t="s">
        <v>2284</v>
      </c>
      <c r="O120" s="33" t="s">
        <v>2285</v>
      </c>
      <c r="P120" s="33" t="s">
        <v>1795</v>
      </c>
      <c r="Q120" s="33" t="s">
        <v>1796</v>
      </c>
    </row>
    <row r="121" spans="1:17">
      <c r="A121" s="33" t="s">
        <v>2286</v>
      </c>
      <c r="B121" s="33" t="s">
        <v>2287</v>
      </c>
      <c r="C121" s="33" t="s">
        <v>2147</v>
      </c>
      <c r="D121" s="33" t="s">
        <v>41</v>
      </c>
      <c r="E121" s="33" t="s">
        <v>1786</v>
      </c>
      <c r="F121" s="33" t="s">
        <v>1787</v>
      </c>
      <c r="G121" s="33" t="s">
        <v>62</v>
      </c>
      <c r="H121" s="33" t="s">
        <v>2243</v>
      </c>
      <c r="I121" s="33" t="s">
        <v>2243</v>
      </c>
      <c r="J121" s="33" t="s">
        <v>2288</v>
      </c>
      <c r="K121" s="33" t="s">
        <v>1791</v>
      </c>
      <c r="L121" s="33" t="s">
        <v>2000</v>
      </c>
      <c r="M121" s="33" t="s">
        <v>1811</v>
      </c>
      <c r="N121" s="33" t="s">
        <v>2284</v>
      </c>
      <c r="O121" s="33" t="s">
        <v>2285</v>
      </c>
      <c r="P121" s="33" t="s">
        <v>1795</v>
      </c>
      <c r="Q121" s="33" t="s">
        <v>1796</v>
      </c>
    </row>
    <row r="122" spans="1:17">
      <c r="A122" s="33" t="s">
        <v>2289</v>
      </c>
      <c r="B122" s="33" t="s">
        <v>2290</v>
      </c>
      <c r="C122" s="33" t="s">
        <v>2147</v>
      </c>
      <c r="D122" s="33" t="s">
        <v>41</v>
      </c>
      <c r="E122" s="33" t="s">
        <v>1786</v>
      </c>
      <c r="F122" s="33" t="s">
        <v>1787</v>
      </c>
      <c r="G122" s="33" t="s">
        <v>62</v>
      </c>
      <c r="H122" s="33" t="s">
        <v>2243</v>
      </c>
      <c r="I122" s="33" t="s">
        <v>2243</v>
      </c>
      <c r="J122" s="33" t="s">
        <v>2291</v>
      </c>
      <c r="K122" s="33" t="s">
        <v>1791</v>
      </c>
      <c r="L122" s="33" t="s">
        <v>2000</v>
      </c>
      <c r="M122" s="33" t="s">
        <v>1863</v>
      </c>
      <c r="N122" s="33" t="s">
        <v>2284</v>
      </c>
      <c r="O122" s="33" t="s">
        <v>2285</v>
      </c>
      <c r="P122" s="33" t="s">
        <v>1795</v>
      </c>
      <c r="Q122" s="33" t="s">
        <v>1796</v>
      </c>
    </row>
    <row r="123" spans="1:17">
      <c r="A123" s="33" t="s">
        <v>2292</v>
      </c>
      <c r="B123" s="33" t="s">
        <v>2293</v>
      </c>
      <c r="C123" s="33" t="s">
        <v>2147</v>
      </c>
      <c r="D123" s="33" t="s">
        <v>41</v>
      </c>
      <c r="E123" s="33" t="s">
        <v>1786</v>
      </c>
      <c r="F123" s="33" t="s">
        <v>1787</v>
      </c>
      <c r="G123" s="33" t="s">
        <v>62</v>
      </c>
      <c r="H123" s="33" t="s">
        <v>2243</v>
      </c>
      <c r="I123" s="33" t="s">
        <v>2243</v>
      </c>
      <c r="J123" s="33" t="s">
        <v>2294</v>
      </c>
      <c r="K123" s="33" t="s">
        <v>1791</v>
      </c>
      <c r="L123" s="33" t="s">
        <v>2000</v>
      </c>
      <c r="M123" s="33" t="s">
        <v>1894</v>
      </c>
      <c r="N123" s="33" t="s">
        <v>2284</v>
      </c>
      <c r="O123" s="33" t="s">
        <v>2285</v>
      </c>
      <c r="P123" s="33" t="s">
        <v>1795</v>
      </c>
      <c r="Q123" s="33" t="s">
        <v>1796</v>
      </c>
    </row>
    <row r="124" spans="1:17">
      <c r="A124" s="33" t="s">
        <v>2292</v>
      </c>
      <c r="B124" s="33" t="s">
        <v>2295</v>
      </c>
      <c r="C124" s="33" t="s">
        <v>2147</v>
      </c>
      <c r="D124" s="33" t="s">
        <v>41</v>
      </c>
      <c r="E124" s="33" t="s">
        <v>1786</v>
      </c>
      <c r="F124" s="33" t="s">
        <v>1787</v>
      </c>
      <c r="G124" s="33" t="s">
        <v>62</v>
      </c>
      <c r="H124" s="33" t="s">
        <v>2243</v>
      </c>
      <c r="I124" s="33" t="s">
        <v>2243</v>
      </c>
      <c r="J124" s="33" t="s">
        <v>2294</v>
      </c>
      <c r="K124" s="33" t="s">
        <v>1791</v>
      </c>
      <c r="L124" s="33" t="s">
        <v>2000</v>
      </c>
      <c r="M124" s="33" t="s">
        <v>196</v>
      </c>
      <c r="N124" s="33" t="s">
        <v>2284</v>
      </c>
      <c r="O124" s="33" t="s">
        <v>2285</v>
      </c>
      <c r="P124" s="33" t="s">
        <v>1795</v>
      </c>
      <c r="Q124" s="33" t="s">
        <v>1796</v>
      </c>
    </row>
    <row r="125" spans="1:17" hidden="1">
      <c r="A125" s="33" t="s">
        <v>2296</v>
      </c>
      <c r="B125" s="33" t="s">
        <v>2297</v>
      </c>
      <c r="C125" s="33" t="s">
        <v>2147</v>
      </c>
      <c r="D125" s="33" t="s">
        <v>41</v>
      </c>
      <c r="E125" s="33" t="s">
        <v>1836</v>
      </c>
      <c r="F125" s="33" t="s">
        <v>1787</v>
      </c>
      <c r="G125" s="33" t="s">
        <v>62</v>
      </c>
      <c r="H125" s="33" t="s">
        <v>2243</v>
      </c>
      <c r="I125" s="33" t="s">
        <v>2243</v>
      </c>
      <c r="J125" s="33" t="s">
        <v>2298</v>
      </c>
      <c r="K125" s="33" t="s">
        <v>1791</v>
      </c>
      <c r="L125" s="33" t="s">
        <v>2000</v>
      </c>
      <c r="M125" s="33" t="s">
        <v>196</v>
      </c>
      <c r="N125" s="33" t="s">
        <v>2284</v>
      </c>
      <c r="O125" s="33" t="s">
        <v>2285</v>
      </c>
      <c r="P125" s="33" t="s">
        <v>1764</v>
      </c>
      <c r="Q125" s="33" t="s">
        <v>1796</v>
      </c>
    </row>
    <row r="126" spans="1:17">
      <c r="A126" s="33" t="s">
        <v>2299</v>
      </c>
      <c r="B126" s="33" t="s">
        <v>2300</v>
      </c>
      <c r="C126" s="33" t="s">
        <v>2147</v>
      </c>
      <c r="D126" s="33" t="s">
        <v>41</v>
      </c>
      <c r="E126" s="33" t="s">
        <v>1786</v>
      </c>
      <c r="F126" s="33" t="s">
        <v>1787</v>
      </c>
      <c r="G126" s="33" t="s">
        <v>62</v>
      </c>
      <c r="H126" s="33" t="s">
        <v>2243</v>
      </c>
      <c r="I126" s="33" t="s">
        <v>2243</v>
      </c>
      <c r="J126" s="33" t="s">
        <v>2301</v>
      </c>
      <c r="K126" s="33" t="s">
        <v>1791</v>
      </c>
      <c r="L126" s="33" t="s">
        <v>2000</v>
      </c>
      <c r="M126" s="33" t="s">
        <v>1827</v>
      </c>
      <c r="N126" s="33" t="s">
        <v>2284</v>
      </c>
      <c r="O126" s="33" t="s">
        <v>2285</v>
      </c>
      <c r="P126" s="33" t="s">
        <v>1795</v>
      </c>
      <c r="Q126" s="33" t="s">
        <v>1796</v>
      </c>
    </row>
    <row r="127" spans="1:17">
      <c r="A127" s="33" t="s">
        <v>2302</v>
      </c>
      <c r="B127" s="33" t="s">
        <v>2303</v>
      </c>
      <c r="C127" s="33" t="s">
        <v>2147</v>
      </c>
      <c r="D127" s="33" t="s">
        <v>41</v>
      </c>
      <c r="E127" s="33" t="s">
        <v>1786</v>
      </c>
      <c r="F127" s="33" t="s">
        <v>1787</v>
      </c>
      <c r="G127" s="33" t="s">
        <v>62</v>
      </c>
      <c r="H127" s="33" t="s">
        <v>2243</v>
      </c>
      <c r="I127" s="33" t="s">
        <v>2243</v>
      </c>
      <c r="J127" s="33" t="s">
        <v>2304</v>
      </c>
      <c r="K127" s="33" t="s">
        <v>1791</v>
      </c>
      <c r="L127" s="33" t="s">
        <v>2000</v>
      </c>
      <c r="M127" s="33" t="s">
        <v>1827</v>
      </c>
      <c r="N127" s="33" t="s">
        <v>2284</v>
      </c>
      <c r="O127" s="33" t="s">
        <v>2285</v>
      </c>
      <c r="P127" s="33" t="s">
        <v>1795</v>
      </c>
      <c r="Q127" s="33" t="s">
        <v>1796</v>
      </c>
    </row>
    <row r="128" spans="1:17">
      <c r="A128" s="33" t="s">
        <v>2305</v>
      </c>
      <c r="B128" s="33" t="s">
        <v>2306</v>
      </c>
      <c r="C128" s="33" t="s">
        <v>2147</v>
      </c>
      <c r="D128" s="33" t="s">
        <v>41</v>
      </c>
      <c r="E128" s="33" t="s">
        <v>1786</v>
      </c>
      <c r="F128" s="33" t="s">
        <v>1787</v>
      </c>
      <c r="G128" s="33" t="s">
        <v>62</v>
      </c>
      <c r="H128" s="33" t="s">
        <v>2243</v>
      </c>
      <c r="I128" s="33" t="s">
        <v>2243</v>
      </c>
      <c r="J128" s="33" t="s">
        <v>2307</v>
      </c>
      <c r="K128" s="33" t="s">
        <v>1791</v>
      </c>
      <c r="L128" s="33" t="s">
        <v>2000</v>
      </c>
      <c r="M128" s="33" t="s">
        <v>80</v>
      </c>
      <c r="N128" s="33" t="s">
        <v>2284</v>
      </c>
      <c r="O128" s="33" t="s">
        <v>2285</v>
      </c>
      <c r="P128" s="33" t="s">
        <v>1795</v>
      </c>
      <c r="Q128" s="33" t="s">
        <v>1796</v>
      </c>
    </row>
    <row r="129" spans="1:17">
      <c r="A129" s="33" t="s">
        <v>2308</v>
      </c>
      <c r="B129" s="33" t="s">
        <v>2309</v>
      </c>
      <c r="C129" s="33" t="s">
        <v>2273</v>
      </c>
      <c r="D129" s="33" t="s">
        <v>41</v>
      </c>
      <c r="E129" s="33" t="s">
        <v>1786</v>
      </c>
      <c r="F129" s="33" t="s">
        <v>1787</v>
      </c>
      <c r="G129" s="33" t="s">
        <v>2274</v>
      </c>
      <c r="H129" s="33" t="s">
        <v>2243</v>
      </c>
      <c r="I129" s="33" t="s">
        <v>2243</v>
      </c>
      <c r="J129" s="33" t="s">
        <v>2310</v>
      </c>
      <c r="K129" s="33" t="s">
        <v>1791</v>
      </c>
      <c r="L129" s="33" t="s">
        <v>2000</v>
      </c>
      <c r="M129" s="33" t="s">
        <v>1811</v>
      </c>
      <c r="N129" s="33" t="s">
        <v>1811</v>
      </c>
      <c r="O129" s="33" t="s">
        <v>2311</v>
      </c>
      <c r="P129" s="33" t="s">
        <v>2312</v>
      </c>
      <c r="Q129" s="33" t="s">
        <v>1796</v>
      </c>
    </row>
    <row r="130" spans="1:17">
      <c r="A130" s="33" t="s">
        <v>2313</v>
      </c>
      <c r="B130" s="33" t="s">
        <v>2314</v>
      </c>
      <c r="C130" s="33" t="s">
        <v>2273</v>
      </c>
      <c r="D130" s="33" t="s">
        <v>41</v>
      </c>
      <c r="E130" s="33" t="s">
        <v>1786</v>
      </c>
      <c r="F130" s="33" t="s">
        <v>1787</v>
      </c>
      <c r="G130" s="33" t="s">
        <v>2274</v>
      </c>
      <c r="H130" s="33" t="s">
        <v>2243</v>
      </c>
      <c r="I130" s="33" t="s">
        <v>2243</v>
      </c>
      <c r="J130" s="33" t="s">
        <v>2315</v>
      </c>
      <c r="K130" s="33" t="s">
        <v>1791</v>
      </c>
      <c r="L130" s="33" t="s">
        <v>2000</v>
      </c>
      <c r="M130" s="33" t="s">
        <v>1811</v>
      </c>
      <c r="N130" s="33" t="s">
        <v>1811</v>
      </c>
      <c r="O130" s="33" t="s">
        <v>2316</v>
      </c>
      <c r="P130" s="33" t="s">
        <v>1795</v>
      </c>
      <c r="Q130" s="33" t="s">
        <v>1796</v>
      </c>
    </row>
    <row r="131" spans="1:17">
      <c r="A131" s="33" t="s">
        <v>2317</v>
      </c>
      <c r="B131" s="33" t="s">
        <v>2318</v>
      </c>
      <c r="C131" s="33" t="s">
        <v>2273</v>
      </c>
      <c r="D131" s="33" t="s">
        <v>41</v>
      </c>
      <c r="E131" s="33" t="s">
        <v>1786</v>
      </c>
      <c r="F131" s="33" t="s">
        <v>1787</v>
      </c>
      <c r="G131" s="33" t="s">
        <v>2274</v>
      </c>
      <c r="H131" s="33" t="s">
        <v>2243</v>
      </c>
      <c r="I131" s="33" t="s">
        <v>2243</v>
      </c>
      <c r="J131" s="33" t="s">
        <v>2319</v>
      </c>
      <c r="K131" s="33" t="s">
        <v>1791</v>
      </c>
      <c r="L131" s="33" t="s">
        <v>2000</v>
      </c>
      <c r="M131" s="33" t="s">
        <v>93</v>
      </c>
      <c r="N131" s="33" t="s">
        <v>1811</v>
      </c>
      <c r="O131" s="33" t="s">
        <v>2320</v>
      </c>
      <c r="P131" s="33" t="s">
        <v>2321</v>
      </c>
      <c r="Q131" s="33" t="s">
        <v>1796</v>
      </c>
    </row>
    <row r="132" spans="1:17">
      <c r="A132" s="33" t="s">
        <v>2322</v>
      </c>
      <c r="B132" s="33" t="s">
        <v>2323</v>
      </c>
      <c r="C132" s="33" t="s">
        <v>1819</v>
      </c>
      <c r="D132" s="33" t="s">
        <v>41</v>
      </c>
      <c r="E132" s="33" t="s">
        <v>1786</v>
      </c>
      <c r="F132" s="33" t="s">
        <v>1815</v>
      </c>
      <c r="G132" s="33" t="s">
        <v>2324</v>
      </c>
      <c r="H132" s="33" t="s">
        <v>2243</v>
      </c>
      <c r="I132" s="33" t="s">
        <v>2243</v>
      </c>
      <c r="J132" s="33" t="s">
        <v>2325</v>
      </c>
      <c r="K132" s="33" t="s">
        <v>1791</v>
      </c>
      <c r="L132" s="33" t="s">
        <v>2000</v>
      </c>
      <c r="M132" s="33" t="s">
        <v>1838</v>
      </c>
      <c r="N132" s="33" t="s">
        <v>1078</v>
      </c>
      <c r="O132" s="33" t="s">
        <v>2326</v>
      </c>
      <c r="P132" s="33" t="s">
        <v>1795</v>
      </c>
      <c r="Q132" s="33" t="s">
        <v>1796</v>
      </c>
    </row>
    <row r="133" spans="1:17">
      <c r="A133" s="33" t="s">
        <v>2327</v>
      </c>
      <c r="B133" s="33" t="s">
        <v>2328</v>
      </c>
      <c r="C133" s="33" t="s">
        <v>1831</v>
      </c>
      <c r="D133" s="33" t="s">
        <v>41</v>
      </c>
      <c r="E133" s="33" t="s">
        <v>1786</v>
      </c>
      <c r="F133" s="33" t="s">
        <v>1856</v>
      </c>
      <c r="G133" s="33" t="s">
        <v>1861</v>
      </c>
      <c r="H133" s="33" t="s">
        <v>2243</v>
      </c>
      <c r="I133" s="33" t="s">
        <v>2243</v>
      </c>
      <c r="J133" s="33" t="s">
        <v>2329</v>
      </c>
      <c r="K133" s="33" t="s">
        <v>1791</v>
      </c>
      <c r="L133" s="33" t="s">
        <v>2000</v>
      </c>
      <c r="M133" s="33" t="s">
        <v>1863</v>
      </c>
      <c r="N133" s="33" t="s">
        <v>1839</v>
      </c>
      <c r="O133" s="33" t="s">
        <v>2330</v>
      </c>
      <c r="P133" s="33" t="s">
        <v>1804</v>
      </c>
      <c r="Q133" s="33" t="s">
        <v>1796</v>
      </c>
    </row>
    <row r="134" spans="1:17">
      <c r="A134" s="33" t="s">
        <v>2331</v>
      </c>
      <c r="B134" s="33" t="s">
        <v>2332</v>
      </c>
      <c r="C134" s="33" t="s">
        <v>2147</v>
      </c>
      <c r="D134" s="33" t="s">
        <v>41</v>
      </c>
      <c r="E134" s="33" t="s">
        <v>1786</v>
      </c>
      <c r="F134" s="33" t="s">
        <v>1787</v>
      </c>
      <c r="G134" s="33" t="s">
        <v>2333</v>
      </c>
      <c r="H134" s="33" t="s">
        <v>2243</v>
      </c>
      <c r="I134" s="33" t="s">
        <v>2243</v>
      </c>
      <c r="J134" s="33" t="s">
        <v>2334</v>
      </c>
      <c r="K134" s="33" t="s">
        <v>1791</v>
      </c>
      <c r="L134" s="33" t="s">
        <v>2211</v>
      </c>
      <c r="M134" s="33" t="s">
        <v>82</v>
      </c>
      <c r="N134" s="33" t="s">
        <v>1849</v>
      </c>
      <c r="O134" s="33" t="s">
        <v>1983</v>
      </c>
      <c r="P134" s="33" t="s">
        <v>1795</v>
      </c>
      <c r="Q134" s="33" t="s">
        <v>1796</v>
      </c>
    </row>
    <row r="135" spans="1:17">
      <c r="A135" s="33" t="s">
        <v>2335</v>
      </c>
      <c r="B135" s="33" t="s">
        <v>2336</v>
      </c>
      <c r="C135" s="33" t="s">
        <v>1819</v>
      </c>
      <c r="D135" s="33" t="s">
        <v>41</v>
      </c>
      <c r="E135" s="33" t="s">
        <v>1786</v>
      </c>
      <c r="F135" s="33" t="s">
        <v>1856</v>
      </c>
      <c r="G135" s="33" t="s">
        <v>1986</v>
      </c>
      <c r="H135" s="33" t="s">
        <v>2337</v>
      </c>
      <c r="I135" s="33" t="s">
        <v>2337</v>
      </c>
      <c r="J135" s="33" t="s">
        <v>2338</v>
      </c>
      <c r="K135" s="33" t="s">
        <v>1791</v>
      </c>
      <c r="L135" s="33" t="s">
        <v>2000</v>
      </c>
      <c r="M135" s="33" t="s">
        <v>1811</v>
      </c>
      <c r="N135" s="33" t="s">
        <v>1078</v>
      </c>
      <c r="O135" s="33" t="s">
        <v>2339</v>
      </c>
      <c r="P135" s="33" t="s">
        <v>1795</v>
      </c>
      <c r="Q135" s="33" t="s">
        <v>1796</v>
      </c>
    </row>
    <row r="136" spans="1:17">
      <c r="A136" s="33" t="s">
        <v>2340</v>
      </c>
      <c r="B136" s="33" t="s">
        <v>2341</v>
      </c>
      <c r="C136" s="33" t="s">
        <v>1819</v>
      </c>
      <c r="D136" s="33" t="s">
        <v>41</v>
      </c>
      <c r="E136" s="33" t="s">
        <v>1786</v>
      </c>
      <c r="F136" s="33" t="s">
        <v>1815</v>
      </c>
      <c r="G136" s="33" t="s">
        <v>1986</v>
      </c>
      <c r="H136" s="33" t="s">
        <v>2337</v>
      </c>
      <c r="I136" s="33" t="s">
        <v>2337</v>
      </c>
      <c r="J136" s="33" t="s">
        <v>2342</v>
      </c>
      <c r="K136" s="33" t="s">
        <v>1791</v>
      </c>
      <c r="L136" s="33" t="s">
        <v>2000</v>
      </c>
      <c r="M136" s="33" t="s">
        <v>2343</v>
      </c>
      <c r="N136" s="33" t="s">
        <v>1078</v>
      </c>
      <c r="O136" s="33" t="s">
        <v>189</v>
      </c>
      <c r="P136" s="33" t="s">
        <v>1795</v>
      </c>
      <c r="Q136" s="33" t="s">
        <v>1796</v>
      </c>
    </row>
    <row r="137" spans="1:17">
      <c r="A137" s="33" t="s">
        <v>2344</v>
      </c>
      <c r="B137" s="33" t="s">
        <v>2345</v>
      </c>
      <c r="C137" s="33" t="s">
        <v>1819</v>
      </c>
      <c r="D137" s="33" t="s">
        <v>41</v>
      </c>
      <c r="E137" s="33" t="s">
        <v>1786</v>
      </c>
      <c r="F137" s="33" t="s">
        <v>1815</v>
      </c>
      <c r="G137" s="33" t="s">
        <v>1986</v>
      </c>
      <c r="H137" s="33" t="s">
        <v>2337</v>
      </c>
      <c r="I137" s="33" t="s">
        <v>2337</v>
      </c>
      <c r="J137" s="33" t="s">
        <v>2346</v>
      </c>
      <c r="K137" s="33" t="s">
        <v>1791</v>
      </c>
      <c r="L137" s="33" t="s">
        <v>2000</v>
      </c>
      <c r="M137" s="33" t="s">
        <v>1827</v>
      </c>
      <c r="N137" s="33" t="s">
        <v>1078</v>
      </c>
      <c r="O137" s="33" t="s">
        <v>189</v>
      </c>
      <c r="P137" s="33" t="s">
        <v>1795</v>
      </c>
      <c r="Q137" s="33" t="s">
        <v>1796</v>
      </c>
    </row>
    <row r="138" spans="1:17">
      <c r="A138" s="33" t="s">
        <v>2347</v>
      </c>
      <c r="B138" s="33" t="s">
        <v>2348</v>
      </c>
      <c r="C138" s="33" t="s">
        <v>1891</v>
      </c>
      <c r="D138" s="33" t="s">
        <v>41</v>
      </c>
      <c r="E138" s="33" t="s">
        <v>1786</v>
      </c>
      <c r="F138" s="33" t="s">
        <v>1787</v>
      </c>
      <c r="G138" s="33" t="s">
        <v>2349</v>
      </c>
      <c r="H138" s="33" t="s">
        <v>2337</v>
      </c>
      <c r="I138" s="33" t="s">
        <v>2337</v>
      </c>
      <c r="J138" s="33" t="s">
        <v>2350</v>
      </c>
      <c r="K138" s="33" t="s">
        <v>1791</v>
      </c>
      <c r="L138" s="33" t="s">
        <v>2000</v>
      </c>
      <c r="M138" s="33" t="s">
        <v>1863</v>
      </c>
      <c r="N138" s="33" t="s">
        <v>43</v>
      </c>
      <c r="O138" s="33" t="s">
        <v>1930</v>
      </c>
      <c r="P138" s="33" t="s">
        <v>2023</v>
      </c>
      <c r="Q138" s="33" t="s">
        <v>1796</v>
      </c>
    </row>
    <row r="139" spans="1:17">
      <c r="A139" s="33" t="s">
        <v>2351</v>
      </c>
      <c r="B139" s="33" t="s">
        <v>2352</v>
      </c>
      <c r="C139" s="33" t="s">
        <v>1891</v>
      </c>
      <c r="D139" s="33" t="s">
        <v>41</v>
      </c>
      <c r="E139" s="33" t="s">
        <v>1786</v>
      </c>
      <c r="F139" s="33" t="s">
        <v>1787</v>
      </c>
      <c r="G139" s="33" t="s">
        <v>2349</v>
      </c>
      <c r="H139" s="33" t="s">
        <v>2337</v>
      </c>
      <c r="I139" s="33" t="s">
        <v>2337</v>
      </c>
      <c r="J139" s="33" t="s">
        <v>2353</v>
      </c>
      <c r="K139" s="33" t="s">
        <v>1791</v>
      </c>
      <c r="L139" s="33" t="s">
        <v>2000</v>
      </c>
      <c r="M139" s="33" t="s">
        <v>1863</v>
      </c>
      <c r="N139" s="33" t="s">
        <v>43</v>
      </c>
      <c r="O139" s="33" t="s">
        <v>1926</v>
      </c>
      <c r="P139" s="33" t="s">
        <v>2023</v>
      </c>
      <c r="Q139" s="33" t="s">
        <v>1796</v>
      </c>
    </row>
    <row r="140" spans="1:17">
      <c r="A140" s="33" t="s">
        <v>2354</v>
      </c>
      <c r="B140" s="33" t="s">
        <v>2355</v>
      </c>
      <c r="C140" s="33" t="s">
        <v>1891</v>
      </c>
      <c r="D140" s="33" t="s">
        <v>41</v>
      </c>
      <c r="E140" s="33" t="s">
        <v>1786</v>
      </c>
      <c r="F140" s="33" t="s">
        <v>1787</v>
      </c>
      <c r="G140" s="33" t="s">
        <v>2349</v>
      </c>
      <c r="H140" s="33" t="s">
        <v>2337</v>
      </c>
      <c r="I140" s="33" t="s">
        <v>2337</v>
      </c>
      <c r="J140" s="33" t="s">
        <v>2356</v>
      </c>
      <c r="K140" s="33" t="s">
        <v>1791</v>
      </c>
      <c r="L140" s="33" t="s">
        <v>2000</v>
      </c>
      <c r="M140" s="33" t="s">
        <v>1863</v>
      </c>
      <c r="N140" s="33" t="s">
        <v>43</v>
      </c>
      <c r="O140" s="33" t="s">
        <v>1926</v>
      </c>
      <c r="P140" s="33" t="s">
        <v>2023</v>
      </c>
      <c r="Q140" s="33" t="s">
        <v>1796</v>
      </c>
    </row>
    <row r="141" spans="1:17">
      <c r="A141" s="33" t="s">
        <v>2357</v>
      </c>
      <c r="B141" s="33" t="s">
        <v>2358</v>
      </c>
      <c r="C141" s="33" t="s">
        <v>1891</v>
      </c>
      <c r="D141" s="33" t="s">
        <v>41</v>
      </c>
      <c r="E141" s="33" t="s">
        <v>1786</v>
      </c>
      <c r="F141" s="33" t="s">
        <v>1787</v>
      </c>
      <c r="G141" s="33" t="s">
        <v>2349</v>
      </c>
      <c r="H141" s="33" t="s">
        <v>2337</v>
      </c>
      <c r="I141" s="33" t="s">
        <v>2337</v>
      </c>
      <c r="J141" s="33" t="s">
        <v>2359</v>
      </c>
      <c r="K141" s="33" t="s">
        <v>1791</v>
      </c>
      <c r="L141" s="33" t="s">
        <v>2000</v>
      </c>
      <c r="M141" s="33" t="s">
        <v>1811</v>
      </c>
      <c r="N141" s="33" t="s">
        <v>43</v>
      </c>
      <c r="O141" s="33" t="s">
        <v>2360</v>
      </c>
      <c r="P141" s="33" t="s">
        <v>2023</v>
      </c>
      <c r="Q141" s="33" t="s">
        <v>1796</v>
      </c>
    </row>
    <row r="142" spans="1:17">
      <c r="A142" s="33" t="s">
        <v>2361</v>
      </c>
      <c r="B142" s="33" t="s">
        <v>2362</v>
      </c>
      <c r="C142" s="33" t="s">
        <v>2273</v>
      </c>
      <c r="D142" s="33" t="s">
        <v>41</v>
      </c>
      <c r="E142" s="33" t="s">
        <v>1786</v>
      </c>
      <c r="F142" s="33" t="s">
        <v>1787</v>
      </c>
      <c r="G142" s="33" t="s">
        <v>2274</v>
      </c>
      <c r="H142" s="33" t="s">
        <v>2211</v>
      </c>
      <c r="I142" s="33" t="s">
        <v>2211</v>
      </c>
      <c r="J142" s="33" t="s">
        <v>2363</v>
      </c>
      <c r="K142" s="33" t="s">
        <v>1791</v>
      </c>
      <c r="L142" s="33" t="s">
        <v>2000</v>
      </c>
      <c r="M142" s="33" t="s">
        <v>1894</v>
      </c>
      <c r="N142" s="33" t="s">
        <v>1811</v>
      </c>
      <c r="O142" s="33" t="s">
        <v>2364</v>
      </c>
      <c r="P142" s="33" t="s">
        <v>1795</v>
      </c>
      <c r="Q142" s="33" t="s">
        <v>1796</v>
      </c>
    </row>
    <row r="143" spans="1:17">
      <c r="A143" s="33" t="s">
        <v>2365</v>
      </c>
      <c r="B143" s="33" t="s">
        <v>2366</v>
      </c>
      <c r="C143" s="33" t="s">
        <v>2096</v>
      </c>
      <c r="D143" s="33" t="s">
        <v>41</v>
      </c>
      <c r="E143" s="33" t="s">
        <v>1786</v>
      </c>
      <c r="F143" s="33" t="s">
        <v>1787</v>
      </c>
      <c r="G143" s="33" t="s">
        <v>2097</v>
      </c>
      <c r="H143" s="33" t="s">
        <v>2211</v>
      </c>
      <c r="I143" s="33" t="s">
        <v>2211</v>
      </c>
      <c r="J143" s="33" t="s">
        <v>2367</v>
      </c>
      <c r="K143" s="33" t="s">
        <v>1791</v>
      </c>
      <c r="L143" s="33" t="s">
        <v>2211</v>
      </c>
      <c r="M143" s="33" t="s">
        <v>1863</v>
      </c>
      <c r="N143" s="33" t="s">
        <v>1863</v>
      </c>
      <c r="O143" s="33" t="s">
        <v>1919</v>
      </c>
      <c r="P143" s="33" t="s">
        <v>1869</v>
      </c>
      <c r="Q143" s="33" t="s">
        <v>1796</v>
      </c>
    </row>
    <row r="144" spans="1:17">
      <c r="A144" s="33" t="s">
        <v>2368</v>
      </c>
      <c r="B144" s="33" t="s">
        <v>2369</v>
      </c>
      <c r="C144" s="33" t="s">
        <v>2020</v>
      </c>
      <c r="D144" s="33" t="s">
        <v>41</v>
      </c>
      <c r="E144" s="33" t="s">
        <v>1786</v>
      </c>
      <c r="F144" s="33" t="s">
        <v>1815</v>
      </c>
      <c r="G144" s="33" t="s">
        <v>79</v>
      </c>
      <c r="H144" s="33" t="s">
        <v>2370</v>
      </c>
      <c r="I144" s="33" t="s">
        <v>2370</v>
      </c>
      <c r="J144" s="33" t="s">
        <v>2371</v>
      </c>
      <c r="K144" s="33" t="s">
        <v>1791</v>
      </c>
      <c r="L144" s="33" t="s">
        <v>2000</v>
      </c>
      <c r="M144" s="33" t="s">
        <v>1811</v>
      </c>
      <c r="N144" s="33" t="s">
        <v>196</v>
      </c>
      <c r="O144" s="33" t="s">
        <v>2022</v>
      </c>
      <c r="P144" s="33" t="s">
        <v>2023</v>
      </c>
      <c r="Q144" s="33" t="s">
        <v>1796</v>
      </c>
    </row>
    <row r="145" spans="1:17" hidden="1">
      <c r="A145" s="33" t="s">
        <v>2372</v>
      </c>
      <c r="B145" s="33" t="s">
        <v>2373</v>
      </c>
      <c r="C145" s="33" t="s">
        <v>2374</v>
      </c>
      <c r="D145" s="33" t="s">
        <v>41</v>
      </c>
      <c r="E145" s="33" t="s">
        <v>1808</v>
      </c>
      <c r="F145" s="33" t="s">
        <v>1787</v>
      </c>
      <c r="G145" s="33" t="s">
        <v>2375</v>
      </c>
      <c r="H145" s="33" t="s">
        <v>2370</v>
      </c>
      <c r="I145" s="33" t="s">
        <v>2370</v>
      </c>
      <c r="J145" s="33" t="s">
        <v>2376</v>
      </c>
      <c r="K145" s="33" t="s">
        <v>1791</v>
      </c>
      <c r="L145" s="33" t="s">
        <v>2370</v>
      </c>
      <c r="M145" s="33" t="s">
        <v>2041</v>
      </c>
      <c r="N145" s="33" t="s">
        <v>1827</v>
      </c>
      <c r="O145" s="33" t="s">
        <v>2377</v>
      </c>
      <c r="P145" s="33" t="s">
        <v>1764</v>
      </c>
      <c r="Q145" s="33" t="s">
        <v>1796</v>
      </c>
    </row>
    <row r="146" spans="1:17">
      <c r="A146" s="33" t="s">
        <v>2378</v>
      </c>
      <c r="B146" s="33" t="s">
        <v>2379</v>
      </c>
      <c r="C146" s="33" t="s">
        <v>1819</v>
      </c>
      <c r="D146" s="33" t="s">
        <v>41</v>
      </c>
      <c r="E146" s="33" t="s">
        <v>1786</v>
      </c>
      <c r="F146" s="33" t="s">
        <v>1815</v>
      </c>
      <c r="G146" s="33" t="s">
        <v>1986</v>
      </c>
      <c r="H146" s="33" t="s">
        <v>2000</v>
      </c>
      <c r="I146" s="33" t="s">
        <v>2000</v>
      </c>
      <c r="J146" s="33" t="s">
        <v>2380</v>
      </c>
      <c r="K146" s="33" t="s">
        <v>1791</v>
      </c>
      <c r="L146" s="33" t="s">
        <v>2000</v>
      </c>
      <c r="M146" s="33" t="s">
        <v>1838</v>
      </c>
      <c r="N146" s="33" t="s">
        <v>1078</v>
      </c>
      <c r="O146" s="33" t="s">
        <v>2103</v>
      </c>
      <c r="P146" s="33" t="s">
        <v>1795</v>
      </c>
      <c r="Q146" s="33" t="s">
        <v>1796</v>
      </c>
    </row>
    <row r="147" spans="1:17">
      <c r="A147" s="33" t="s">
        <v>2335</v>
      </c>
      <c r="B147" s="33" t="s">
        <v>2381</v>
      </c>
      <c r="C147" s="33" t="s">
        <v>1819</v>
      </c>
      <c r="D147" s="33" t="s">
        <v>41</v>
      </c>
      <c r="E147" s="33" t="s">
        <v>1786</v>
      </c>
      <c r="F147" s="33" t="s">
        <v>1815</v>
      </c>
      <c r="G147" s="33" t="s">
        <v>1986</v>
      </c>
      <c r="H147" s="33" t="s">
        <v>2000</v>
      </c>
      <c r="I147" s="33" t="s">
        <v>2000</v>
      </c>
      <c r="J147" s="33" t="s">
        <v>2382</v>
      </c>
      <c r="K147" s="33" t="s">
        <v>1791</v>
      </c>
      <c r="L147" s="33" t="s">
        <v>2000</v>
      </c>
      <c r="M147" s="33" t="s">
        <v>1838</v>
      </c>
      <c r="N147" s="33" t="s">
        <v>1078</v>
      </c>
      <c r="O147" s="33" t="s">
        <v>2065</v>
      </c>
      <c r="P147" s="33" t="s">
        <v>1795</v>
      </c>
      <c r="Q147" s="33" t="s">
        <v>1796</v>
      </c>
    </row>
    <row r="148" spans="1:17" hidden="1">
      <c r="A148" s="33" t="s">
        <v>2383</v>
      </c>
      <c r="B148" s="33" t="s">
        <v>2384</v>
      </c>
      <c r="C148" s="33" t="s">
        <v>1819</v>
      </c>
      <c r="D148" s="33" t="s">
        <v>41</v>
      </c>
      <c r="E148" s="33" t="s">
        <v>1808</v>
      </c>
      <c r="F148" s="33" t="s">
        <v>1787</v>
      </c>
      <c r="G148" s="33" t="s">
        <v>1986</v>
      </c>
      <c r="H148" s="33" t="s">
        <v>2000</v>
      </c>
      <c r="I148" s="33" t="s">
        <v>2000</v>
      </c>
      <c r="J148" s="33" t="s">
        <v>2385</v>
      </c>
      <c r="K148" s="33" t="s">
        <v>1791</v>
      </c>
      <c r="L148" s="33" t="s">
        <v>2000</v>
      </c>
      <c r="M148" s="33" t="s">
        <v>1838</v>
      </c>
      <c r="N148" s="33" t="s">
        <v>1078</v>
      </c>
      <c r="O148" s="33" t="s">
        <v>189</v>
      </c>
      <c r="P148" s="33" t="s">
        <v>1764</v>
      </c>
      <c r="Q148" s="33" t="s">
        <v>1796</v>
      </c>
    </row>
    <row r="149" spans="1:17">
      <c r="A149" s="33" t="s">
        <v>2386</v>
      </c>
      <c r="B149" s="33" t="s">
        <v>2387</v>
      </c>
      <c r="C149" s="33" t="s">
        <v>1819</v>
      </c>
      <c r="D149" s="33" t="s">
        <v>41</v>
      </c>
      <c r="E149" s="33" t="s">
        <v>1786</v>
      </c>
      <c r="F149" s="33" t="s">
        <v>1815</v>
      </c>
      <c r="G149" s="33" t="s">
        <v>1986</v>
      </c>
      <c r="H149" s="33" t="s">
        <v>2000</v>
      </c>
      <c r="I149" s="33" t="s">
        <v>2000</v>
      </c>
      <c r="J149" s="33" t="s">
        <v>2388</v>
      </c>
      <c r="K149" s="33" t="s">
        <v>1791</v>
      </c>
      <c r="L149" s="33" t="s">
        <v>2000</v>
      </c>
      <c r="M149" s="33" t="s">
        <v>1838</v>
      </c>
      <c r="N149" s="33" t="s">
        <v>1078</v>
      </c>
      <c r="O149" s="33" t="s">
        <v>189</v>
      </c>
      <c r="P149" s="33" t="s">
        <v>1795</v>
      </c>
      <c r="Q149" s="33" t="s">
        <v>1796</v>
      </c>
    </row>
    <row r="150" spans="1:17">
      <c r="A150" s="33" t="s">
        <v>2389</v>
      </c>
      <c r="B150" s="33" t="s">
        <v>2390</v>
      </c>
      <c r="C150" s="33" t="s">
        <v>1819</v>
      </c>
      <c r="D150" s="33" t="s">
        <v>41</v>
      </c>
      <c r="E150" s="33" t="s">
        <v>1786</v>
      </c>
      <c r="F150" s="33" t="s">
        <v>1815</v>
      </c>
      <c r="G150" s="33" t="s">
        <v>1986</v>
      </c>
      <c r="H150" s="33" t="s">
        <v>2000</v>
      </c>
      <c r="I150" s="33" t="s">
        <v>2000</v>
      </c>
      <c r="J150" s="33" t="s">
        <v>2391</v>
      </c>
      <c r="K150" s="33" t="s">
        <v>1791</v>
      </c>
      <c r="L150" s="33" t="s">
        <v>2000</v>
      </c>
      <c r="M150" s="33" t="s">
        <v>1838</v>
      </c>
      <c r="N150" s="33" t="s">
        <v>1078</v>
      </c>
      <c r="O150" s="33" t="s">
        <v>189</v>
      </c>
      <c r="P150" s="33" t="s">
        <v>1795</v>
      </c>
      <c r="Q150" s="33" t="s">
        <v>1796</v>
      </c>
    </row>
    <row r="151" spans="1:17">
      <c r="A151" s="33" t="s">
        <v>2392</v>
      </c>
      <c r="B151" s="33" t="s">
        <v>2393</v>
      </c>
      <c r="C151" s="33" t="s">
        <v>1819</v>
      </c>
      <c r="D151" s="33" t="s">
        <v>41</v>
      </c>
      <c r="E151" s="33" t="s">
        <v>1786</v>
      </c>
      <c r="F151" s="33" t="s">
        <v>1815</v>
      </c>
      <c r="G151" s="33" t="s">
        <v>1986</v>
      </c>
      <c r="H151" s="33" t="s">
        <v>2000</v>
      </c>
      <c r="I151" s="33" t="s">
        <v>2000</v>
      </c>
      <c r="J151" s="33" t="s">
        <v>2394</v>
      </c>
      <c r="K151" s="33" t="s">
        <v>1791</v>
      </c>
      <c r="L151" s="33" t="s">
        <v>2000</v>
      </c>
      <c r="M151" s="33" t="s">
        <v>1838</v>
      </c>
      <c r="N151" s="33" t="s">
        <v>1078</v>
      </c>
      <c r="O151" s="33" t="s">
        <v>189</v>
      </c>
      <c r="P151" s="33" t="s">
        <v>1795</v>
      </c>
      <c r="Q151" s="33" t="s">
        <v>1796</v>
      </c>
    </row>
    <row r="152" spans="1:17">
      <c r="A152" s="33" t="s">
        <v>2395</v>
      </c>
      <c r="B152" s="33" t="s">
        <v>2396</v>
      </c>
      <c r="C152" s="33" t="s">
        <v>1819</v>
      </c>
      <c r="D152" s="33" t="s">
        <v>41</v>
      </c>
      <c r="E152" s="33" t="s">
        <v>1786</v>
      </c>
      <c r="F152" s="33" t="s">
        <v>1856</v>
      </c>
      <c r="G152" s="33" t="s">
        <v>1986</v>
      </c>
      <c r="H152" s="33" t="s">
        <v>2000</v>
      </c>
      <c r="I152" s="33" t="s">
        <v>2000</v>
      </c>
      <c r="J152" s="33" t="s">
        <v>2397</v>
      </c>
      <c r="K152" s="33" t="s">
        <v>1791</v>
      </c>
      <c r="L152" s="33" t="s">
        <v>2000</v>
      </c>
      <c r="M152" s="33" t="s">
        <v>1827</v>
      </c>
      <c r="N152" s="33" t="s">
        <v>1078</v>
      </c>
      <c r="O152" s="33" t="s">
        <v>2398</v>
      </c>
      <c r="P152" s="33" t="s">
        <v>1795</v>
      </c>
      <c r="Q152" s="33" t="s">
        <v>1796</v>
      </c>
    </row>
    <row r="153" spans="1:17">
      <c r="A153" s="33" t="s">
        <v>2399</v>
      </c>
      <c r="B153" s="33" t="s">
        <v>2400</v>
      </c>
      <c r="C153" s="33" t="s">
        <v>2096</v>
      </c>
      <c r="D153" s="33" t="s">
        <v>41</v>
      </c>
      <c r="E153" s="33" t="s">
        <v>1786</v>
      </c>
      <c r="F153" s="33" t="s">
        <v>1787</v>
      </c>
      <c r="G153" s="33" t="s">
        <v>2097</v>
      </c>
      <c r="H153" s="33" t="s">
        <v>2000</v>
      </c>
      <c r="I153" s="33" t="s">
        <v>2000</v>
      </c>
      <c r="J153" s="33" t="s">
        <v>2401</v>
      </c>
      <c r="K153" s="33" t="s">
        <v>1791</v>
      </c>
      <c r="L153" s="33" t="s">
        <v>2000</v>
      </c>
      <c r="M153" s="33" t="s">
        <v>2402</v>
      </c>
      <c r="N153" s="33" t="s">
        <v>1863</v>
      </c>
      <c r="O153" s="33" t="s">
        <v>2065</v>
      </c>
      <c r="P153" s="33" t="s">
        <v>1795</v>
      </c>
      <c r="Q153" s="33" t="s">
        <v>1796</v>
      </c>
    </row>
    <row r="154" spans="1:17">
      <c r="A154" s="33" t="s">
        <v>2403</v>
      </c>
      <c r="B154" s="33" t="s">
        <v>2404</v>
      </c>
      <c r="C154" s="33" t="s">
        <v>2096</v>
      </c>
      <c r="D154" s="33" t="s">
        <v>41</v>
      </c>
      <c r="E154" s="33" t="s">
        <v>1786</v>
      </c>
      <c r="F154" s="33" t="s">
        <v>1787</v>
      </c>
      <c r="G154" s="33" t="s">
        <v>2097</v>
      </c>
      <c r="H154" s="33" t="s">
        <v>2000</v>
      </c>
      <c r="I154" s="33" t="s">
        <v>2000</v>
      </c>
      <c r="J154" s="33" t="s">
        <v>2405</v>
      </c>
      <c r="K154" s="33" t="s">
        <v>1791</v>
      </c>
      <c r="L154" s="33" t="s">
        <v>2000</v>
      </c>
      <c r="M154" s="33" t="s">
        <v>1863</v>
      </c>
      <c r="N154" s="33" t="s">
        <v>1863</v>
      </c>
      <c r="O154" s="33" t="s">
        <v>2406</v>
      </c>
      <c r="P154" s="33" t="s">
        <v>1869</v>
      </c>
      <c r="Q154" s="33" t="s">
        <v>1796</v>
      </c>
    </row>
    <row r="155" spans="1:17">
      <c r="A155" s="33" t="s">
        <v>2407</v>
      </c>
      <c r="B155" s="33" t="s">
        <v>2408</v>
      </c>
      <c r="C155" s="33" t="s">
        <v>2096</v>
      </c>
      <c r="D155" s="33" t="s">
        <v>41</v>
      </c>
      <c r="E155" s="33" t="s">
        <v>1786</v>
      </c>
      <c r="F155" s="33" t="s">
        <v>1787</v>
      </c>
      <c r="G155" s="33" t="s">
        <v>2097</v>
      </c>
      <c r="H155" s="33" t="s">
        <v>2000</v>
      </c>
      <c r="I155" s="33" t="s">
        <v>2000</v>
      </c>
      <c r="J155" s="33" t="s">
        <v>2409</v>
      </c>
      <c r="K155" s="33" t="s">
        <v>1791</v>
      </c>
      <c r="L155" s="33" t="s">
        <v>2000</v>
      </c>
      <c r="M155" s="33" t="s">
        <v>2402</v>
      </c>
      <c r="N155" s="33" t="s">
        <v>1863</v>
      </c>
      <c r="O155" s="33" t="s">
        <v>1946</v>
      </c>
      <c r="P155" s="33" t="s">
        <v>1795</v>
      </c>
      <c r="Q155" s="33" t="s">
        <v>1796</v>
      </c>
    </row>
    <row r="156" spans="1:17">
      <c r="A156" s="33" t="s">
        <v>2410</v>
      </c>
      <c r="B156" s="33" t="s">
        <v>2411</v>
      </c>
      <c r="C156" s="33" t="s">
        <v>2096</v>
      </c>
      <c r="D156" s="33" t="s">
        <v>41</v>
      </c>
      <c r="E156" s="33" t="s">
        <v>1786</v>
      </c>
      <c r="F156" s="33" t="s">
        <v>1787</v>
      </c>
      <c r="G156" s="33" t="s">
        <v>2097</v>
      </c>
      <c r="H156" s="33" t="s">
        <v>2000</v>
      </c>
      <c r="I156" s="33" t="s">
        <v>2000</v>
      </c>
      <c r="J156" s="33" t="s">
        <v>2412</v>
      </c>
      <c r="K156" s="33" t="s">
        <v>1791</v>
      </c>
      <c r="L156" s="33" t="s">
        <v>2000</v>
      </c>
      <c r="M156" s="33" t="s">
        <v>1863</v>
      </c>
      <c r="N156" s="33" t="s">
        <v>1863</v>
      </c>
      <c r="O156" s="33" t="s">
        <v>2103</v>
      </c>
      <c r="P156" s="33" t="s">
        <v>1869</v>
      </c>
      <c r="Q156" s="33" t="s">
        <v>1796</v>
      </c>
    </row>
    <row r="157" spans="1:17">
      <c r="A157" s="33" t="s">
        <v>2413</v>
      </c>
      <c r="B157" s="33" t="s">
        <v>2414</v>
      </c>
      <c r="C157" s="33" t="s">
        <v>1819</v>
      </c>
      <c r="D157" s="33" t="s">
        <v>41</v>
      </c>
      <c r="E157" s="33" t="s">
        <v>1786</v>
      </c>
      <c r="F157" s="33" t="s">
        <v>1787</v>
      </c>
      <c r="G157" s="33" t="s">
        <v>1954</v>
      </c>
      <c r="H157" s="33" t="s">
        <v>2000</v>
      </c>
      <c r="I157" s="33" t="s">
        <v>2000</v>
      </c>
      <c r="J157" s="33" t="s">
        <v>2415</v>
      </c>
      <c r="K157" s="33" t="s">
        <v>1791</v>
      </c>
      <c r="L157" s="33" t="s">
        <v>2000</v>
      </c>
      <c r="M157" s="33" t="s">
        <v>1863</v>
      </c>
      <c r="N157" s="33" t="s">
        <v>1078</v>
      </c>
      <c r="O157" s="33" t="s">
        <v>1926</v>
      </c>
      <c r="P157" s="33" t="s">
        <v>2263</v>
      </c>
      <c r="Q157" s="33" t="s">
        <v>1796</v>
      </c>
    </row>
    <row r="158" spans="1:17">
      <c r="A158" s="33" t="s">
        <v>2416</v>
      </c>
      <c r="B158" s="33" t="s">
        <v>2417</v>
      </c>
      <c r="C158" s="33" t="s">
        <v>2020</v>
      </c>
      <c r="D158" s="33" t="s">
        <v>41</v>
      </c>
      <c r="E158" s="33" t="s">
        <v>1786</v>
      </c>
      <c r="F158" s="33" t="s">
        <v>2069</v>
      </c>
      <c r="G158" s="33" t="s">
        <v>79</v>
      </c>
      <c r="H158" s="33" t="s">
        <v>2418</v>
      </c>
      <c r="I158" s="33" t="s">
        <v>2418</v>
      </c>
      <c r="J158" s="33" t="s">
        <v>2419</v>
      </c>
      <c r="K158" s="33" t="s">
        <v>1791</v>
      </c>
      <c r="L158" s="33" t="s">
        <v>2420</v>
      </c>
      <c r="M158" s="33" t="s">
        <v>2050</v>
      </c>
      <c r="N158" s="33" t="s">
        <v>196</v>
      </c>
      <c r="O158" s="33" t="s">
        <v>1845</v>
      </c>
      <c r="P158" s="33" t="s">
        <v>1795</v>
      </c>
      <c r="Q158" s="33" t="s">
        <v>1796</v>
      </c>
    </row>
    <row r="159" spans="1:17">
      <c r="A159" s="33" t="s">
        <v>2421</v>
      </c>
      <c r="B159" s="33" t="s">
        <v>2422</v>
      </c>
      <c r="C159" s="33" t="s">
        <v>1807</v>
      </c>
      <c r="D159" s="33" t="s">
        <v>41</v>
      </c>
      <c r="E159" s="33" t="s">
        <v>1786</v>
      </c>
      <c r="F159" s="33" t="s">
        <v>1815</v>
      </c>
      <c r="G159" s="33" t="s">
        <v>94</v>
      </c>
      <c r="H159" s="33" t="s">
        <v>2418</v>
      </c>
      <c r="I159" s="33" t="s">
        <v>2418</v>
      </c>
      <c r="J159" s="33" t="s">
        <v>2423</v>
      </c>
      <c r="K159" s="33" t="s">
        <v>1791</v>
      </c>
      <c r="L159" s="33" t="s">
        <v>2420</v>
      </c>
      <c r="M159" s="33" t="s">
        <v>1811</v>
      </c>
      <c r="N159" s="33" t="s">
        <v>93</v>
      </c>
      <c r="O159" s="33" t="s">
        <v>2424</v>
      </c>
      <c r="P159" s="33" t="s">
        <v>1795</v>
      </c>
      <c r="Q159" s="33" t="s">
        <v>1796</v>
      </c>
    </row>
    <row r="160" spans="1:17">
      <c r="A160" s="33" t="s">
        <v>2425</v>
      </c>
      <c r="B160" s="33" t="s">
        <v>2426</v>
      </c>
      <c r="C160" s="33" t="s">
        <v>1831</v>
      </c>
      <c r="D160" s="33" t="s">
        <v>41</v>
      </c>
      <c r="E160" s="33" t="s">
        <v>1786</v>
      </c>
      <c r="F160" s="33" t="s">
        <v>1815</v>
      </c>
      <c r="G160" s="33" t="s">
        <v>68</v>
      </c>
      <c r="H160" s="33" t="s">
        <v>2418</v>
      </c>
      <c r="I160" s="33" t="s">
        <v>2418</v>
      </c>
      <c r="J160" s="33" t="s">
        <v>2427</v>
      </c>
      <c r="K160" s="33" t="s">
        <v>1791</v>
      </c>
      <c r="L160" s="33" t="s">
        <v>2428</v>
      </c>
      <c r="M160" s="33" t="s">
        <v>1849</v>
      </c>
      <c r="N160" s="33" t="s">
        <v>1827</v>
      </c>
      <c r="O160" s="33" t="s">
        <v>2429</v>
      </c>
      <c r="P160" s="33" t="s">
        <v>1795</v>
      </c>
      <c r="Q160" s="33" t="s">
        <v>1796</v>
      </c>
    </row>
    <row r="161" spans="1:17">
      <c r="A161" s="33" t="s">
        <v>2430</v>
      </c>
      <c r="B161" s="33" t="s">
        <v>2431</v>
      </c>
      <c r="C161" s="33" t="s">
        <v>1831</v>
      </c>
      <c r="D161" s="33" t="s">
        <v>41</v>
      </c>
      <c r="E161" s="33" t="s">
        <v>1786</v>
      </c>
      <c r="F161" s="33" t="s">
        <v>1815</v>
      </c>
      <c r="G161" s="33" t="s">
        <v>68</v>
      </c>
      <c r="H161" s="33" t="s">
        <v>2418</v>
      </c>
      <c r="I161" s="33" t="s">
        <v>2418</v>
      </c>
      <c r="J161" s="33" t="s">
        <v>2432</v>
      </c>
      <c r="K161" s="33" t="s">
        <v>1791</v>
      </c>
      <c r="L161" s="33" t="s">
        <v>2428</v>
      </c>
      <c r="M161" s="33" t="s">
        <v>1849</v>
      </c>
      <c r="N161" s="33" t="s">
        <v>1827</v>
      </c>
      <c r="O161" s="33" t="s">
        <v>2433</v>
      </c>
      <c r="P161" s="33" t="s">
        <v>1795</v>
      </c>
      <c r="Q161" s="33" t="s">
        <v>1796</v>
      </c>
    </row>
    <row r="162" spans="1:17" hidden="1">
      <c r="A162" s="33" t="s">
        <v>2434</v>
      </c>
      <c r="B162" s="33" t="s">
        <v>2435</v>
      </c>
      <c r="C162" s="33" t="s">
        <v>1819</v>
      </c>
      <c r="D162" s="33" t="s">
        <v>41</v>
      </c>
      <c r="E162" s="33" t="s">
        <v>1808</v>
      </c>
      <c r="F162" s="33" t="s">
        <v>1787</v>
      </c>
      <c r="G162" s="33" t="s">
        <v>1986</v>
      </c>
      <c r="H162" s="33" t="s">
        <v>2418</v>
      </c>
      <c r="I162" s="33" t="s">
        <v>2418</v>
      </c>
      <c r="J162" s="33" t="s">
        <v>2436</v>
      </c>
      <c r="K162" s="33" t="s">
        <v>1791</v>
      </c>
      <c r="L162" s="33" t="s">
        <v>2418</v>
      </c>
      <c r="M162" s="33" t="s">
        <v>2437</v>
      </c>
      <c r="N162" s="33" t="s">
        <v>1078</v>
      </c>
      <c r="O162" s="33" t="s">
        <v>189</v>
      </c>
      <c r="P162" s="33" t="s">
        <v>1764</v>
      </c>
      <c r="Q162" s="33" t="s">
        <v>1796</v>
      </c>
    </row>
    <row r="163" spans="1:17">
      <c r="A163" s="33" t="s">
        <v>2438</v>
      </c>
      <c r="B163" s="33" t="s">
        <v>2439</v>
      </c>
      <c r="C163" s="33" t="s">
        <v>1831</v>
      </c>
      <c r="D163" s="33" t="s">
        <v>41</v>
      </c>
      <c r="E163" s="33" t="s">
        <v>1786</v>
      </c>
      <c r="F163" s="33" t="s">
        <v>1815</v>
      </c>
      <c r="G163" s="33" t="s">
        <v>1861</v>
      </c>
      <c r="H163" s="33" t="s">
        <v>2418</v>
      </c>
      <c r="I163" s="33" t="s">
        <v>2418</v>
      </c>
      <c r="J163" s="33" t="s">
        <v>2440</v>
      </c>
      <c r="K163" s="33" t="s">
        <v>1791</v>
      </c>
      <c r="L163" s="33" t="s">
        <v>2420</v>
      </c>
      <c r="M163" s="33" t="s">
        <v>1838</v>
      </c>
      <c r="N163" s="33" t="s">
        <v>1839</v>
      </c>
      <c r="O163" s="33" t="s">
        <v>2215</v>
      </c>
      <c r="P163" s="33" t="s">
        <v>1804</v>
      </c>
      <c r="Q163" s="33" t="s">
        <v>1796</v>
      </c>
    </row>
    <row r="164" spans="1:17">
      <c r="A164" s="33" t="s">
        <v>2441</v>
      </c>
      <c r="B164" s="33" t="s">
        <v>2442</v>
      </c>
      <c r="C164" s="33" t="s">
        <v>2443</v>
      </c>
      <c r="D164" s="33" t="s">
        <v>41</v>
      </c>
      <c r="E164" s="33" t="s">
        <v>1786</v>
      </c>
      <c r="F164" s="33" t="s">
        <v>1856</v>
      </c>
      <c r="G164" s="33" t="s">
        <v>2444</v>
      </c>
      <c r="H164" s="33" t="s">
        <v>2418</v>
      </c>
      <c r="I164" s="33" t="s">
        <v>2418</v>
      </c>
      <c r="J164" s="33" t="s">
        <v>2445</v>
      </c>
      <c r="K164" s="33" t="s">
        <v>1791</v>
      </c>
      <c r="L164" s="33" t="s">
        <v>2428</v>
      </c>
      <c r="M164" s="33" t="s">
        <v>1995</v>
      </c>
      <c r="N164" s="33" t="s">
        <v>2050</v>
      </c>
      <c r="O164" s="33" t="s">
        <v>2446</v>
      </c>
      <c r="P164" s="33" t="s">
        <v>1869</v>
      </c>
      <c r="Q164" s="33" t="s">
        <v>1796</v>
      </c>
    </row>
    <row r="165" spans="1:17">
      <c r="A165" s="33" t="s">
        <v>2447</v>
      </c>
      <c r="B165" s="33" t="s">
        <v>2448</v>
      </c>
      <c r="C165" s="33" t="s">
        <v>2443</v>
      </c>
      <c r="D165" s="33" t="s">
        <v>41</v>
      </c>
      <c r="E165" s="33" t="s">
        <v>1786</v>
      </c>
      <c r="F165" s="33" t="s">
        <v>1815</v>
      </c>
      <c r="G165" s="33" t="s">
        <v>2444</v>
      </c>
      <c r="H165" s="33" t="s">
        <v>2418</v>
      </c>
      <c r="I165" s="33" t="s">
        <v>2418</v>
      </c>
      <c r="J165" s="33" t="s">
        <v>2449</v>
      </c>
      <c r="K165" s="33" t="s">
        <v>1791</v>
      </c>
      <c r="L165" s="33" t="s">
        <v>2420</v>
      </c>
      <c r="M165" s="33" t="s">
        <v>1863</v>
      </c>
      <c r="N165" s="33" t="s">
        <v>2050</v>
      </c>
      <c r="O165" s="33" t="s">
        <v>1930</v>
      </c>
      <c r="P165" s="33" t="s">
        <v>1869</v>
      </c>
      <c r="Q165" s="33" t="s">
        <v>1796</v>
      </c>
    </row>
    <row r="166" spans="1:17">
      <c r="A166" s="33" t="s">
        <v>2450</v>
      </c>
      <c r="B166" s="33" t="s">
        <v>2451</v>
      </c>
      <c r="C166" s="33" t="s">
        <v>1831</v>
      </c>
      <c r="D166" s="33" t="s">
        <v>41</v>
      </c>
      <c r="E166" s="33" t="s">
        <v>1786</v>
      </c>
      <c r="F166" s="33" t="s">
        <v>1787</v>
      </c>
      <c r="G166" s="33" t="s">
        <v>1872</v>
      </c>
      <c r="H166" s="33" t="s">
        <v>2420</v>
      </c>
      <c r="I166" s="33" t="s">
        <v>2420</v>
      </c>
      <c r="J166" s="33" t="s">
        <v>2452</v>
      </c>
      <c r="K166" s="33" t="s">
        <v>1791</v>
      </c>
      <c r="L166" s="33" t="s">
        <v>2420</v>
      </c>
      <c r="M166" s="33" t="s">
        <v>1827</v>
      </c>
      <c r="N166" s="33" t="s">
        <v>1827</v>
      </c>
      <c r="O166" s="33" t="s">
        <v>2453</v>
      </c>
      <c r="P166" s="33" t="s">
        <v>2312</v>
      </c>
      <c r="Q166" s="33" t="s">
        <v>1796</v>
      </c>
    </row>
    <row r="167" spans="1:17">
      <c r="A167" s="33" t="s">
        <v>2454</v>
      </c>
      <c r="B167" s="33" t="s">
        <v>2455</v>
      </c>
      <c r="C167" s="33" t="s">
        <v>1831</v>
      </c>
      <c r="D167" s="33" t="s">
        <v>41</v>
      </c>
      <c r="E167" s="33" t="s">
        <v>1786</v>
      </c>
      <c r="F167" s="33" t="s">
        <v>1815</v>
      </c>
      <c r="G167" s="33" t="s">
        <v>68</v>
      </c>
      <c r="H167" s="33" t="s">
        <v>2420</v>
      </c>
      <c r="I167" s="33" t="s">
        <v>2420</v>
      </c>
      <c r="J167" s="33" t="s">
        <v>2456</v>
      </c>
      <c r="K167" s="33" t="s">
        <v>1791</v>
      </c>
      <c r="L167" s="33" t="s">
        <v>2420</v>
      </c>
      <c r="M167" s="33" t="s">
        <v>1827</v>
      </c>
      <c r="N167" s="33" t="s">
        <v>1827</v>
      </c>
      <c r="O167" s="33" t="s">
        <v>2457</v>
      </c>
      <c r="P167" s="33" t="s">
        <v>2263</v>
      </c>
      <c r="Q167" s="33" t="s">
        <v>1796</v>
      </c>
    </row>
    <row r="168" spans="1:17" hidden="1">
      <c r="A168" s="33" t="s">
        <v>2458</v>
      </c>
      <c r="B168" s="33" t="s">
        <v>2459</v>
      </c>
      <c r="C168" s="33" t="s">
        <v>2096</v>
      </c>
      <c r="D168" s="33" t="s">
        <v>41</v>
      </c>
      <c r="E168" s="33" t="s">
        <v>1836</v>
      </c>
      <c r="F168" s="33" t="s">
        <v>1787</v>
      </c>
      <c r="G168" s="33" t="s">
        <v>2097</v>
      </c>
      <c r="H168" s="33" t="s">
        <v>2420</v>
      </c>
      <c r="I168" s="33" t="s">
        <v>2420</v>
      </c>
      <c r="J168" s="33" t="s">
        <v>2460</v>
      </c>
      <c r="K168" s="33" t="s">
        <v>1791</v>
      </c>
      <c r="L168" s="33" t="s">
        <v>2420</v>
      </c>
      <c r="M168" s="33" t="s">
        <v>1863</v>
      </c>
      <c r="N168" s="33" t="s">
        <v>1863</v>
      </c>
      <c r="O168" s="33" t="s">
        <v>1926</v>
      </c>
      <c r="P168" s="33" t="s">
        <v>1764</v>
      </c>
      <c r="Q168" s="33" t="s">
        <v>1796</v>
      </c>
    </row>
    <row r="169" spans="1:17">
      <c r="A169" s="33" t="s">
        <v>2461</v>
      </c>
      <c r="B169" s="33" t="s">
        <v>2462</v>
      </c>
      <c r="C169" s="33" t="s">
        <v>1831</v>
      </c>
      <c r="D169" s="33" t="s">
        <v>41</v>
      </c>
      <c r="E169" s="33" t="s">
        <v>1786</v>
      </c>
      <c r="F169" s="33" t="s">
        <v>1856</v>
      </c>
      <c r="G169" s="33" t="s">
        <v>1872</v>
      </c>
      <c r="H169" s="33" t="s">
        <v>2420</v>
      </c>
      <c r="I169" s="33" t="s">
        <v>2420</v>
      </c>
      <c r="J169" s="33" t="s">
        <v>2463</v>
      </c>
      <c r="K169" s="33" t="s">
        <v>1791</v>
      </c>
      <c r="L169" s="33" t="s">
        <v>2428</v>
      </c>
      <c r="M169" s="33" t="s">
        <v>1849</v>
      </c>
      <c r="N169" s="33" t="s">
        <v>1827</v>
      </c>
      <c r="O169" s="33" t="s">
        <v>2464</v>
      </c>
      <c r="P169" s="33" t="s">
        <v>1795</v>
      </c>
      <c r="Q169" s="33" t="s">
        <v>1796</v>
      </c>
    </row>
    <row r="170" spans="1:17">
      <c r="A170" s="33" t="s">
        <v>2465</v>
      </c>
      <c r="B170" s="33" t="s">
        <v>2466</v>
      </c>
      <c r="C170" s="33" t="s">
        <v>1819</v>
      </c>
      <c r="D170" s="33" t="s">
        <v>41</v>
      </c>
      <c r="E170" s="33" t="s">
        <v>1786</v>
      </c>
      <c r="F170" s="33" t="s">
        <v>1787</v>
      </c>
      <c r="G170" s="33" t="s">
        <v>1954</v>
      </c>
      <c r="H170" s="33" t="s">
        <v>2467</v>
      </c>
      <c r="I170" s="33" t="s">
        <v>2467</v>
      </c>
      <c r="J170" s="33" t="s">
        <v>2468</v>
      </c>
      <c r="K170" s="33" t="s">
        <v>1791</v>
      </c>
      <c r="L170" s="33" t="s">
        <v>2428</v>
      </c>
      <c r="M170" s="33" t="s">
        <v>1838</v>
      </c>
      <c r="N170" s="33" t="s">
        <v>1078</v>
      </c>
      <c r="O170" s="33" t="s">
        <v>1946</v>
      </c>
      <c r="P170" s="33" t="s">
        <v>1795</v>
      </c>
      <c r="Q170" s="33" t="s">
        <v>1796</v>
      </c>
    </row>
    <row r="171" spans="1:17" hidden="1">
      <c r="A171" s="33" t="s">
        <v>2469</v>
      </c>
      <c r="B171" s="33" t="s">
        <v>2470</v>
      </c>
      <c r="C171" s="33" t="s">
        <v>1819</v>
      </c>
      <c r="D171" s="33" t="s">
        <v>1954</v>
      </c>
      <c r="E171" s="33" t="s">
        <v>2471</v>
      </c>
      <c r="F171" s="33" t="s">
        <v>1815</v>
      </c>
      <c r="G171" s="33" t="s">
        <v>1954</v>
      </c>
      <c r="H171" s="33" t="s">
        <v>2467</v>
      </c>
      <c r="I171" s="33" t="s">
        <v>2337</v>
      </c>
      <c r="J171" s="33" t="s">
        <v>2472</v>
      </c>
      <c r="K171" s="33" t="s">
        <v>2471</v>
      </c>
      <c r="L171" s="33" t="s">
        <v>2473</v>
      </c>
      <c r="M171" s="33" t="s">
        <v>1863</v>
      </c>
      <c r="N171" s="33" t="s">
        <v>55</v>
      </c>
      <c r="O171" s="33" t="s">
        <v>1983</v>
      </c>
      <c r="P171" s="33" t="s">
        <v>1764</v>
      </c>
      <c r="Q171" s="33" t="s">
        <v>1796</v>
      </c>
    </row>
    <row r="172" spans="1:17">
      <c r="A172" s="33" t="s">
        <v>2474</v>
      </c>
      <c r="B172" s="33" t="s">
        <v>2475</v>
      </c>
      <c r="C172" s="33" t="s">
        <v>1819</v>
      </c>
      <c r="D172" s="33" t="s">
        <v>41</v>
      </c>
      <c r="E172" s="33" t="s">
        <v>1786</v>
      </c>
      <c r="F172" s="33" t="s">
        <v>1787</v>
      </c>
      <c r="G172" s="33" t="s">
        <v>1954</v>
      </c>
      <c r="H172" s="33" t="s">
        <v>2467</v>
      </c>
      <c r="I172" s="33" t="s">
        <v>2467</v>
      </c>
      <c r="J172" s="33" t="s">
        <v>2476</v>
      </c>
      <c r="K172" s="33" t="s">
        <v>1791</v>
      </c>
      <c r="L172" s="33" t="s">
        <v>2428</v>
      </c>
      <c r="M172" s="33" t="s">
        <v>1863</v>
      </c>
      <c r="N172" s="33" t="s">
        <v>1078</v>
      </c>
      <c r="O172" s="33" t="s">
        <v>1930</v>
      </c>
      <c r="P172" s="33" t="s">
        <v>1795</v>
      </c>
      <c r="Q172" s="33" t="s">
        <v>1796</v>
      </c>
    </row>
    <row r="173" spans="1:17">
      <c r="A173" s="33" t="s">
        <v>2477</v>
      </c>
      <c r="B173" s="33" t="s">
        <v>2478</v>
      </c>
      <c r="C173" s="33" t="s">
        <v>1980</v>
      </c>
      <c r="D173" s="33" t="s">
        <v>41</v>
      </c>
      <c r="E173" s="33" t="s">
        <v>1786</v>
      </c>
      <c r="F173" s="33" t="s">
        <v>1787</v>
      </c>
      <c r="G173" s="33" t="s">
        <v>1981</v>
      </c>
      <c r="H173" s="33" t="s">
        <v>2467</v>
      </c>
      <c r="I173" s="33" t="s">
        <v>2370</v>
      </c>
      <c r="J173" s="33" t="s">
        <v>2479</v>
      </c>
      <c r="K173" s="33" t="s">
        <v>1791</v>
      </c>
      <c r="L173" s="33" t="s">
        <v>2428</v>
      </c>
      <c r="M173" s="33" t="s">
        <v>2480</v>
      </c>
      <c r="N173" s="33" t="s">
        <v>1849</v>
      </c>
      <c r="O173" s="33" t="s">
        <v>2152</v>
      </c>
      <c r="P173" s="33" t="s">
        <v>1795</v>
      </c>
      <c r="Q173" s="33" t="s">
        <v>1796</v>
      </c>
    </row>
    <row r="174" spans="1:17" hidden="1">
      <c r="A174" s="33" t="s">
        <v>2481</v>
      </c>
      <c r="B174" s="33" t="s">
        <v>2482</v>
      </c>
      <c r="C174" s="33" t="s">
        <v>1980</v>
      </c>
      <c r="D174" s="33" t="s">
        <v>41</v>
      </c>
      <c r="E174" s="33" t="s">
        <v>1808</v>
      </c>
      <c r="F174" s="33" t="s">
        <v>1787</v>
      </c>
      <c r="G174" s="33" t="s">
        <v>1981</v>
      </c>
      <c r="H174" s="33" t="s">
        <v>2467</v>
      </c>
      <c r="I174" s="33" t="s">
        <v>2370</v>
      </c>
      <c r="J174" s="33" t="s">
        <v>2483</v>
      </c>
      <c r="K174" s="33" t="s">
        <v>1791</v>
      </c>
      <c r="L174" s="33" t="s">
        <v>2467</v>
      </c>
      <c r="M174" s="33" t="s">
        <v>1995</v>
      </c>
      <c r="N174" s="33" t="s">
        <v>1849</v>
      </c>
      <c r="O174" s="33" t="s">
        <v>1983</v>
      </c>
      <c r="P174" s="33" t="s">
        <v>1764</v>
      </c>
      <c r="Q174" s="33" t="s">
        <v>1796</v>
      </c>
    </row>
    <row r="175" spans="1:17">
      <c r="A175" s="33" t="s">
        <v>2484</v>
      </c>
      <c r="B175" s="33" t="s">
        <v>2485</v>
      </c>
      <c r="C175" s="33" t="s">
        <v>1819</v>
      </c>
      <c r="D175" s="33" t="s">
        <v>41</v>
      </c>
      <c r="E175" s="33" t="s">
        <v>1786</v>
      </c>
      <c r="F175" s="33" t="s">
        <v>1815</v>
      </c>
      <c r="G175" s="33" t="s">
        <v>1986</v>
      </c>
      <c r="H175" s="33" t="s">
        <v>2467</v>
      </c>
      <c r="I175" s="33" t="s">
        <v>2467</v>
      </c>
      <c r="J175" s="33" t="s">
        <v>2486</v>
      </c>
      <c r="K175" s="33" t="s">
        <v>1791</v>
      </c>
      <c r="L175" s="33" t="s">
        <v>2428</v>
      </c>
      <c r="M175" s="33" t="s">
        <v>1811</v>
      </c>
      <c r="N175" s="33" t="s">
        <v>1078</v>
      </c>
      <c r="O175" s="33" t="s">
        <v>2487</v>
      </c>
      <c r="P175" s="33" t="s">
        <v>1795</v>
      </c>
      <c r="Q175" s="33" t="s">
        <v>1796</v>
      </c>
    </row>
    <row r="176" spans="1:17" hidden="1">
      <c r="A176" s="33" t="s">
        <v>2488</v>
      </c>
      <c r="B176" s="33" t="s">
        <v>2489</v>
      </c>
      <c r="C176" s="33" t="s">
        <v>1831</v>
      </c>
      <c r="D176" s="33" t="s">
        <v>41</v>
      </c>
      <c r="E176" s="33" t="s">
        <v>1836</v>
      </c>
      <c r="F176" s="33" t="s">
        <v>1815</v>
      </c>
      <c r="G176" s="33" t="s">
        <v>1998</v>
      </c>
      <c r="H176" s="33" t="s">
        <v>2467</v>
      </c>
      <c r="I176" s="33" t="s">
        <v>2418</v>
      </c>
      <c r="J176" s="33" t="s">
        <v>2490</v>
      </c>
      <c r="K176" s="33" t="s">
        <v>1791</v>
      </c>
      <c r="L176" s="33" t="s">
        <v>2473</v>
      </c>
      <c r="M176" s="33" t="s">
        <v>1827</v>
      </c>
      <c r="N176" s="33" t="s">
        <v>1849</v>
      </c>
      <c r="O176" s="33" t="s">
        <v>2491</v>
      </c>
      <c r="P176" s="33" t="s">
        <v>1764</v>
      </c>
      <c r="Q176" s="33" t="s">
        <v>1796</v>
      </c>
    </row>
    <row r="177" spans="1:17" hidden="1">
      <c r="A177" s="33" t="s">
        <v>2492</v>
      </c>
      <c r="B177" s="33" t="s">
        <v>2493</v>
      </c>
      <c r="C177" s="33" t="s">
        <v>1819</v>
      </c>
      <c r="D177" s="33" t="s">
        <v>41</v>
      </c>
      <c r="E177" s="33" t="s">
        <v>1808</v>
      </c>
      <c r="F177" s="33" t="s">
        <v>1787</v>
      </c>
      <c r="G177" s="33" t="s">
        <v>1986</v>
      </c>
      <c r="H177" s="33" t="s">
        <v>2467</v>
      </c>
      <c r="I177" s="33" t="s">
        <v>2467</v>
      </c>
      <c r="J177" s="33" t="s">
        <v>2494</v>
      </c>
      <c r="K177" s="33" t="s">
        <v>1791</v>
      </c>
      <c r="L177" s="33" t="s">
        <v>2467</v>
      </c>
      <c r="M177" s="33" t="s">
        <v>2495</v>
      </c>
      <c r="N177" s="33" t="s">
        <v>1078</v>
      </c>
      <c r="O177" s="33" t="s">
        <v>189</v>
      </c>
      <c r="P177" s="33" t="s">
        <v>1764</v>
      </c>
      <c r="Q177" s="33" t="s">
        <v>1796</v>
      </c>
    </row>
    <row r="178" spans="1:17">
      <c r="A178" s="33" t="s">
        <v>2496</v>
      </c>
      <c r="B178" s="33" t="s">
        <v>2497</v>
      </c>
      <c r="C178" s="33" t="s">
        <v>1819</v>
      </c>
      <c r="D178" s="33" t="s">
        <v>41</v>
      </c>
      <c r="E178" s="33" t="s">
        <v>1786</v>
      </c>
      <c r="F178" s="33" t="s">
        <v>1815</v>
      </c>
      <c r="G178" s="33" t="s">
        <v>1986</v>
      </c>
      <c r="H178" s="33" t="s">
        <v>2467</v>
      </c>
      <c r="I178" s="33" t="s">
        <v>2467</v>
      </c>
      <c r="J178" s="33" t="s">
        <v>2498</v>
      </c>
      <c r="K178" s="33" t="s">
        <v>1791</v>
      </c>
      <c r="L178" s="33" t="s">
        <v>2428</v>
      </c>
      <c r="M178" s="33" t="s">
        <v>1811</v>
      </c>
      <c r="N178" s="33" t="s">
        <v>1078</v>
      </c>
      <c r="O178" s="33" t="s">
        <v>2499</v>
      </c>
      <c r="P178" s="33" t="s">
        <v>1795</v>
      </c>
      <c r="Q178" s="33" t="s">
        <v>1796</v>
      </c>
    </row>
    <row r="179" spans="1:17">
      <c r="A179" s="33" t="s">
        <v>2500</v>
      </c>
      <c r="B179" s="33" t="s">
        <v>2501</v>
      </c>
      <c r="C179" s="33" t="s">
        <v>1949</v>
      </c>
      <c r="D179" s="33" t="s">
        <v>41</v>
      </c>
      <c r="E179" s="33" t="s">
        <v>1786</v>
      </c>
      <c r="F179" s="33" t="s">
        <v>1864</v>
      </c>
      <c r="G179" s="33" t="s">
        <v>67</v>
      </c>
      <c r="H179" s="33" t="s">
        <v>2467</v>
      </c>
      <c r="I179" s="33" t="s">
        <v>2370</v>
      </c>
      <c r="J179" s="33" t="s">
        <v>2502</v>
      </c>
      <c r="K179" s="33" t="s">
        <v>1791</v>
      </c>
      <c r="L179" s="33" t="s">
        <v>2503</v>
      </c>
      <c r="M179" s="33" t="s">
        <v>2045</v>
      </c>
      <c r="N179" s="33" t="s">
        <v>55</v>
      </c>
      <c r="O179" s="33" t="s">
        <v>2504</v>
      </c>
      <c r="P179" s="33" t="s">
        <v>1795</v>
      </c>
      <c r="Q179" s="33" t="s">
        <v>1796</v>
      </c>
    </row>
    <row r="180" spans="1:17">
      <c r="A180" s="33" t="s">
        <v>2505</v>
      </c>
      <c r="B180" s="33" t="s">
        <v>2506</v>
      </c>
      <c r="C180" s="33" t="s">
        <v>2096</v>
      </c>
      <c r="D180" s="33" t="s">
        <v>41</v>
      </c>
      <c r="E180" s="33" t="s">
        <v>1786</v>
      </c>
      <c r="F180" s="33" t="s">
        <v>1787</v>
      </c>
      <c r="G180" s="33" t="s">
        <v>2097</v>
      </c>
      <c r="H180" s="33" t="s">
        <v>2467</v>
      </c>
      <c r="I180" s="33" t="s">
        <v>2370</v>
      </c>
      <c r="J180" s="33" t="s">
        <v>2507</v>
      </c>
      <c r="K180" s="33" t="s">
        <v>1791</v>
      </c>
      <c r="L180" s="33" t="s">
        <v>2428</v>
      </c>
      <c r="M180" s="33" t="s">
        <v>1811</v>
      </c>
      <c r="N180" s="33" t="s">
        <v>1863</v>
      </c>
      <c r="O180" s="33" t="s">
        <v>2152</v>
      </c>
      <c r="P180" s="33" t="s">
        <v>1795</v>
      </c>
      <c r="Q180" s="33" t="s">
        <v>1796</v>
      </c>
    </row>
    <row r="181" spans="1:17" hidden="1">
      <c r="A181" s="33" t="s">
        <v>2508</v>
      </c>
      <c r="B181" s="33" t="s">
        <v>2509</v>
      </c>
      <c r="C181" s="33" t="s">
        <v>1785</v>
      </c>
      <c r="D181" s="33" t="s">
        <v>41</v>
      </c>
      <c r="E181" s="33" t="s">
        <v>1836</v>
      </c>
      <c r="F181" s="33" t="s">
        <v>1856</v>
      </c>
      <c r="G181" s="33" t="s">
        <v>1788</v>
      </c>
      <c r="H181" s="33" t="s">
        <v>2467</v>
      </c>
      <c r="I181" s="33" t="s">
        <v>2510</v>
      </c>
      <c r="J181" s="33" t="s">
        <v>2511</v>
      </c>
      <c r="K181" s="33" t="s">
        <v>1791</v>
      </c>
      <c r="L181" s="33" t="s">
        <v>2428</v>
      </c>
      <c r="M181" s="33" t="s">
        <v>1793</v>
      </c>
      <c r="N181" s="33" t="s">
        <v>1793</v>
      </c>
      <c r="O181" s="33" t="s">
        <v>1983</v>
      </c>
      <c r="P181" s="33" t="s">
        <v>1764</v>
      </c>
      <c r="Q181" s="33" t="s">
        <v>1796</v>
      </c>
    </row>
    <row r="182" spans="1:17">
      <c r="A182" s="33" t="s">
        <v>2512</v>
      </c>
      <c r="B182" s="33" t="s">
        <v>2513</v>
      </c>
      <c r="C182" s="33" t="s">
        <v>2514</v>
      </c>
      <c r="D182" s="33" t="s">
        <v>41</v>
      </c>
      <c r="E182" s="33" t="s">
        <v>1786</v>
      </c>
      <c r="F182" s="33" t="s">
        <v>1787</v>
      </c>
      <c r="G182" s="33" t="s">
        <v>81</v>
      </c>
      <c r="H182" s="33" t="s">
        <v>2467</v>
      </c>
      <c r="I182" s="33" t="s">
        <v>2467</v>
      </c>
      <c r="J182" s="33" t="s">
        <v>2515</v>
      </c>
      <c r="K182" s="33" t="s">
        <v>1791</v>
      </c>
      <c r="L182" s="33" t="s">
        <v>2503</v>
      </c>
      <c r="M182" s="33" t="s">
        <v>1811</v>
      </c>
      <c r="N182" s="33" t="s">
        <v>82</v>
      </c>
      <c r="O182" s="33" t="s">
        <v>1787</v>
      </c>
      <c r="P182" s="33" t="s">
        <v>1795</v>
      </c>
      <c r="Q182" s="33" t="s">
        <v>1796</v>
      </c>
    </row>
    <row r="183" spans="1:17">
      <c r="A183" s="33" t="s">
        <v>2516</v>
      </c>
      <c r="B183" s="33" t="s">
        <v>2517</v>
      </c>
      <c r="C183" s="33" t="s">
        <v>2026</v>
      </c>
      <c r="D183" s="33" t="s">
        <v>41</v>
      </c>
      <c r="E183" s="33" t="s">
        <v>1786</v>
      </c>
      <c r="F183" s="33" t="s">
        <v>1815</v>
      </c>
      <c r="G183" s="33" t="s">
        <v>90</v>
      </c>
      <c r="H183" s="33" t="s">
        <v>2467</v>
      </c>
      <c r="I183" s="33" t="s">
        <v>2467</v>
      </c>
      <c r="J183" s="33" t="s">
        <v>2518</v>
      </c>
      <c r="K183" s="33" t="s">
        <v>1791</v>
      </c>
      <c r="L183" s="33" t="s">
        <v>2428</v>
      </c>
      <c r="M183" s="33" t="s">
        <v>73</v>
      </c>
      <c r="N183" s="33" t="s">
        <v>1838</v>
      </c>
      <c r="O183" s="33" t="s">
        <v>1926</v>
      </c>
      <c r="P183" s="33" t="s">
        <v>1795</v>
      </c>
      <c r="Q183" s="33" t="s">
        <v>1796</v>
      </c>
    </row>
    <row r="184" spans="1:17">
      <c r="A184" s="33" t="s">
        <v>2519</v>
      </c>
      <c r="B184" s="33" t="s">
        <v>2520</v>
      </c>
      <c r="C184" s="33" t="s">
        <v>2026</v>
      </c>
      <c r="D184" s="33" t="s">
        <v>41</v>
      </c>
      <c r="E184" s="33" t="s">
        <v>1786</v>
      </c>
      <c r="F184" s="33" t="s">
        <v>1856</v>
      </c>
      <c r="G184" s="33" t="s">
        <v>90</v>
      </c>
      <c r="H184" s="33" t="s">
        <v>2521</v>
      </c>
      <c r="I184" s="33" t="s">
        <v>2521</v>
      </c>
      <c r="J184" s="33" t="s">
        <v>2522</v>
      </c>
      <c r="K184" s="33" t="s">
        <v>1791</v>
      </c>
      <c r="L184" s="33" t="s">
        <v>2428</v>
      </c>
      <c r="M184" s="33" t="s">
        <v>1838</v>
      </c>
      <c r="N184" s="33" t="s">
        <v>1838</v>
      </c>
      <c r="O184" s="33" t="s">
        <v>1923</v>
      </c>
      <c r="P184" s="33" t="s">
        <v>1795</v>
      </c>
      <c r="Q184" s="33" t="s">
        <v>1796</v>
      </c>
    </row>
    <row r="185" spans="1:17">
      <c r="A185" s="33" t="s">
        <v>2523</v>
      </c>
      <c r="B185" s="33" t="s">
        <v>2524</v>
      </c>
      <c r="C185" s="33" t="s">
        <v>2026</v>
      </c>
      <c r="D185" s="33" t="s">
        <v>41</v>
      </c>
      <c r="E185" s="33" t="s">
        <v>1786</v>
      </c>
      <c r="F185" s="33" t="s">
        <v>1787</v>
      </c>
      <c r="G185" s="33" t="s">
        <v>90</v>
      </c>
      <c r="H185" s="33" t="s">
        <v>2521</v>
      </c>
      <c r="I185" s="33" t="s">
        <v>2521</v>
      </c>
      <c r="J185" s="33" t="s">
        <v>2525</v>
      </c>
      <c r="K185" s="33" t="s">
        <v>1791</v>
      </c>
      <c r="L185" s="33" t="s">
        <v>2428</v>
      </c>
      <c r="M185" s="33" t="s">
        <v>73</v>
      </c>
      <c r="N185" s="33" t="s">
        <v>1838</v>
      </c>
      <c r="O185" s="33" t="s">
        <v>2526</v>
      </c>
      <c r="P185" s="33" t="s">
        <v>1795</v>
      </c>
      <c r="Q185" s="33" t="s">
        <v>1796</v>
      </c>
    </row>
    <row r="186" spans="1:17">
      <c r="A186" s="33" t="s">
        <v>2527</v>
      </c>
      <c r="B186" s="33" t="s">
        <v>2528</v>
      </c>
      <c r="C186" s="33" t="s">
        <v>2443</v>
      </c>
      <c r="D186" s="33" t="s">
        <v>41</v>
      </c>
      <c r="E186" s="33" t="s">
        <v>1786</v>
      </c>
      <c r="F186" s="33" t="s">
        <v>1815</v>
      </c>
      <c r="G186" s="33" t="s">
        <v>2444</v>
      </c>
      <c r="H186" s="33" t="s">
        <v>2529</v>
      </c>
      <c r="I186" s="33" t="s">
        <v>2529</v>
      </c>
      <c r="J186" s="33" t="s">
        <v>2530</v>
      </c>
      <c r="K186" s="33" t="s">
        <v>1791</v>
      </c>
      <c r="L186" s="33" t="s">
        <v>2428</v>
      </c>
      <c r="M186" s="33" t="s">
        <v>1838</v>
      </c>
      <c r="N186" s="33" t="s">
        <v>2050</v>
      </c>
      <c r="O186" s="33" t="s">
        <v>2531</v>
      </c>
      <c r="P186" s="33" t="s">
        <v>1869</v>
      </c>
      <c r="Q186" s="33" t="s">
        <v>1796</v>
      </c>
    </row>
    <row r="187" spans="1:17">
      <c r="A187" s="33" t="s">
        <v>2532</v>
      </c>
      <c r="B187" s="33" t="s">
        <v>2533</v>
      </c>
      <c r="C187" s="33" t="s">
        <v>2026</v>
      </c>
      <c r="D187" s="33" t="s">
        <v>41</v>
      </c>
      <c r="E187" s="33" t="s">
        <v>1786</v>
      </c>
      <c r="F187" s="33" t="s">
        <v>1815</v>
      </c>
      <c r="G187" s="33" t="s">
        <v>90</v>
      </c>
      <c r="H187" s="33" t="s">
        <v>2529</v>
      </c>
      <c r="I187" s="33" t="s">
        <v>2529</v>
      </c>
      <c r="J187" s="33" t="s">
        <v>2534</v>
      </c>
      <c r="K187" s="33" t="s">
        <v>1791</v>
      </c>
      <c r="L187" s="33" t="s">
        <v>2428</v>
      </c>
      <c r="M187" s="33" t="s">
        <v>2041</v>
      </c>
      <c r="N187" s="33" t="s">
        <v>1838</v>
      </c>
      <c r="O187" s="33" t="s">
        <v>1845</v>
      </c>
      <c r="P187" s="33" t="s">
        <v>1795</v>
      </c>
      <c r="Q187" s="33" t="s">
        <v>1796</v>
      </c>
    </row>
    <row r="188" spans="1:17">
      <c r="A188" s="33" t="s">
        <v>2535</v>
      </c>
      <c r="B188" s="33" t="s">
        <v>2536</v>
      </c>
      <c r="C188" s="33" t="s">
        <v>1785</v>
      </c>
      <c r="D188" s="33" t="s">
        <v>41</v>
      </c>
      <c r="E188" s="33" t="s">
        <v>1786</v>
      </c>
      <c r="F188" s="33" t="s">
        <v>1787</v>
      </c>
      <c r="G188" s="33" t="s">
        <v>2537</v>
      </c>
      <c r="H188" s="33" t="s">
        <v>2529</v>
      </c>
      <c r="I188" s="33" t="s">
        <v>2529</v>
      </c>
      <c r="J188" s="33" t="s">
        <v>2538</v>
      </c>
      <c r="K188" s="33" t="s">
        <v>1791</v>
      </c>
      <c r="L188" s="33" t="s">
        <v>2428</v>
      </c>
      <c r="M188" s="33" t="s">
        <v>1793</v>
      </c>
      <c r="N188" s="33" t="s">
        <v>1793</v>
      </c>
      <c r="O188" s="33" t="s">
        <v>1845</v>
      </c>
      <c r="P188" s="33" t="s">
        <v>2263</v>
      </c>
      <c r="Q188" s="33" t="s">
        <v>1796</v>
      </c>
    </row>
    <row r="189" spans="1:17">
      <c r="A189" s="33" t="s">
        <v>2539</v>
      </c>
      <c r="B189" s="33" t="s">
        <v>2540</v>
      </c>
      <c r="C189" s="33" t="s">
        <v>1807</v>
      </c>
      <c r="D189" s="33" t="s">
        <v>41</v>
      </c>
      <c r="E189" s="33" t="s">
        <v>1786</v>
      </c>
      <c r="F189" s="33" t="s">
        <v>1856</v>
      </c>
      <c r="G189" s="33" t="s">
        <v>94</v>
      </c>
      <c r="H189" s="33" t="s">
        <v>2541</v>
      </c>
      <c r="I189" s="33" t="s">
        <v>2541</v>
      </c>
      <c r="J189" s="33" t="s">
        <v>2542</v>
      </c>
      <c r="K189" s="33" t="s">
        <v>1791</v>
      </c>
      <c r="L189" s="33" t="s">
        <v>2428</v>
      </c>
      <c r="M189" s="33" t="s">
        <v>1811</v>
      </c>
      <c r="N189" s="33" t="s">
        <v>93</v>
      </c>
      <c r="O189" s="33" t="s">
        <v>2543</v>
      </c>
      <c r="P189" s="33" t="s">
        <v>1795</v>
      </c>
      <c r="Q189" s="33" t="s">
        <v>1796</v>
      </c>
    </row>
    <row r="190" spans="1:17">
      <c r="A190" s="33" t="s">
        <v>2544</v>
      </c>
      <c r="B190" s="33" t="s">
        <v>2545</v>
      </c>
      <c r="C190" s="33" t="s">
        <v>2026</v>
      </c>
      <c r="D190" s="33" t="s">
        <v>41</v>
      </c>
      <c r="E190" s="33" t="s">
        <v>1786</v>
      </c>
      <c r="F190" s="33" t="s">
        <v>1815</v>
      </c>
      <c r="G190" s="33" t="s">
        <v>90</v>
      </c>
      <c r="H190" s="33" t="s">
        <v>2541</v>
      </c>
      <c r="I190" s="33" t="s">
        <v>2541</v>
      </c>
      <c r="J190" s="33" t="s">
        <v>2546</v>
      </c>
      <c r="K190" s="33" t="s">
        <v>1791</v>
      </c>
      <c r="L190" s="33" t="s">
        <v>2428</v>
      </c>
      <c r="M190" s="33" t="s">
        <v>1838</v>
      </c>
      <c r="N190" s="33" t="s">
        <v>1838</v>
      </c>
      <c r="O190" s="33" t="s">
        <v>1926</v>
      </c>
      <c r="P190" s="33" t="s">
        <v>1795</v>
      </c>
      <c r="Q190" s="33" t="s">
        <v>1796</v>
      </c>
    </row>
    <row r="191" spans="1:17">
      <c r="A191" s="33" t="s">
        <v>2547</v>
      </c>
      <c r="B191" s="33" t="s">
        <v>2548</v>
      </c>
      <c r="C191" s="33" t="s">
        <v>2549</v>
      </c>
      <c r="D191" s="33" t="s">
        <v>41</v>
      </c>
      <c r="E191" s="33" t="s">
        <v>1786</v>
      </c>
      <c r="F191" s="33" t="s">
        <v>1787</v>
      </c>
      <c r="G191" s="33" t="s">
        <v>2550</v>
      </c>
      <c r="H191" s="33" t="s">
        <v>2541</v>
      </c>
      <c r="I191" s="33" t="s">
        <v>2541</v>
      </c>
      <c r="J191" s="33" t="s">
        <v>2551</v>
      </c>
      <c r="K191" s="33" t="s">
        <v>1791</v>
      </c>
      <c r="L191" s="33" t="s">
        <v>2428</v>
      </c>
      <c r="M191" s="33" t="s">
        <v>2033</v>
      </c>
      <c r="N191" s="33" t="s">
        <v>1995</v>
      </c>
      <c r="O191" s="33" t="s">
        <v>2398</v>
      </c>
      <c r="P191" s="33" t="s">
        <v>1795</v>
      </c>
      <c r="Q191" s="33" t="s">
        <v>1796</v>
      </c>
    </row>
    <row r="192" spans="1:17">
      <c r="A192" s="33" t="s">
        <v>2552</v>
      </c>
      <c r="B192" s="33" t="s">
        <v>2553</v>
      </c>
      <c r="C192" s="33" t="s">
        <v>2026</v>
      </c>
      <c r="D192" s="33" t="s">
        <v>41</v>
      </c>
      <c r="E192" s="33" t="s">
        <v>1786</v>
      </c>
      <c r="F192" s="33" t="s">
        <v>1815</v>
      </c>
      <c r="G192" s="33" t="s">
        <v>90</v>
      </c>
      <c r="H192" s="33" t="s">
        <v>2541</v>
      </c>
      <c r="I192" s="33" t="s">
        <v>2541</v>
      </c>
      <c r="J192" s="33" t="s">
        <v>2554</v>
      </c>
      <c r="K192" s="33" t="s">
        <v>1791</v>
      </c>
      <c r="L192" s="33" t="s">
        <v>2428</v>
      </c>
      <c r="M192" s="33" t="s">
        <v>73</v>
      </c>
      <c r="N192" s="33" t="s">
        <v>1838</v>
      </c>
      <c r="O192" s="33" t="s">
        <v>2103</v>
      </c>
      <c r="P192" s="33" t="s">
        <v>1795</v>
      </c>
      <c r="Q192" s="33" t="s">
        <v>1796</v>
      </c>
    </row>
    <row r="193" spans="1:17">
      <c r="A193" s="33" t="s">
        <v>2555</v>
      </c>
      <c r="B193" s="33" t="s">
        <v>2556</v>
      </c>
      <c r="C193" s="33" t="s">
        <v>1819</v>
      </c>
      <c r="D193" s="33" t="s">
        <v>41</v>
      </c>
      <c r="E193" s="33" t="s">
        <v>1786</v>
      </c>
      <c r="F193" s="33" t="s">
        <v>2069</v>
      </c>
      <c r="G193" s="33" t="s">
        <v>2324</v>
      </c>
      <c r="H193" s="33" t="s">
        <v>2541</v>
      </c>
      <c r="I193" s="33" t="s">
        <v>2541</v>
      </c>
      <c r="J193" s="33" t="s">
        <v>2557</v>
      </c>
      <c r="K193" s="33" t="s">
        <v>1791</v>
      </c>
      <c r="L193" s="33" t="s">
        <v>2428</v>
      </c>
      <c r="M193" s="33" t="s">
        <v>1838</v>
      </c>
      <c r="N193" s="33" t="s">
        <v>1078</v>
      </c>
      <c r="O193" s="33" t="s">
        <v>2558</v>
      </c>
      <c r="P193" s="33" t="s">
        <v>1795</v>
      </c>
      <c r="Q193" s="33" t="s">
        <v>1796</v>
      </c>
    </row>
    <row r="194" spans="1:17">
      <c r="A194" s="33" t="s">
        <v>2559</v>
      </c>
      <c r="B194" s="33" t="s">
        <v>2560</v>
      </c>
      <c r="C194" s="33" t="s">
        <v>1819</v>
      </c>
      <c r="D194" s="33" t="s">
        <v>41</v>
      </c>
      <c r="E194" s="33" t="s">
        <v>1786</v>
      </c>
      <c r="F194" s="33" t="s">
        <v>1787</v>
      </c>
      <c r="G194" s="33" t="s">
        <v>1820</v>
      </c>
      <c r="H194" s="33" t="s">
        <v>2541</v>
      </c>
      <c r="I194" s="33" t="s">
        <v>2541</v>
      </c>
      <c r="J194" s="33" t="s">
        <v>2561</v>
      </c>
      <c r="K194" s="33" t="s">
        <v>1791</v>
      </c>
      <c r="L194" s="33" t="s">
        <v>2428</v>
      </c>
      <c r="M194" s="33" t="s">
        <v>1811</v>
      </c>
      <c r="N194" s="33" t="s">
        <v>1078</v>
      </c>
      <c r="O194" s="33" t="s">
        <v>2562</v>
      </c>
      <c r="P194" s="33" t="s">
        <v>1804</v>
      </c>
      <c r="Q194" s="33" t="s">
        <v>1796</v>
      </c>
    </row>
    <row r="195" spans="1:17">
      <c r="A195" s="33" t="s">
        <v>2563</v>
      </c>
      <c r="B195" s="33" t="s">
        <v>2564</v>
      </c>
      <c r="C195" s="33" t="s">
        <v>1831</v>
      </c>
      <c r="D195" s="33" t="s">
        <v>41</v>
      </c>
      <c r="E195" s="33" t="s">
        <v>1786</v>
      </c>
      <c r="F195" s="33" t="s">
        <v>1787</v>
      </c>
      <c r="G195" s="33" t="s">
        <v>1872</v>
      </c>
      <c r="H195" s="33" t="s">
        <v>2541</v>
      </c>
      <c r="I195" s="33" t="s">
        <v>2541</v>
      </c>
      <c r="J195" s="33" t="s">
        <v>2565</v>
      </c>
      <c r="K195" s="33" t="s">
        <v>1791</v>
      </c>
      <c r="L195" s="33" t="s">
        <v>2428</v>
      </c>
      <c r="M195" s="33" t="s">
        <v>1849</v>
      </c>
      <c r="N195" s="33" t="s">
        <v>1827</v>
      </c>
      <c r="O195" s="33" t="s">
        <v>2566</v>
      </c>
      <c r="P195" s="33" t="s">
        <v>1795</v>
      </c>
      <c r="Q195" s="33" t="s">
        <v>1796</v>
      </c>
    </row>
    <row r="196" spans="1:17">
      <c r="A196" s="33" t="s">
        <v>2567</v>
      </c>
      <c r="B196" s="33" t="s">
        <v>2568</v>
      </c>
      <c r="C196" s="33" t="s">
        <v>1819</v>
      </c>
      <c r="D196" s="33" t="s">
        <v>41</v>
      </c>
      <c r="E196" s="33" t="s">
        <v>1786</v>
      </c>
      <c r="F196" s="33" t="s">
        <v>1815</v>
      </c>
      <c r="G196" s="33" t="s">
        <v>1954</v>
      </c>
      <c r="H196" s="33" t="s">
        <v>2569</v>
      </c>
      <c r="I196" s="33" t="s">
        <v>2569</v>
      </c>
      <c r="J196" s="33" t="s">
        <v>2570</v>
      </c>
      <c r="K196" s="33" t="s">
        <v>1791</v>
      </c>
      <c r="L196" s="33" t="s">
        <v>2428</v>
      </c>
      <c r="M196" s="33" t="s">
        <v>1863</v>
      </c>
      <c r="N196" s="33" t="s">
        <v>1078</v>
      </c>
      <c r="O196" s="33" t="s">
        <v>1845</v>
      </c>
      <c r="P196" s="33" t="s">
        <v>1795</v>
      </c>
      <c r="Q196" s="33" t="s">
        <v>1796</v>
      </c>
    </row>
    <row r="197" spans="1:17">
      <c r="A197" s="33" t="s">
        <v>2571</v>
      </c>
      <c r="B197" s="33" t="s">
        <v>2572</v>
      </c>
      <c r="C197" s="33" t="s">
        <v>1819</v>
      </c>
      <c r="D197" s="33" t="s">
        <v>41</v>
      </c>
      <c r="E197" s="33" t="s">
        <v>1786</v>
      </c>
      <c r="F197" s="33" t="s">
        <v>1815</v>
      </c>
      <c r="G197" s="33" t="s">
        <v>1954</v>
      </c>
      <c r="H197" s="33" t="s">
        <v>2569</v>
      </c>
      <c r="I197" s="33" t="s">
        <v>2569</v>
      </c>
      <c r="J197" s="33" t="s">
        <v>2573</v>
      </c>
      <c r="K197" s="33" t="s">
        <v>1791</v>
      </c>
      <c r="L197" s="33" t="s">
        <v>2428</v>
      </c>
      <c r="M197" s="33" t="s">
        <v>40</v>
      </c>
      <c r="N197" s="33" t="s">
        <v>1078</v>
      </c>
      <c r="O197" s="33" t="s">
        <v>1919</v>
      </c>
      <c r="P197" s="33" t="s">
        <v>1795</v>
      </c>
      <c r="Q197" s="33" t="s">
        <v>1796</v>
      </c>
    </row>
    <row r="198" spans="1:17">
      <c r="A198" s="33" t="s">
        <v>2574</v>
      </c>
      <c r="B198" s="33" t="s">
        <v>2575</v>
      </c>
      <c r="C198" s="33" t="s">
        <v>2443</v>
      </c>
      <c r="D198" s="33" t="s">
        <v>41</v>
      </c>
      <c r="E198" s="33" t="s">
        <v>1786</v>
      </c>
      <c r="F198" s="33" t="s">
        <v>1856</v>
      </c>
      <c r="G198" s="33" t="s">
        <v>2444</v>
      </c>
      <c r="H198" s="33" t="s">
        <v>2569</v>
      </c>
      <c r="I198" s="33" t="s">
        <v>2569</v>
      </c>
      <c r="J198" s="33" t="s">
        <v>2576</v>
      </c>
      <c r="K198" s="33" t="s">
        <v>1791</v>
      </c>
      <c r="L198" s="33" t="s">
        <v>2428</v>
      </c>
      <c r="M198" s="33" t="s">
        <v>1838</v>
      </c>
      <c r="N198" s="33" t="s">
        <v>2050</v>
      </c>
      <c r="O198" s="33" t="s">
        <v>2531</v>
      </c>
      <c r="P198" s="33" t="s">
        <v>1869</v>
      </c>
      <c r="Q198" s="33" t="s">
        <v>1796</v>
      </c>
    </row>
    <row r="199" spans="1:17">
      <c r="A199" s="33" t="s">
        <v>2577</v>
      </c>
      <c r="B199" s="33" t="s">
        <v>2578</v>
      </c>
      <c r="C199" s="33" t="s">
        <v>2443</v>
      </c>
      <c r="D199" s="33" t="s">
        <v>41</v>
      </c>
      <c r="E199" s="33" t="s">
        <v>1786</v>
      </c>
      <c r="F199" s="33" t="s">
        <v>2579</v>
      </c>
      <c r="G199" s="33" t="s">
        <v>2580</v>
      </c>
      <c r="H199" s="33" t="s">
        <v>2569</v>
      </c>
      <c r="I199" s="33" t="s">
        <v>2569</v>
      </c>
      <c r="J199" s="33" t="s">
        <v>2581</v>
      </c>
      <c r="K199" s="33" t="s">
        <v>1791</v>
      </c>
      <c r="L199" s="33" t="s">
        <v>2428</v>
      </c>
      <c r="M199" s="33" t="s">
        <v>1863</v>
      </c>
      <c r="N199" s="33" t="s">
        <v>2050</v>
      </c>
      <c r="O199" s="33" t="s">
        <v>189</v>
      </c>
      <c r="P199" s="33" t="s">
        <v>1795</v>
      </c>
      <c r="Q199" s="33" t="s">
        <v>1796</v>
      </c>
    </row>
    <row r="200" spans="1:17">
      <c r="A200" s="33" t="s">
        <v>2582</v>
      </c>
      <c r="B200" s="33" t="s">
        <v>2583</v>
      </c>
      <c r="C200" s="33" t="s">
        <v>2549</v>
      </c>
      <c r="D200" s="33" t="s">
        <v>41</v>
      </c>
      <c r="E200" s="33" t="s">
        <v>1786</v>
      </c>
      <c r="F200" s="33" t="s">
        <v>1864</v>
      </c>
      <c r="G200" s="33" t="s">
        <v>2550</v>
      </c>
      <c r="H200" s="33" t="s">
        <v>2584</v>
      </c>
      <c r="I200" s="33" t="s">
        <v>2584</v>
      </c>
      <c r="J200" s="33" t="s">
        <v>2585</v>
      </c>
      <c r="K200" s="33" t="s">
        <v>1791</v>
      </c>
      <c r="L200" s="33" t="s">
        <v>2428</v>
      </c>
      <c r="M200" s="33" t="s">
        <v>2050</v>
      </c>
      <c r="N200" s="33" t="s">
        <v>1995</v>
      </c>
      <c r="O200" s="33" t="s">
        <v>2586</v>
      </c>
      <c r="P200" s="33" t="s">
        <v>1795</v>
      </c>
      <c r="Q200" s="33" t="s">
        <v>1796</v>
      </c>
    </row>
    <row r="201" spans="1:17">
      <c r="A201" s="33" t="s">
        <v>2587</v>
      </c>
      <c r="B201" s="33" t="s">
        <v>2588</v>
      </c>
      <c r="C201" s="33" t="s">
        <v>1819</v>
      </c>
      <c r="D201" s="33" t="s">
        <v>41</v>
      </c>
      <c r="E201" s="33" t="s">
        <v>1786</v>
      </c>
      <c r="F201" s="33" t="s">
        <v>1856</v>
      </c>
      <c r="G201" s="33" t="s">
        <v>1986</v>
      </c>
      <c r="H201" s="33" t="s">
        <v>2589</v>
      </c>
      <c r="I201" s="33" t="s">
        <v>2589</v>
      </c>
      <c r="J201" s="33" t="s">
        <v>2590</v>
      </c>
      <c r="K201" s="33" t="s">
        <v>1791</v>
      </c>
      <c r="L201" s="33" t="s">
        <v>2428</v>
      </c>
      <c r="M201" s="33" t="s">
        <v>2343</v>
      </c>
      <c r="N201" s="33" t="s">
        <v>1078</v>
      </c>
      <c r="O201" s="33" t="s">
        <v>189</v>
      </c>
      <c r="P201" s="33" t="s">
        <v>1795</v>
      </c>
      <c r="Q201" s="33" t="s">
        <v>1796</v>
      </c>
    </row>
    <row r="202" spans="1:17">
      <c r="A202" s="33" t="s">
        <v>2591</v>
      </c>
      <c r="B202" s="33" t="s">
        <v>2592</v>
      </c>
      <c r="C202" s="33" t="s">
        <v>1819</v>
      </c>
      <c r="D202" s="33" t="s">
        <v>41</v>
      </c>
      <c r="E202" s="33" t="s">
        <v>1786</v>
      </c>
      <c r="F202" s="33" t="s">
        <v>1815</v>
      </c>
      <c r="G202" s="33" t="s">
        <v>1986</v>
      </c>
      <c r="H202" s="33" t="s">
        <v>2589</v>
      </c>
      <c r="I202" s="33" t="s">
        <v>2589</v>
      </c>
      <c r="J202" s="33" t="s">
        <v>2593</v>
      </c>
      <c r="K202" s="33" t="s">
        <v>1791</v>
      </c>
      <c r="L202" s="33" t="s">
        <v>2428</v>
      </c>
      <c r="M202" s="33" t="s">
        <v>1995</v>
      </c>
      <c r="N202" s="33" t="s">
        <v>1078</v>
      </c>
      <c r="O202" s="33" t="s">
        <v>189</v>
      </c>
      <c r="P202" s="33" t="s">
        <v>1795</v>
      </c>
      <c r="Q202" s="33" t="s">
        <v>1796</v>
      </c>
    </row>
    <row r="203" spans="1:17">
      <c r="A203" s="33" t="s">
        <v>2594</v>
      </c>
      <c r="B203" s="33" t="s">
        <v>2595</v>
      </c>
      <c r="C203" s="33" t="s">
        <v>1807</v>
      </c>
      <c r="D203" s="33" t="s">
        <v>41</v>
      </c>
      <c r="E203" s="33" t="s">
        <v>1786</v>
      </c>
      <c r="F203" s="33" t="s">
        <v>1787</v>
      </c>
      <c r="G203" s="33" t="s">
        <v>94</v>
      </c>
      <c r="H203" s="33" t="s">
        <v>2589</v>
      </c>
      <c r="I203" s="33" t="s">
        <v>2589</v>
      </c>
      <c r="J203" s="33" t="s">
        <v>2596</v>
      </c>
      <c r="K203" s="33" t="s">
        <v>1791</v>
      </c>
      <c r="L203" s="33" t="s">
        <v>2428</v>
      </c>
      <c r="M203" s="33" t="s">
        <v>1849</v>
      </c>
      <c r="N203" s="33" t="s">
        <v>93</v>
      </c>
      <c r="O203" s="33" t="s">
        <v>2597</v>
      </c>
      <c r="P203" s="33" t="s">
        <v>1795</v>
      </c>
      <c r="Q203" s="33" t="s">
        <v>1796</v>
      </c>
    </row>
    <row r="204" spans="1:17">
      <c r="A204" s="33" t="s">
        <v>2598</v>
      </c>
      <c r="B204" s="33" t="s">
        <v>2599</v>
      </c>
      <c r="C204" s="33" t="s">
        <v>1831</v>
      </c>
      <c r="D204" s="33" t="s">
        <v>41</v>
      </c>
      <c r="E204" s="33" t="s">
        <v>1786</v>
      </c>
      <c r="F204" s="33" t="s">
        <v>1815</v>
      </c>
      <c r="G204" s="33" t="s">
        <v>1872</v>
      </c>
      <c r="H204" s="33" t="s">
        <v>2589</v>
      </c>
      <c r="I204" s="33" t="s">
        <v>2589</v>
      </c>
      <c r="J204" s="33" t="s">
        <v>2600</v>
      </c>
      <c r="K204" s="33" t="s">
        <v>1791</v>
      </c>
      <c r="L204" s="33" t="s">
        <v>2428</v>
      </c>
      <c r="M204" s="33" t="s">
        <v>1899</v>
      </c>
      <c r="N204" s="33" t="s">
        <v>1844</v>
      </c>
      <c r="O204" s="33" t="s">
        <v>2601</v>
      </c>
      <c r="P204" s="33" t="s">
        <v>1795</v>
      </c>
      <c r="Q204" s="33" t="s">
        <v>1796</v>
      </c>
    </row>
    <row r="205" spans="1:17">
      <c r="A205" s="33" t="s">
        <v>2602</v>
      </c>
      <c r="B205" s="33" t="s">
        <v>2603</v>
      </c>
      <c r="C205" s="33" t="s">
        <v>1831</v>
      </c>
      <c r="D205" s="33" t="s">
        <v>41</v>
      </c>
      <c r="E205" s="33" t="s">
        <v>1786</v>
      </c>
      <c r="F205" s="33" t="s">
        <v>1815</v>
      </c>
      <c r="G205" s="33" t="s">
        <v>1872</v>
      </c>
      <c r="H205" s="33" t="s">
        <v>2589</v>
      </c>
      <c r="I205" s="33" t="s">
        <v>2589</v>
      </c>
      <c r="J205" s="33" t="s">
        <v>2604</v>
      </c>
      <c r="K205" s="33" t="s">
        <v>1791</v>
      </c>
      <c r="L205" s="33" t="s">
        <v>2428</v>
      </c>
      <c r="M205" s="33" t="s">
        <v>1844</v>
      </c>
      <c r="N205" s="33" t="s">
        <v>1827</v>
      </c>
      <c r="O205" s="33" t="s">
        <v>2605</v>
      </c>
      <c r="P205" s="33" t="s">
        <v>1795</v>
      </c>
      <c r="Q205" s="33" t="s">
        <v>1796</v>
      </c>
    </row>
    <row r="206" spans="1:17">
      <c r="A206" s="33" t="s">
        <v>2606</v>
      </c>
      <c r="B206" s="33" t="s">
        <v>2607</v>
      </c>
      <c r="C206" s="33" t="s">
        <v>1831</v>
      </c>
      <c r="D206" s="33" t="s">
        <v>41</v>
      </c>
      <c r="E206" s="33" t="s">
        <v>1786</v>
      </c>
      <c r="F206" s="33" t="s">
        <v>1815</v>
      </c>
      <c r="G206" s="33" t="s">
        <v>68</v>
      </c>
      <c r="H206" s="33" t="s">
        <v>2589</v>
      </c>
      <c r="I206" s="33" t="s">
        <v>2589</v>
      </c>
      <c r="J206" s="33" t="s">
        <v>2608</v>
      </c>
      <c r="K206" s="33" t="s">
        <v>1791</v>
      </c>
      <c r="L206" s="33" t="s">
        <v>2428</v>
      </c>
      <c r="M206" s="33" t="s">
        <v>2045</v>
      </c>
      <c r="N206" s="33" t="s">
        <v>1827</v>
      </c>
      <c r="O206" s="33" t="s">
        <v>2609</v>
      </c>
      <c r="P206" s="33" t="s">
        <v>1795</v>
      </c>
      <c r="Q206" s="33" t="s">
        <v>1796</v>
      </c>
    </row>
    <row r="207" spans="1:17">
      <c r="A207" s="33" t="s">
        <v>2610</v>
      </c>
      <c r="B207" s="33" t="s">
        <v>2611</v>
      </c>
      <c r="C207" s="33" t="s">
        <v>1785</v>
      </c>
      <c r="D207" s="33" t="s">
        <v>41</v>
      </c>
      <c r="E207" s="33" t="s">
        <v>1786</v>
      </c>
      <c r="F207" s="33" t="s">
        <v>1787</v>
      </c>
      <c r="G207" s="33" t="s">
        <v>1799</v>
      </c>
      <c r="H207" s="33" t="s">
        <v>2589</v>
      </c>
      <c r="I207" s="33" t="s">
        <v>2589</v>
      </c>
      <c r="J207" s="33" t="s">
        <v>2612</v>
      </c>
      <c r="K207" s="33" t="s">
        <v>1791</v>
      </c>
      <c r="L207" s="33" t="s">
        <v>2428</v>
      </c>
      <c r="M207" s="33" t="s">
        <v>80</v>
      </c>
      <c r="N207" s="33" t="s">
        <v>1793</v>
      </c>
      <c r="O207" s="33" t="s">
        <v>2613</v>
      </c>
      <c r="P207" s="33" t="s">
        <v>1795</v>
      </c>
      <c r="Q207" s="33" t="s">
        <v>1796</v>
      </c>
    </row>
    <row r="208" spans="1:17">
      <c r="A208" s="33" t="s">
        <v>2614</v>
      </c>
      <c r="B208" s="33" t="s">
        <v>2615</v>
      </c>
      <c r="C208" s="33" t="s">
        <v>1785</v>
      </c>
      <c r="D208" s="33" t="s">
        <v>41</v>
      </c>
      <c r="E208" s="33" t="s">
        <v>1786</v>
      </c>
      <c r="F208" s="33" t="s">
        <v>1815</v>
      </c>
      <c r="G208" s="33" t="s">
        <v>1799</v>
      </c>
      <c r="H208" s="33" t="s">
        <v>2589</v>
      </c>
      <c r="I208" s="33" t="s">
        <v>2589</v>
      </c>
      <c r="J208" s="33" t="s">
        <v>2616</v>
      </c>
      <c r="K208" s="33" t="s">
        <v>1791</v>
      </c>
      <c r="L208" s="33" t="s">
        <v>2428</v>
      </c>
      <c r="M208" s="33" t="s">
        <v>1793</v>
      </c>
      <c r="N208" s="33" t="s">
        <v>1793</v>
      </c>
      <c r="O208" s="33" t="s">
        <v>2617</v>
      </c>
      <c r="P208" s="33" t="s">
        <v>1795</v>
      </c>
      <c r="Q208" s="33" t="s">
        <v>1796</v>
      </c>
    </row>
    <row r="209" spans="1:17">
      <c r="A209" s="33" t="s">
        <v>2618</v>
      </c>
      <c r="B209" s="33" t="s">
        <v>2619</v>
      </c>
      <c r="C209" s="33" t="s">
        <v>1831</v>
      </c>
      <c r="D209" s="33" t="s">
        <v>41</v>
      </c>
      <c r="E209" s="33" t="s">
        <v>1786</v>
      </c>
      <c r="F209" s="33" t="s">
        <v>1815</v>
      </c>
      <c r="G209" s="33" t="s">
        <v>1872</v>
      </c>
      <c r="H209" s="33" t="s">
        <v>2589</v>
      </c>
      <c r="I209" s="33" t="s">
        <v>2589</v>
      </c>
      <c r="J209" s="33" t="s">
        <v>2620</v>
      </c>
      <c r="K209" s="33" t="s">
        <v>1791</v>
      </c>
      <c r="L209" s="33" t="s">
        <v>2428</v>
      </c>
      <c r="M209" s="33" t="s">
        <v>1849</v>
      </c>
      <c r="N209" s="33" t="s">
        <v>1844</v>
      </c>
      <c r="O209" s="33" t="s">
        <v>2621</v>
      </c>
      <c r="P209" s="33" t="s">
        <v>1795</v>
      </c>
      <c r="Q209" s="33" t="s">
        <v>1796</v>
      </c>
    </row>
    <row r="210" spans="1:17">
      <c r="A210" s="33" t="s">
        <v>2622</v>
      </c>
      <c r="B210" s="33" t="s">
        <v>2623</v>
      </c>
      <c r="C210" s="33" t="s">
        <v>2624</v>
      </c>
      <c r="D210" s="33" t="s">
        <v>41</v>
      </c>
      <c r="E210" s="33" t="s">
        <v>1786</v>
      </c>
      <c r="F210" s="33" t="s">
        <v>1787</v>
      </c>
      <c r="G210" s="33" t="s">
        <v>2375</v>
      </c>
      <c r="H210" s="33" t="s">
        <v>2625</v>
      </c>
      <c r="I210" s="33" t="s">
        <v>2625</v>
      </c>
      <c r="J210" s="33" t="s">
        <v>2626</v>
      </c>
      <c r="K210" s="33" t="s">
        <v>1791</v>
      </c>
      <c r="L210" s="33" t="s">
        <v>2428</v>
      </c>
      <c r="M210" s="33" t="s">
        <v>93</v>
      </c>
      <c r="N210" s="33" t="s">
        <v>1827</v>
      </c>
      <c r="O210" s="33" t="s">
        <v>2008</v>
      </c>
      <c r="P210" s="33" t="s">
        <v>1795</v>
      </c>
      <c r="Q210" s="33" t="s">
        <v>1796</v>
      </c>
    </row>
    <row r="211" spans="1:17">
      <c r="A211" s="33" t="s">
        <v>2627</v>
      </c>
      <c r="B211" s="33" t="s">
        <v>2628</v>
      </c>
      <c r="C211" s="33" t="s">
        <v>2624</v>
      </c>
      <c r="D211" s="33" t="s">
        <v>41</v>
      </c>
      <c r="E211" s="33" t="s">
        <v>1786</v>
      </c>
      <c r="F211" s="33" t="s">
        <v>1787</v>
      </c>
      <c r="G211" s="33" t="s">
        <v>2375</v>
      </c>
      <c r="H211" s="33" t="s">
        <v>2625</v>
      </c>
      <c r="I211" s="33" t="s">
        <v>2625</v>
      </c>
      <c r="J211" s="33" t="s">
        <v>2629</v>
      </c>
      <c r="K211" s="33" t="s">
        <v>1791</v>
      </c>
      <c r="L211" s="33" t="s">
        <v>2428</v>
      </c>
      <c r="M211" s="33" t="s">
        <v>2050</v>
      </c>
      <c r="N211" s="33" t="s">
        <v>1827</v>
      </c>
      <c r="O211" s="33" t="s">
        <v>2630</v>
      </c>
      <c r="P211" s="33" t="s">
        <v>1795</v>
      </c>
      <c r="Q211" s="33" t="s">
        <v>1796</v>
      </c>
    </row>
    <row r="212" spans="1:17">
      <c r="A212" s="33" t="s">
        <v>2631</v>
      </c>
      <c r="B212" s="33" t="s">
        <v>2632</v>
      </c>
      <c r="C212" s="33" t="s">
        <v>1785</v>
      </c>
      <c r="D212" s="33" t="s">
        <v>41</v>
      </c>
      <c r="E212" s="33" t="s">
        <v>1786</v>
      </c>
      <c r="F212" s="33" t="s">
        <v>1856</v>
      </c>
      <c r="G212" s="33" t="s">
        <v>1788</v>
      </c>
      <c r="H212" s="33" t="s">
        <v>2633</v>
      </c>
      <c r="I212" s="33" t="s">
        <v>2633</v>
      </c>
      <c r="J212" s="33" t="s">
        <v>2634</v>
      </c>
      <c r="K212" s="33" t="s">
        <v>1791</v>
      </c>
      <c r="L212" s="33" t="s">
        <v>2428</v>
      </c>
      <c r="M212" s="33" t="s">
        <v>1793</v>
      </c>
      <c r="N212" s="33" t="s">
        <v>1793</v>
      </c>
      <c r="O212" s="33" t="s">
        <v>2635</v>
      </c>
      <c r="P212" s="33" t="s">
        <v>1869</v>
      </c>
      <c r="Q212" s="33" t="s">
        <v>1796</v>
      </c>
    </row>
    <row r="213" spans="1:17">
      <c r="A213" s="33" t="s">
        <v>2636</v>
      </c>
      <c r="B213" s="33" t="s">
        <v>2637</v>
      </c>
      <c r="C213" s="33" t="s">
        <v>2026</v>
      </c>
      <c r="D213" s="33" t="s">
        <v>41</v>
      </c>
      <c r="E213" s="33" t="s">
        <v>1786</v>
      </c>
      <c r="F213" s="33" t="s">
        <v>1815</v>
      </c>
      <c r="G213" s="33" t="s">
        <v>90</v>
      </c>
      <c r="H213" s="33" t="s">
        <v>2633</v>
      </c>
      <c r="I213" s="33" t="s">
        <v>2633</v>
      </c>
      <c r="J213" s="33" t="s">
        <v>2638</v>
      </c>
      <c r="K213" s="33" t="s">
        <v>1791</v>
      </c>
      <c r="L213" s="33" t="s">
        <v>2428</v>
      </c>
      <c r="M213" s="33" t="s">
        <v>1811</v>
      </c>
      <c r="N213" s="33" t="s">
        <v>1838</v>
      </c>
      <c r="O213" s="33" t="s">
        <v>1845</v>
      </c>
      <c r="P213" s="33" t="s">
        <v>1795</v>
      </c>
      <c r="Q213" s="33" t="s">
        <v>1796</v>
      </c>
    </row>
    <row r="214" spans="1:17" hidden="1">
      <c r="A214" s="33" t="s">
        <v>2639</v>
      </c>
      <c r="B214" s="33" t="s">
        <v>2640</v>
      </c>
      <c r="C214" s="33" t="s">
        <v>2026</v>
      </c>
      <c r="D214" s="33" t="s">
        <v>41</v>
      </c>
      <c r="E214" s="33" t="s">
        <v>1836</v>
      </c>
      <c r="F214" s="33" t="s">
        <v>1815</v>
      </c>
      <c r="G214" s="33" t="s">
        <v>90</v>
      </c>
      <c r="H214" s="33" t="s">
        <v>2633</v>
      </c>
      <c r="I214" s="33" t="s">
        <v>2633</v>
      </c>
      <c r="J214" s="33" t="s">
        <v>2641</v>
      </c>
      <c r="K214" s="33" t="s">
        <v>1791</v>
      </c>
      <c r="L214" s="33" t="s">
        <v>2428</v>
      </c>
      <c r="M214" s="33" t="s">
        <v>1863</v>
      </c>
      <c r="N214" s="33" t="s">
        <v>1838</v>
      </c>
      <c r="O214" s="33" t="s">
        <v>2635</v>
      </c>
      <c r="P214" s="33" t="s">
        <v>1764</v>
      </c>
      <c r="Q214" s="33" t="s">
        <v>1796</v>
      </c>
    </row>
    <row r="215" spans="1:17">
      <c r="A215" s="33" t="s">
        <v>2642</v>
      </c>
      <c r="B215" s="33" t="s">
        <v>2643</v>
      </c>
      <c r="C215" s="33" t="s">
        <v>2026</v>
      </c>
      <c r="D215" s="33" t="s">
        <v>41</v>
      </c>
      <c r="E215" s="33" t="s">
        <v>1786</v>
      </c>
      <c r="F215" s="33" t="s">
        <v>1856</v>
      </c>
      <c r="G215" s="33" t="s">
        <v>90</v>
      </c>
      <c r="H215" s="33" t="s">
        <v>2633</v>
      </c>
      <c r="I215" s="33" t="s">
        <v>2633</v>
      </c>
      <c r="J215" s="33" t="s">
        <v>2644</v>
      </c>
      <c r="K215" s="33" t="s">
        <v>1791</v>
      </c>
      <c r="L215" s="33" t="s">
        <v>2428</v>
      </c>
      <c r="M215" s="33" t="s">
        <v>1838</v>
      </c>
      <c r="N215" s="33" t="s">
        <v>1838</v>
      </c>
      <c r="O215" s="33" t="s">
        <v>2406</v>
      </c>
      <c r="P215" s="33" t="s">
        <v>1795</v>
      </c>
      <c r="Q215" s="33" t="s">
        <v>1796</v>
      </c>
    </row>
    <row r="216" spans="1:17">
      <c r="A216" s="33" t="s">
        <v>1797</v>
      </c>
      <c r="B216" s="33" t="s">
        <v>2645</v>
      </c>
      <c r="C216" s="33" t="s">
        <v>1785</v>
      </c>
      <c r="D216" s="33" t="s">
        <v>41</v>
      </c>
      <c r="E216" s="33" t="s">
        <v>1786</v>
      </c>
      <c r="F216" s="33" t="s">
        <v>1787</v>
      </c>
      <c r="G216" s="33" t="s">
        <v>1788</v>
      </c>
      <c r="H216" s="33" t="s">
        <v>2633</v>
      </c>
      <c r="I216" s="33" t="s">
        <v>2633</v>
      </c>
      <c r="J216" s="33" t="s">
        <v>2646</v>
      </c>
      <c r="K216" s="33" t="s">
        <v>1791</v>
      </c>
      <c r="L216" s="33" t="s">
        <v>2647</v>
      </c>
      <c r="M216" s="33" t="s">
        <v>1793</v>
      </c>
      <c r="N216" s="33" t="s">
        <v>1793</v>
      </c>
      <c r="O216" s="33" t="s">
        <v>2648</v>
      </c>
      <c r="P216" s="33" t="s">
        <v>1804</v>
      </c>
      <c r="Q216" s="33" t="s">
        <v>1796</v>
      </c>
    </row>
    <row r="217" spans="1:17">
      <c r="A217" s="33" t="s">
        <v>2649</v>
      </c>
      <c r="B217" s="33" t="s">
        <v>2650</v>
      </c>
      <c r="C217" s="33" t="s">
        <v>1831</v>
      </c>
      <c r="D217" s="33" t="s">
        <v>41</v>
      </c>
      <c r="E217" s="33" t="s">
        <v>1786</v>
      </c>
      <c r="F217" s="33" t="s">
        <v>1787</v>
      </c>
      <c r="G217" s="33" t="s">
        <v>1872</v>
      </c>
      <c r="H217" s="33" t="s">
        <v>2633</v>
      </c>
      <c r="I217" s="33" t="s">
        <v>2633</v>
      </c>
      <c r="J217" s="33" t="s">
        <v>2651</v>
      </c>
      <c r="K217" s="33" t="s">
        <v>1791</v>
      </c>
      <c r="L217" s="33" t="s">
        <v>2428</v>
      </c>
      <c r="M217" s="33" t="s">
        <v>1863</v>
      </c>
      <c r="N217" s="33" t="s">
        <v>1827</v>
      </c>
      <c r="O217" s="33" t="s">
        <v>2652</v>
      </c>
      <c r="P217" s="33" t="s">
        <v>2023</v>
      </c>
      <c r="Q217" s="33" t="s">
        <v>1796</v>
      </c>
    </row>
    <row r="218" spans="1:17">
      <c r="A218" s="33" t="s">
        <v>2653</v>
      </c>
      <c r="B218" s="33" t="s">
        <v>2654</v>
      </c>
      <c r="C218" s="33" t="s">
        <v>1831</v>
      </c>
      <c r="D218" s="33" t="s">
        <v>41</v>
      </c>
      <c r="E218" s="33" t="s">
        <v>1786</v>
      </c>
      <c r="F218" s="33" t="s">
        <v>1815</v>
      </c>
      <c r="G218" s="33" t="s">
        <v>1872</v>
      </c>
      <c r="H218" s="33" t="s">
        <v>2428</v>
      </c>
      <c r="I218" s="33" t="s">
        <v>2428</v>
      </c>
      <c r="J218" s="33" t="s">
        <v>2655</v>
      </c>
      <c r="K218" s="33" t="s">
        <v>1791</v>
      </c>
      <c r="L218" s="33" t="s">
        <v>2428</v>
      </c>
      <c r="M218" s="33" t="s">
        <v>1811</v>
      </c>
      <c r="N218" s="33" t="s">
        <v>1844</v>
      </c>
      <c r="O218" s="33" t="s">
        <v>2656</v>
      </c>
      <c r="P218" s="33" t="s">
        <v>1795</v>
      </c>
      <c r="Q218" s="33" t="s">
        <v>1796</v>
      </c>
    </row>
    <row r="219" spans="1:17">
      <c r="A219" s="33" t="s">
        <v>2657</v>
      </c>
      <c r="B219" s="33" t="s">
        <v>2658</v>
      </c>
      <c r="C219" s="33" t="s">
        <v>2443</v>
      </c>
      <c r="D219" s="33" t="s">
        <v>41</v>
      </c>
      <c r="E219" s="33" t="s">
        <v>1786</v>
      </c>
      <c r="F219" s="33" t="s">
        <v>1787</v>
      </c>
      <c r="G219" s="33" t="s">
        <v>2444</v>
      </c>
      <c r="H219" s="33" t="s">
        <v>2428</v>
      </c>
      <c r="I219" s="33" t="s">
        <v>2428</v>
      </c>
      <c r="J219" s="33" t="s">
        <v>2659</v>
      </c>
      <c r="K219" s="33" t="s">
        <v>1791</v>
      </c>
      <c r="L219" s="33" t="s">
        <v>2428</v>
      </c>
      <c r="M219" s="33" t="s">
        <v>1863</v>
      </c>
      <c r="N219" s="33" t="s">
        <v>2050</v>
      </c>
      <c r="O219" s="33" t="s">
        <v>2660</v>
      </c>
      <c r="P219" s="33" t="s">
        <v>1869</v>
      </c>
      <c r="Q219" s="33" t="s">
        <v>1796</v>
      </c>
    </row>
    <row r="220" spans="1:17" hidden="1">
      <c r="A220" s="33" t="s">
        <v>2661</v>
      </c>
      <c r="B220" s="33" t="s">
        <v>2662</v>
      </c>
      <c r="C220" s="33" t="s">
        <v>1949</v>
      </c>
      <c r="D220" s="33" t="s">
        <v>41</v>
      </c>
      <c r="E220" s="33" t="s">
        <v>1836</v>
      </c>
      <c r="F220" s="33" t="s">
        <v>1864</v>
      </c>
      <c r="G220" s="33" t="s">
        <v>67</v>
      </c>
      <c r="H220" s="33" t="s">
        <v>2428</v>
      </c>
      <c r="I220" s="33" t="s">
        <v>1955</v>
      </c>
      <c r="J220" s="33" t="s">
        <v>2663</v>
      </c>
      <c r="K220" s="33" t="s">
        <v>1791</v>
      </c>
      <c r="L220" s="33" t="s">
        <v>2473</v>
      </c>
      <c r="M220" s="33" t="s">
        <v>1811</v>
      </c>
      <c r="N220" s="33" t="s">
        <v>55</v>
      </c>
      <c r="O220" s="33" t="s">
        <v>2144</v>
      </c>
      <c r="P220" s="33" t="s">
        <v>1764</v>
      </c>
      <c r="Q220" s="33" t="s">
        <v>1796</v>
      </c>
    </row>
    <row r="221" spans="1:17">
      <c r="A221" s="33" t="s">
        <v>2664</v>
      </c>
      <c r="B221" s="33" t="s">
        <v>2665</v>
      </c>
      <c r="C221" s="33" t="s">
        <v>1819</v>
      </c>
      <c r="D221" s="33" t="s">
        <v>41</v>
      </c>
      <c r="E221" s="33" t="s">
        <v>1786</v>
      </c>
      <c r="F221" s="33" t="s">
        <v>1815</v>
      </c>
      <c r="G221" s="33" t="s">
        <v>1986</v>
      </c>
      <c r="H221" s="33" t="s">
        <v>2666</v>
      </c>
      <c r="I221" s="33" t="s">
        <v>2666</v>
      </c>
      <c r="J221" s="33" t="s">
        <v>2667</v>
      </c>
      <c r="K221" s="33" t="s">
        <v>1791</v>
      </c>
      <c r="L221" s="33" t="s">
        <v>2473</v>
      </c>
      <c r="M221" s="33" t="s">
        <v>1811</v>
      </c>
      <c r="N221" s="33" t="s">
        <v>1078</v>
      </c>
      <c r="O221" s="33" t="s">
        <v>189</v>
      </c>
      <c r="P221" s="33" t="s">
        <v>1795</v>
      </c>
      <c r="Q221" s="33" t="s">
        <v>1796</v>
      </c>
    </row>
    <row r="222" spans="1:17" hidden="1">
      <c r="A222" s="33" t="s">
        <v>2668</v>
      </c>
      <c r="B222" s="33" t="s">
        <v>2669</v>
      </c>
      <c r="C222" s="33" t="s">
        <v>2374</v>
      </c>
      <c r="D222" s="33" t="s">
        <v>41</v>
      </c>
      <c r="E222" s="33" t="s">
        <v>1836</v>
      </c>
      <c r="F222" s="33" t="s">
        <v>1787</v>
      </c>
      <c r="G222" s="33" t="s">
        <v>67</v>
      </c>
      <c r="H222" s="33" t="s">
        <v>2666</v>
      </c>
      <c r="I222" s="33" t="s">
        <v>2666</v>
      </c>
      <c r="J222" s="33" t="s">
        <v>2670</v>
      </c>
      <c r="K222" s="33" t="s">
        <v>1791</v>
      </c>
      <c r="L222" s="33" t="s">
        <v>2473</v>
      </c>
      <c r="M222" s="33" t="s">
        <v>2151</v>
      </c>
      <c r="N222" s="33" t="s">
        <v>1849</v>
      </c>
      <c r="O222" s="33" t="s">
        <v>2671</v>
      </c>
      <c r="P222" s="33" t="s">
        <v>1764</v>
      </c>
      <c r="Q222" s="33" t="s">
        <v>1796</v>
      </c>
    </row>
    <row r="223" spans="1:17">
      <c r="A223" s="33" t="s">
        <v>2672</v>
      </c>
      <c r="B223" s="33" t="s">
        <v>2673</v>
      </c>
      <c r="C223" s="33" t="s">
        <v>2374</v>
      </c>
      <c r="D223" s="33" t="s">
        <v>41</v>
      </c>
      <c r="E223" s="33" t="s">
        <v>1786</v>
      </c>
      <c r="F223" s="33" t="s">
        <v>1787</v>
      </c>
      <c r="G223" s="33" t="s">
        <v>67</v>
      </c>
      <c r="H223" s="33" t="s">
        <v>2666</v>
      </c>
      <c r="I223" s="33" t="s">
        <v>2666</v>
      </c>
      <c r="J223" s="33" t="s">
        <v>2674</v>
      </c>
      <c r="K223" s="33" t="s">
        <v>1791</v>
      </c>
      <c r="L223" s="33" t="s">
        <v>2473</v>
      </c>
      <c r="M223" s="33" t="s">
        <v>1849</v>
      </c>
      <c r="N223" s="33" t="s">
        <v>1849</v>
      </c>
      <c r="O223" s="33" t="s">
        <v>2671</v>
      </c>
      <c r="P223" s="33" t="s">
        <v>1804</v>
      </c>
      <c r="Q223" s="33" t="s">
        <v>1796</v>
      </c>
    </row>
    <row r="224" spans="1:17">
      <c r="A224" s="33" t="s">
        <v>2675</v>
      </c>
      <c r="B224" s="33" t="s">
        <v>2676</v>
      </c>
      <c r="C224" s="33" t="s">
        <v>1819</v>
      </c>
      <c r="D224" s="33" t="s">
        <v>41</v>
      </c>
      <c r="E224" s="33" t="s">
        <v>1786</v>
      </c>
      <c r="F224" s="33" t="s">
        <v>1815</v>
      </c>
      <c r="G224" s="33" t="s">
        <v>1986</v>
      </c>
      <c r="H224" s="33" t="s">
        <v>2666</v>
      </c>
      <c r="I224" s="33" t="s">
        <v>2666</v>
      </c>
      <c r="J224" s="33" t="s">
        <v>2677</v>
      </c>
      <c r="K224" s="33" t="s">
        <v>1791</v>
      </c>
      <c r="L224" s="33" t="s">
        <v>2473</v>
      </c>
      <c r="M224" s="33" t="s">
        <v>1811</v>
      </c>
      <c r="N224" s="33" t="s">
        <v>1078</v>
      </c>
      <c r="O224" s="33" t="s">
        <v>189</v>
      </c>
      <c r="P224" s="33" t="s">
        <v>1795</v>
      </c>
      <c r="Q224" s="33" t="s">
        <v>1796</v>
      </c>
    </row>
    <row r="225" spans="1:17" hidden="1">
      <c r="A225" s="33" t="s">
        <v>2678</v>
      </c>
      <c r="B225" s="33" t="s">
        <v>2679</v>
      </c>
      <c r="C225" s="33" t="s">
        <v>1831</v>
      </c>
      <c r="D225" s="33" t="s">
        <v>41</v>
      </c>
      <c r="E225" s="33" t="s">
        <v>1808</v>
      </c>
      <c r="F225" s="33" t="s">
        <v>1787</v>
      </c>
      <c r="G225" s="33" t="s">
        <v>1872</v>
      </c>
      <c r="H225" s="33" t="s">
        <v>2666</v>
      </c>
      <c r="I225" s="33" t="s">
        <v>2666</v>
      </c>
      <c r="J225" s="33" t="s">
        <v>2680</v>
      </c>
      <c r="K225" s="33" t="s">
        <v>1791</v>
      </c>
      <c r="L225" s="33" t="s">
        <v>2666</v>
      </c>
      <c r="M225" s="33" t="s">
        <v>2037</v>
      </c>
      <c r="N225" s="33" t="s">
        <v>1827</v>
      </c>
      <c r="O225" s="33" t="s">
        <v>2681</v>
      </c>
      <c r="P225" s="33" t="s">
        <v>1764</v>
      </c>
      <c r="Q225" s="33" t="s">
        <v>1796</v>
      </c>
    </row>
    <row r="226" spans="1:17">
      <c r="A226" s="33" t="s">
        <v>2682</v>
      </c>
      <c r="B226" s="33" t="s">
        <v>2683</v>
      </c>
      <c r="C226" s="33" t="s">
        <v>1831</v>
      </c>
      <c r="D226" s="33" t="s">
        <v>41</v>
      </c>
      <c r="E226" s="33" t="s">
        <v>1786</v>
      </c>
      <c r="F226" s="33" t="s">
        <v>1787</v>
      </c>
      <c r="G226" s="33" t="s">
        <v>1872</v>
      </c>
      <c r="H226" s="33" t="s">
        <v>2666</v>
      </c>
      <c r="I226" s="33" t="s">
        <v>2666</v>
      </c>
      <c r="J226" s="33" t="s">
        <v>2684</v>
      </c>
      <c r="K226" s="33" t="s">
        <v>1791</v>
      </c>
      <c r="L226" s="33" t="s">
        <v>2685</v>
      </c>
      <c r="M226" s="33" t="s">
        <v>73</v>
      </c>
      <c r="N226" s="33" t="s">
        <v>1827</v>
      </c>
      <c r="O226" s="33" t="s">
        <v>2686</v>
      </c>
      <c r="P226" s="33" t="s">
        <v>1795</v>
      </c>
      <c r="Q226" s="33" t="s">
        <v>1796</v>
      </c>
    </row>
    <row r="227" spans="1:17">
      <c r="A227" s="33" t="s">
        <v>2687</v>
      </c>
      <c r="B227" s="33" t="s">
        <v>2688</v>
      </c>
      <c r="C227" s="33" t="s">
        <v>1831</v>
      </c>
      <c r="D227" s="33" t="s">
        <v>41</v>
      </c>
      <c r="E227" s="33" t="s">
        <v>1786</v>
      </c>
      <c r="F227" s="33" t="s">
        <v>1815</v>
      </c>
      <c r="G227" s="33" t="s">
        <v>1872</v>
      </c>
      <c r="H227" s="33" t="s">
        <v>2666</v>
      </c>
      <c r="I227" s="33" t="s">
        <v>2666</v>
      </c>
      <c r="J227" s="33" t="s">
        <v>2689</v>
      </c>
      <c r="K227" s="33" t="s">
        <v>1791</v>
      </c>
      <c r="L227" s="33" t="s">
        <v>2473</v>
      </c>
      <c r="M227" s="33" t="s">
        <v>1849</v>
      </c>
      <c r="N227" s="33" t="s">
        <v>1827</v>
      </c>
      <c r="O227" s="33" t="s">
        <v>2464</v>
      </c>
      <c r="P227" s="33" t="s">
        <v>1795</v>
      </c>
      <c r="Q227" s="33" t="s">
        <v>1796</v>
      </c>
    </row>
    <row r="228" spans="1:17">
      <c r="A228" s="33" t="s">
        <v>2690</v>
      </c>
      <c r="B228" s="33" t="s">
        <v>2691</v>
      </c>
      <c r="C228" s="33" t="s">
        <v>1980</v>
      </c>
      <c r="D228" s="33" t="s">
        <v>41</v>
      </c>
      <c r="E228" s="33" t="s">
        <v>1786</v>
      </c>
      <c r="F228" s="33" t="s">
        <v>1815</v>
      </c>
      <c r="G228" s="33" t="s">
        <v>1981</v>
      </c>
      <c r="H228" s="33" t="s">
        <v>2692</v>
      </c>
      <c r="I228" s="33" t="s">
        <v>2693</v>
      </c>
      <c r="J228" s="33" t="s">
        <v>2694</v>
      </c>
      <c r="K228" s="33" t="s">
        <v>1791</v>
      </c>
      <c r="L228" s="33" t="s">
        <v>2695</v>
      </c>
      <c r="M228" s="33" t="s">
        <v>82</v>
      </c>
      <c r="N228" s="33" t="s">
        <v>1849</v>
      </c>
      <c r="O228" s="33" t="s">
        <v>2696</v>
      </c>
      <c r="P228" s="33" t="s">
        <v>1795</v>
      </c>
      <c r="Q228" s="33" t="s">
        <v>1796</v>
      </c>
    </row>
    <row r="229" spans="1:17" hidden="1">
      <c r="A229" s="33" t="s">
        <v>2697</v>
      </c>
      <c r="B229" s="33" t="s">
        <v>2698</v>
      </c>
      <c r="C229" s="33" t="s">
        <v>1949</v>
      </c>
      <c r="D229" s="33" t="s">
        <v>41</v>
      </c>
      <c r="E229" s="33" t="s">
        <v>1836</v>
      </c>
      <c r="F229" s="33" t="s">
        <v>1815</v>
      </c>
      <c r="G229" s="33" t="s">
        <v>67</v>
      </c>
      <c r="H229" s="33" t="s">
        <v>2692</v>
      </c>
      <c r="I229" s="33" t="s">
        <v>2692</v>
      </c>
      <c r="J229" s="33" t="s">
        <v>2699</v>
      </c>
      <c r="K229" s="33" t="s">
        <v>1791</v>
      </c>
      <c r="L229" s="33" t="s">
        <v>2473</v>
      </c>
      <c r="M229" s="33" t="s">
        <v>1811</v>
      </c>
      <c r="N229" s="33" t="s">
        <v>55</v>
      </c>
      <c r="O229" s="33" t="s">
        <v>2700</v>
      </c>
      <c r="P229" s="33" t="s">
        <v>1764</v>
      </c>
      <c r="Q229" s="33" t="s">
        <v>1796</v>
      </c>
    </row>
    <row r="230" spans="1:17" hidden="1">
      <c r="A230" s="33" t="s">
        <v>2701</v>
      </c>
      <c r="B230" s="33" t="s">
        <v>2702</v>
      </c>
      <c r="C230" s="33" t="s">
        <v>1949</v>
      </c>
      <c r="D230" s="33" t="s">
        <v>41</v>
      </c>
      <c r="E230" s="33" t="s">
        <v>1836</v>
      </c>
      <c r="F230" s="33" t="s">
        <v>1815</v>
      </c>
      <c r="G230" s="33" t="s">
        <v>67</v>
      </c>
      <c r="H230" s="33" t="s">
        <v>2692</v>
      </c>
      <c r="I230" s="33" t="s">
        <v>2692</v>
      </c>
      <c r="J230" s="33" t="s">
        <v>2703</v>
      </c>
      <c r="K230" s="33" t="s">
        <v>1791</v>
      </c>
      <c r="L230" s="33" t="s">
        <v>2473</v>
      </c>
      <c r="M230" s="33" t="s">
        <v>55</v>
      </c>
      <c r="N230" s="33" t="s">
        <v>2704</v>
      </c>
      <c r="O230" s="33" t="s">
        <v>2705</v>
      </c>
      <c r="P230" s="33" t="s">
        <v>1764</v>
      </c>
      <c r="Q230" s="33" t="s">
        <v>1796</v>
      </c>
    </row>
    <row r="231" spans="1:17">
      <c r="A231" s="33" t="s">
        <v>2706</v>
      </c>
      <c r="B231" s="33" t="s">
        <v>2707</v>
      </c>
      <c r="C231" s="33" t="s">
        <v>1980</v>
      </c>
      <c r="D231" s="33" t="s">
        <v>41</v>
      </c>
      <c r="E231" s="33" t="s">
        <v>1786</v>
      </c>
      <c r="F231" s="33" t="s">
        <v>1815</v>
      </c>
      <c r="G231" s="33" t="s">
        <v>1981</v>
      </c>
      <c r="H231" s="33" t="s">
        <v>2692</v>
      </c>
      <c r="I231" s="33" t="s">
        <v>2693</v>
      </c>
      <c r="J231" s="33" t="s">
        <v>2708</v>
      </c>
      <c r="K231" s="33" t="s">
        <v>1791</v>
      </c>
      <c r="L231" s="33" t="s">
        <v>2473</v>
      </c>
      <c r="M231" s="33" t="s">
        <v>1827</v>
      </c>
      <c r="N231" s="33" t="s">
        <v>1849</v>
      </c>
      <c r="O231" s="33" t="s">
        <v>2709</v>
      </c>
      <c r="P231" s="33" t="s">
        <v>1795</v>
      </c>
      <c r="Q231" s="33" t="s">
        <v>1796</v>
      </c>
    </row>
    <row r="232" spans="1:17">
      <c r="A232" s="33" t="s">
        <v>2710</v>
      </c>
      <c r="B232" s="33" t="s">
        <v>2711</v>
      </c>
      <c r="C232" s="33" t="s">
        <v>2624</v>
      </c>
      <c r="D232" s="33" t="s">
        <v>41</v>
      </c>
      <c r="E232" s="33" t="s">
        <v>1786</v>
      </c>
      <c r="F232" s="33" t="s">
        <v>1787</v>
      </c>
      <c r="G232" s="33" t="s">
        <v>2375</v>
      </c>
      <c r="H232" s="33" t="s">
        <v>2692</v>
      </c>
      <c r="I232" s="33" t="s">
        <v>2692</v>
      </c>
      <c r="J232" s="33" t="s">
        <v>2712</v>
      </c>
      <c r="K232" s="33" t="s">
        <v>1791</v>
      </c>
      <c r="L232" s="33" t="s">
        <v>2473</v>
      </c>
      <c r="M232" s="33" t="s">
        <v>1827</v>
      </c>
      <c r="N232" s="33" t="s">
        <v>1827</v>
      </c>
      <c r="O232" s="33" t="s">
        <v>2713</v>
      </c>
      <c r="P232" s="33" t="s">
        <v>1804</v>
      </c>
      <c r="Q232" s="33" t="s">
        <v>1796</v>
      </c>
    </row>
    <row r="233" spans="1:17">
      <c r="A233" s="33" t="s">
        <v>2714</v>
      </c>
      <c r="B233" s="33" t="s">
        <v>2715</v>
      </c>
      <c r="C233" s="33" t="s">
        <v>2096</v>
      </c>
      <c r="D233" s="33" t="s">
        <v>41</v>
      </c>
      <c r="E233" s="33" t="s">
        <v>1786</v>
      </c>
      <c r="F233" s="33" t="s">
        <v>1787</v>
      </c>
      <c r="G233" s="33" t="s">
        <v>2716</v>
      </c>
      <c r="H233" s="33" t="s">
        <v>2692</v>
      </c>
      <c r="I233" s="33" t="s">
        <v>2692</v>
      </c>
      <c r="J233" s="33" t="s">
        <v>2717</v>
      </c>
      <c r="K233" s="33" t="s">
        <v>1791</v>
      </c>
      <c r="L233" s="33" t="s">
        <v>2473</v>
      </c>
      <c r="M233" s="33" t="s">
        <v>1838</v>
      </c>
      <c r="N233" s="33" t="s">
        <v>1863</v>
      </c>
      <c r="O233" s="33" t="s">
        <v>2406</v>
      </c>
      <c r="P233" s="33" t="s">
        <v>1795</v>
      </c>
      <c r="Q233" s="33" t="s">
        <v>1796</v>
      </c>
    </row>
    <row r="234" spans="1:17">
      <c r="A234" s="33" t="s">
        <v>2718</v>
      </c>
      <c r="B234" s="33" t="s">
        <v>2719</v>
      </c>
      <c r="C234" s="33" t="s">
        <v>2096</v>
      </c>
      <c r="D234" s="33" t="s">
        <v>41</v>
      </c>
      <c r="E234" s="33" t="s">
        <v>1786</v>
      </c>
      <c r="F234" s="33" t="s">
        <v>1787</v>
      </c>
      <c r="G234" s="33" t="s">
        <v>2097</v>
      </c>
      <c r="H234" s="33" t="s">
        <v>2692</v>
      </c>
      <c r="I234" s="33" t="s">
        <v>2692</v>
      </c>
      <c r="J234" s="33" t="s">
        <v>2720</v>
      </c>
      <c r="K234" s="33" t="s">
        <v>1791</v>
      </c>
      <c r="L234" s="33" t="s">
        <v>2473</v>
      </c>
      <c r="M234" s="33" t="s">
        <v>1863</v>
      </c>
      <c r="N234" s="33" t="s">
        <v>1863</v>
      </c>
      <c r="O234" s="33" t="s">
        <v>1923</v>
      </c>
      <c r="P234" s="33" t="s">
        <v>1869</v>
      </c>
      <c r="Q234" s="33" t="s">
        <v>1796</v>
      </c>
    </row>
    <row r="235" spans="1:17">
      <c r="A235" s="33" t="s">
        <v>2721</v>
      </c>
      <c r="B235" s="33" t="s">
        <v>2722</v>
      </c>
      <c r="C235" s="33" t="s">
        <v>2096</v>
      </c>
      <c r="D235" s="33" t="s">
        <v>41</v>
      </c>
      <c r="E235" s="33" t="s">
        <v>1786</v>
      </c>
      <c r="F235" s="33" t="s">
        <v>1787</v>
      </c>
      <c r="G235" s="33" t="s">
        <v>2097</v>
      </c>
      <c r="H235" s="33" t="s">
        <v>2692</v>
      </c>
      <c r="I235" s="33" t="s">
        <v>2692</v>
      </c>
      <c r="J235" s="33" t="s">
        <v>2723</v>
      </c>
      <c r="K235" s="33" t="s">
        <v>1791</v>
      </c>
      <c r="L235" s="33" t="s">
        <v>2473</v>
      </c>
      <c r="M235" s="33" t="s">
        <v>2050</v>
      </c>
      <c r="N235" s="33" t="s">
        <v>1863</v>
      </c>
      <c r="O235" s="33" t="s">
        <v>1845</v>
      </c>
      <c r="P235" s="33" t="s">
        <v>1795</v>
      </c>
      <c r="Q235" s="33" t="s">
        <v>1796</v>
      </c>
    </row>
    <row r="236" spans="1:17">
      <c r="A236" s="33" t="s">
        <v>2724</v>
      </c>
      <c r="B236" s="33" t="s">
        <v>2725</v>
      </c>
      <c r="C236" s="33" t="s">
        <v>2374</v>
      </c>
      <c r="D236" s="33" t="s">
        <v>41</v>
      </c>
      <c r="E236" s="33" t="s">
        <v>1786</v>
      </c>
      <c r="F236" s="33" t="s">
        <v>1787</v>
      </c>
      <c r="G236" s="33" t="s">
        <v>67</v>
      </c>
      <c r="H236" s="33" t="s">
        <v>2692</v>
      </c>
      <c r="I236" s="33" t="s">
        <v>2692</v>
      </c>
      <c r="J236" s="33" t="s">
        <v>2726</v>
      </c>
      <c r="K236" s="33" t="s">
        <v>1791</v>
      </c>
      <c r="L236" s="33" t="s">
        <v>2503</v>
      </c>
      <c r="M236" s="33" t="s">
        <v>1811</v>
      </c>
      <c r="N236" s="33" t="s">
        <v>1839</v>
      </c>
      <c r="O236" s="33" t="s">
        <v>2364</v>
      </c>
      <c r="P236" s="33" t="s">
        <v>1795</v>
      </c>
      <c r="Q236" s="33" t="s">
        <v>1796</v>
      </c>
    </row>
    <row r="237" spans="1:17">
      <c r="A237" s="33" t="s">
        <v>2727</v>
      </c>
      <c r="B237" s="33" t="s">
        <v>2728</v>
      </c>
      <c r="C237" s="33" t="s">
        <v>2374</v>
      </c>
      <c r="D237" s="33" t="s">
        <v>41</v>
      </c>
      <c r="E237" s="33" t="s">
        <v>1786</v>
      </c>
      <c r="F237" s="33" t="s">
        <v>1787</v>
      </c>
      <c r="G237" s="33" t="s">
        <v>67</v>
      </c>
      <c r="H237" s="33" t="s">
        <v>2692</v>
      </c>
      <c r="I237" s="33" t="s">
        <v>2692</v>
      </c>
      <c r="J237" s="33" t="s">
        <v>2729</v>
      </c>
      <c r="K237" s="33" t="s">
        <v>1791</v>
      </c>
      <c r="L237" s="33" t="s">
        <v>2473</v>
      </c>
      <c r="M237" s="33" t="s">
        <v>1811</v>
      </c>
      <c r="N237" s="33" t="s">
        <v>1839</v>
      </c>
      <c r="O237" s="33" t="s">
        <v>2364</v>
      </c>
      <c r="P237" s="33" t="s">
        <v>1795</v>
      </c>
      <c r="Q237" s="33" t="s">
        <v>1796</v>
      </c>
    </row>
    <row r="238" spans="1:17">
      <c r="A238" s="33" t="s">
        <v>2730</v>
      </c>
      <c r="B238" s="33" t="s">
        <v>2731</v>
      </c>
      <c r="C238" s="33" t="s">
        <v>2374</v>
      </c>
      <c r="D238" s="33" t="s">
        <v>41</v>
      </c>
      <c r="E238" s="33" t="s">
        <v>1786</v>
      </c>
      <c r="F238" s="33" t="s">
        <v>1787</v>
      </c>
      <c r="G238" s="33" t="s">
        <v>67</v>
      </c>
      <c r="H238" s="33" t="s">
        <v>2692</v>
      </c>
      <c r="I238" s="33" t="s">
        <v>2692</v>
      </c>
      <c r="J238" s="33" t="s">
        <v>2732</v>
      </c>
      <c r="K238" s="33" t="s">
        <v>1791</v>
      </c>
      <c r="L238" s="33" t="s">
        <v>2503</v>
      </c>
      <c r="M238" s="33" t="s">
        <v>1811</v>
      </c>
      <c r="N238" s="33" t="s">
        <v>1839</v>
      </c>
      <c r="O238" s="33" t="s">
        <v>2364</v>
      </c>
      <c r="P238" s="33" t="s">
        <v>1795</v>
      </c>
      <c r="Q238" s="33" t="s">
        <v>1796</v>
      </c>
    </row>
    <row r="239" spans="1:17">
      <c r="A239" s="33" t="s">
        <v>2733</v>
      </c>
      <c r="B239" s="33" t="s">
        <v>2734</v>
      </c>
      <c r="C239" s="33" t="s">
        <v>1831</v>
      </c>
      <c r="D239" s="33" t="s">
        <v>41</v>
      </c>
      <c r="E239" s="33" t="s">
        <v>1786</v>
      </c>
      <c r="F239" s="33" t="s">
        <v>1787</v>
      </c>
      <c r="G239" s="33" t="s">
        <v>68</v>
      </c>
      <c r="H239" s="33" t="s">
        <v>2735</v>
      </c>
      <c r="I239" s="33" t="s">
        <v>2735</v>
      </c>
      <c r="J239" s="33" t="s">
        <v>2736</v>
      </c>
      <c r="K239" s="33" t="s">
        <v>1791</v>
      </c>
      <c r="L239" s="33" t="s">
        <v>2473</v>
      </c>
      <c r="M239" s="33" t="s">
        <v>1793</v>
      </c>
      <c r="N239" s="33" t="s">
        <v>1839</v>
      </c>
      <c r="O239" s="33" t="s">
        <v>2013</v>
      </c>
      <c r="P239" s="33" t="s">
        <v>1869</v>
      </c>
      <c r="Q239" s="33" t="s">
        <v>1796</v>
      </c>
    </row>
    <row r="240" spans="1:17">
      <c r="A240" s="33" t="s">
        <v>2737</v>
      </c>
      <c r="B240" s="33" t="s">
        <v>2738</v>
      </c>
      <c r="C240" s="33" t="s">
        <v>1831</v>
      </c>
      <c r="D240" s="33" t="s">
        <v>41</v>
      </c>
      <c r="E240" s="33" t="s">
        <v>1786</v>
      </c>
      <c r="F240" s="33" t="s">
        <v>1787</v>
      </c>
      <c r="G240" s="33" t="s">
        <v>68</v>
      </c>
      <c r="H240" s="33" t="s">
        <v>2735</v>
      </c>
      <c r="I240" s="33" t="s">
        <v>2735</v>
      </c>
      <c r="J240" s="33" t="s">
        <v>2739</v>
      </c>
      <c r="K240" s="33" t="s">
        <v>1791</v>
      </c>
      <c r="L240" s="33" t="s">
        <v>2503</v>
      </c>
      <c r="M240" s="33" t="s">
        <v>1811</v>
      </c>
      <c r="N240" s="33" t="s">
        <v>1839</v>
      </c>
      <c r="O240" s="33" t="s">
        <v>190</v>
      </c>
      <c r="P240" s="33" t="s">
        <v>1795</v>
      </c>
      <c r="Q240" s="33" t="s">
        <v>1796</v>
      </c>
    </row>
    <row r="241" spans="1:17">
      <c r="A241" s="33" t="s">
        <v>2737</v>
      </c>
      <c r="B241" s="33" t="s">
        <v>2740</v>
      </c>
      <c r="C241" s="33" t="s">
        <v>1831</v>
      </c>
      <c r="D241" s="33" t="s">
        <v>41</v>
      </c>
      <c r="E241" s="33" t="s">
        <v>1786</v>
      </c>
      <c r="F241" s="33" t="s">
        <v>1787</v>
      </c>
      <c r="G241" s="33" t="s">
        <v>68</v>
      </c>
      <c r="H241" s="33" t="s">
        <v>2735</v>
      </c>
      <c r="I241" s="33" t="s">
        <v>2735</v>
      </c>
      <c r="J241" s="33" t="s">
        <v>2741</v>
      </c>
      <c r="K241" s="33" t="s">
        <v>1791</v>
      </c>
      <c r="L241" s="33" t="s">
        <v>2503</v>
      </c>
      <c r="M241" s="33" t="s">
        <v>1863</v>
      </c>
      <c r="N241" s="33" t="s">
        <v>1839</v>
      </c>
      <c r="O241" s="33" t="s">
        <v>1926</v>
      </c>
      <c r="P241" s="33" t="s">
        <v>1795</v>
      </c>
      <c r="Q241" s="33" t="s">
        <v>1796</v>
      </c>
    </row>
    <row r="242" spans="1:17">
      <c r="A242" s="33" t="s">
        <v>2742</v>
      </c>
      <c r="B242" s="33" t="s">
        <v>2743</v>
      </c>
      <c r="C242" s="33" t="s">
        <v>2080</v>
      </c>
      <c r="D242" s="33" t="s">
        <v>41</v>
      </c>
      <c r="E242" s="33" t="s">
        <v>1786</v>
      </c>
      <c r="F242" s="33" t="s">
        <v>1787</v>
      </c>
      <c r="G242" s="33" t="s">
        <v>89</v>
      </c>
      <c r="H242" s="33" t="s">
        <v>2735</v>
      </c>
      <c r="I242" s="33" t="s">
        <v>2735</v>
      </c>
      <c r="J242" s="33" t="s">
        <v>2744</v>
      </c>
      <c r="K242" s="33" t="s">
        <v>1791</v>
      </c>
      <c r="L242" s="33" t="s">
        <v>2503</v>
      </c>
      <c r="M242" s="33" t="s">
        <v>1838</v>
      </c>
      <c r="N242" s="33" t="s">
        <v>2077</v>
      </c>
      <c r="O242" s="33" t="s">
        <v>2745</v>
      </c>
      <c r="P242" s="33" t="s">
        <v>1795</v>
      </c>
      <c r="Q242" s="33" t="s">
        <v>1796</v>
      </c>
    </row>
    <row r="243" spans="1:17">
      <c r="A243" s="33" t="s">
        <v>2737</v>
      </c>
      <c r="B243" s="33" t="s">
        <v>2746</v>
      </c>
      <c r="C243" s="33" t="s">
        <v>1831</v>
      </c>
      <c r="D243" s="33" t="s">
        <v>41</v>
      </c>
      <c r="E243" s="33" t="s">
        <v>1786</v>
      </c>
      <c r="F243" s="33" t="s">
        <v>1787</v>
      </c>
      <c r="G243" s="33" t="s">
        <v>68</v>
      </c>
      <c r="H243" s="33" t="s">
        <v>2735</v>
      </c>
      <c r="I243" s="33" t="s">
        <v>2735</v>
      </c>
      <c r="J243" s="33" t="s">
        <v>2747</v>
      </c>
      <c r="K243" s="33" t="s">
        <v>1791</v>
      </c>
      <c r="L243" s="33" t="s">
        <v>2503</v>
      </c>
      <c r="M243" s="33" t="s">
        <v>1863</v>
      </c>
      <c r="N243" s="33" t="s">
        <v>1839</v>
      </c>
      <c r="O243" s="33" t="s">
        <v>1926</v>
      </c>
      <c r="P243" s="33" t="s">
        <v>1795</v>
      </c>
      <c r="Q243" s="33" t="s">
        <v>1796</v>
      </c>
    </row>
    <row r="244" spans="1:17">
      <c r="A244" s="33" t="s">
        <v>2748</v>
      </c>
      <c r="B244" s="33" t="s">
        <v>2749</v>
      </c>
      <c r="C244" s="33" t="s">
        <v>1831</v>
      </c>
      <c r="D244" s="33" t="s">
        <v>41</v>
      </c>
      <c r="E244" s="33" t="s">
        <v>1786</v>
      </c>
      <c r="F244" s="33" t="s">
        <v>1787</v>
      </c>
      <c r="G244" s="33" t="s">
        <v>68</v>
      </c>
      <c r="H244" s="33" t="s">
        <v>2735</v>
      </c>
      <c r="I244" s="33" t="s">
        <v>2735</v>
      </c>
      <c r="J244" s="33" t="s">
        <v>2750</v>
      </c>
      <c r="K244" s="33" t="s">
        <v>1791</v>
      </c>
      <c r="L244" s="33" t="s">
        <v>2503</v>
      </c>
      <c r="M244" s="33" t="s">
        <v>1863</v>
      </c>
      <c r="N244" s="33" t="s">
        <v>1839</v>
      </c>
      <c r="O244" s="33" t="s">
        <v>1926</v>
      </c>
      <c r="P244" s="33" t="s">
        <v>1795</v>
      </c>
      <c r="Q244" s="33" t="s">
        <v>1796</v>
      </c>
    </row>
    <row r="245" spans="1:17">
      <c r="A245" s="33" t="s">
        <v>2751</v>
      </c>
      <c r="B245" s="33" t="s">
        <v>2752</v>
      </c>
      <c r="C245" s="33" t="s">
        <v>2273</v>
      </c>
      <c r="D245" s="33" t="s">
        <v>41</v>
      </c>
      <c r="E245" s="33" t="s">
        <v>1786</v>
      </c>
      <c r="F245" s="33" t="s">
        <v>1815</v>
      </c>
      <c r="G245" s="33" t="s">
        <v>89</v>
      </c>
      <c r="H245" s="33" t="s">
        <v>2735</v>
      </c>
      <c r="I245" s="33" t="s">
        <v>2735</v>
      </c>
      <c r="J245" s="33" t="s">
        <v>2753</v>
      </c>
      <c r="K245" s="33" t="s">
        <v>1791</v>
      </c>
      <c r="L245" s="33" t="s">
        <v>2473</v>
      </c>
      <c r="M245" s="33" t="s">
        <v>2050</v>
      </c>
      <c r="N245" s="33" t="s">
        <v>2077</v>
      </c>
      <c r="O245" s="33" t="s">
        <v>2082</v>
      </c>
      <c r="P245" s="33" t="s">
        <v>2321</v>
      </c>
      <c r="Q245" s="33" t="s">
        <v>1796</v>
      </c>
    </row>
    <row r="246" spans="1:17">
      <c r="A246" s="33" t="s">
        <v>2737</v>
      </c>
      <c r="B246" s="33" t="s">
        <v>2754</v>
      </c>
      <c r="C246" s="33" t="s">
        <v>1831</v>
      </c>
      <c r="D246" s="33" t="s">
        <v>41</v>
      </c>
      <c r="E246" s="33" t="s">
        <v>1786</v>
      </c>
      <c r="F246" s="33" t="s">
        <v>1787</v>
      </c>
      <c r="G246" s="33" t="s">
        <v>68</v>
      </c>
      <c r="H246" s="33" t="s">
        <v>2735</v>
      </c>
      <c r="I246" s="33" t="s">
        <v>2735</v>
      </c>
      <c r="J246" s="33" t="s">
        <v>2755</v>
      </c>
      <c r="K246" s="33" t="s">
        <v>1791</v>
      </c>
      <c r="L246" s="33" t="s">
        <v>2503</v>
      </c>
      <c r="M246" s="33" t="s">
        <v>1811</v>
      </c>
      <c r="N246" s="33" t="s">
        <v>1839</v>
      </c>
      <c r="O246" s="33" t="s">
        <v>2756</v>
      </c>
      <c r="P246" s="33" t="s">
        <v>1795</v>
      </c>
      <c r="Q246" s="33" t="s">
        <v>1796</v>
      </c>
    </row>
    <row r="247" spans="1:17">
      <c r="A247" s="33" t="s">
        <v>2757</v>
      </c>
      <c r="B247" s="33" t="s">
        <v>2758</v>
      </c>
      <c r="C247" s="33" t="s">
        <v>1831</v>
      </c>
      <c r="D247" s="33" t="s">
        <v>41</v>
      </c>
      <c r="E247" s="33" t="s">
        <v>1786</v>
      </c>
      <c r="F247" s="33" t="s">
        <v>1787</v>
      </c>
      <c r="G247" s="33" t="s">
        <v>68</v>
      </c>
      <c r="H247" s="33" t="s">
        <v>2735</v>
      </c>
      <c r="I247" s="33" t="s">
        <v>2735</v>
      </c>
      <c r="J247" s="33" t="s">
        <v>2759</v>
      </c>
      <c r="K247" s="33" t="s">
        <v>1791</v>
      </c>
      <c r="L247" s="33" t="s">
        <v>2473</v>
      </c>
      <c r="M247" s="33" t="s">
        <v>1811</v>
      </c>
      <c r="N247" s="33" t="s">
        <v>1839</v>
      </c>
      <c r="O247" s="33" t="s">
        <v>2760</v>
      </c>
      <c r="P247" s="33" t="s">
        <v>1795</v>
      </c>
      <c r="Q247" s="33" t="s">
        <v>1796</v>
      </c>
    </row>
    <row r="248" spans="1:17">
      <c r="A248" s="33" t="s">
        <v>2761</v>
      </c>
      <c r="B248" s="33" t="s">
        <v>2762</v>
      </c>
      <c r="C248" s="33" t="s">
        <v>2096</v>
      </c>
      <c r="D248" s="33" t="s">
        <v>41</v>
      </c>
      <c r="E248" s="33" t="s">
        <v>1786</v>
      </c>
      <c r="F248" s="33" t="s">
        <v>1787</v>
      </c>
      <c r="G248" s="33" t="s">
        <v>2097</v>
      </c>
      <c r="H248" s="33" t="s">
        <v>2735</v>
      </c>
      <c r="I248" s="33" t="s">
        <v>2735</v>
      </c>
      <c r="J248" s="33" t="s">
        <v>2763</v>
      </c>
      <c r="K248" s="33" t="s">
        <v>1791</v>
      </c>
      <c r="L248" s="33" t="s">
        <v>2473</v>
      </c>
      <c r="M248" s="33" t="s">
        <v>1863</v>
      </c>
      <c r="N248" s="33" t="s">
        <v>1863</v>
      </c>
      <c r="O248" s="33" t="s">
        <v>2065</v>
      </c>
      <c r="P248" s="33" t="s">
        <v>1795</v>
      </c>
      <c r="Q248" s="33" t="s">
        <v>1796</v>
      </c>
    </row>
    <row r="249" spans="1:17">
      <c r="A249" s="33" t="s">
        <v>2764</v>
      </c>
      <c r="B249" s="33" t="s">
        <v>2765</v>
      </c>
      <c r="C249" s="33" t="s">
        <v>2096</v>
      </c>
      <c r="D249" s="33" t="s">
        <v>41</v>
      </c>
      <c r="E249" s="33" t="s">
        <v>1786</v>
      </c>
      <c r="F249" s="33" t="s">
        <v>1787</v>
      </c>
      <c r="G249" s="33" t="s">
        <v>2097</v>
      </c>
      <c r="H249" s="33" t="s">
        <v>2735</v>
      </c>
      <c r="I249" s="33" t="s">
        <v>2735</v>
      </c>
      <c r="J249" s="33" t="s">
        <v>2766</v>
      </c>
      <c r="K249" s="33" t="s">
        <v>1791</v>
      </c>
      <c r="L249" s="33" t="s">
        <v>2473</v>
      </c>
      <c r="M249" s="33" t="s">
        <v>1863</v>
      </c>
      <c r="N249" s="33" t="s">
        <v>1863</v>
      </c>
      <c r="O249" s="33" t="s">
        <v>2103</v>
      </c>
      <c r="P249" s="33" t="s">
        <v>1869</v>
      </c>
      <c r="Q249" s="33" t="s">
        <v>1796</v>
      </c>
    </row>
    <row r="250" spans="1:17">
      <c r="A250" s="33" t="s">
        <v>2767</v>
      </c>
      <c r="B250" s="33" t="s">
        <v>2768</v>
      </c>
      <c r="C250" s="33" t="s">
        <v>2020</v>
      </c>
      <c r="D250" s="33" t="s">
        <v>41</v>
      </c>
      <c r="E250" s="33" t="s">
        <v>1786</v>
      </c>
      <c r="F250" s="33" t="s">
        <v>1787</v>
      </c>
      <c r="G250" s="33" t="s">
        <v>65</v>
      </c>
      <c r="H250" s="33" t="s">
        <v>2769</v>
      </c>
      <c r="I250" s="33" t="s">
        <v>2769</v>
      </c>
      <c r="J250" s="33" t="s">
        <v>2770</v>
      </c>
      <c r="K250" s="33" t="s">
        <v>1791</v>
      </c>
      <c r="L250" s="33" t="s">
        <v>2473</v>
      </c>
      <c r="M250" s="33" t="s">
        <v>1822</v>
      </c>
      <c r="N250" s="33" t="s">
        <v>196</v>
      </c>
      <c r="O250" s="33" t="s">
        <v>2771</v>
      </c>
      <c r="P250" s="33" t="s">
        <v>2263</v>
      </c>
      <c r="Q250" s="33" t="s">
        <v>1796</v>
      </c>
    </row>
    <row r="251" spans="1:17">
      <c r="A251" s="33" t="s">
        <v>2772</v>
      </c>
      <c r="B251" s="33" t="s">
        <v>2773</v>
      </c>
      <c r="C251" s="33" t="s">
        <v>2443</v>
      </c>
      <c r="D251" s="33" t="s">
        <v>41</v>
      </c>
      <c r="E251" s="33" t="s">
        <v>1786</v>
      </c>
      <c r="F251" s="33" t="s">
        <v>1856</v>
      </c>
      <c r="G251" s="33" t="s">
        <v>2444</v>
      </c>
      <c r="H251" s="33" t="s">
        <v>2769</v>
      </c>
      <c r="I251" s="33" t="s">
        <v>2769</v>
      </c>
      <c r="J251" s="33" t="s">
        <v>2774</v>
      </c>
      <c r="K251" s="33" t="s">
        <v>1791</v>
      </c>
      <c r="L251" s="33" t="s">
        <v>2473</v>
      </c>
      <c r="M251" s="33" t="s">
        <v>1838</v>
      </c>
      <c r="N251" s="33" t="s">
        <v>2050</v>
      </c>
      <c r="O251" s="33" t="s">
        <v>2775</v>
      </c>
      <c r="P251" s="33" t="s">
        <v>1869</v>
      </c>
      <c r="Q251" s="33" t="s">
        <v>1796</v>
      </c>
    </row>
    <row r="252" spans="1:17">
      <c r="A252" s="33" t="s">
        <v>2776</v>
      </c>
      <c r="B252" s="33" t="s">
        <v>2777</v>
      </c>
      <c r="C252" s="33" t="s">
        <v>1807</v>
      </c>
      <c r="D252" s="33" t="s">
        <v>41</v>
      </c>
      <c r="E252" s="33" t="s">
        <v>1786</v>
      </c>
      <c r="F252" s="33" t="s">
        <v>1787</v>
      </c>
      <c r="G252" s="33" t="s">
        <v>57</v>
      </c>
      <c r="H252" s="33" t="s">
        <v>2769</v>
      </c>
      <c r="I252" s="33" t="s">
        <v>2769</v>
      </c>
      <c r="J252" s="33" t="s">
        <v>2778</v>
      </c>
      <c r="K252" s="33" t="s">
        <v>1791</v>
      </c>
      <c r="L252" s="33" t="s">
        <v>2503</v>
      </c>
      <c r="M252" s="33" t="s">
        <v>1811</v>
      </c>
      <c r="N252" s="33" t="s">
        <v>1839</v>
      </c>
      <c r="O252" s="33" t="s">
        <v>2779</v>
      </c>
      <c r="P252" s="33" t="s">
        <v>1795</v>
      </c>
      <c r="Q252" s="33" t="s">
        <v>1796</v>
      </c>
    </row>
    <row r="253" spans="1:17">
      <c r="A253" s="33" t="s">
        <v>2780</v>
      </c>
      <c r="B253" s="33" t="s">
        <v>2781</v>
      </c>
      <c r="C253" s="33" t="s">
        <v>2026</v>
      </c>
      <c r="D253" s="33" t="s">
        <v>41</v>
      </c>
      <c r="E253" s="33" t="s">
        <v>1786</v>
      </c>
      <c r="F253" s="33" t="s">
        <v>1787</v>
      </c>
      <c r="G253" s="33" t="s">
        <v>2782</v>
      </c>
      <c r="H253" s="33" t="s">
        <v>2769</v>
      </c>
      <c r="I253" s="33" t="s">
        <v>2769</v>
      </c>
      <c r="J253" s="33" t="s">
        <v>2783</v>
      </c>
      <c r="K253" s="33" t="s">
        <v>1791</v>
      </c>
      <c r="L253" s="33" t="s">
        <v>2473</v>
      </c>
      <c r="M253" s="33" t="s">
        <v>1838</v>
      </c>
      <c r="N253" s="33" t="s">
        <v>1838</v>
      </c>
      <c r="O253" s="33" t="s">
        <v>2202</v>
      </c>
      <c r="P253" s="33" t="s">
        <v>1795</v>
      </c>
      <c r="Q253" s="33" t="s">
        <v>1796</v>
      </c>
    </row>
    <row r="254" spans="1:17">
      <c r="A254" s="33" t="s">
        <v>2784</v>
      </c>
      <c r="B254" s="33" t="s">
        <v>2785</v>
      </c>
      <c r="C254" s="33" t="s">
        <v>2026</v>
      </c>
      <c r="D254" s="33" t="s">
        <v>41</v>
      </c>
      <c r="E254" s="33" t="s">
        <v>1786</v>
      </c>
      <c r="F254" s="33" t="s">
        <v>1787</v>
      </c>
      <c r="G254" s="33" t="s">
        <v>2782</v>
      </c>
      <c r="H254" s="33" t="s">
        <v>2769</v>
      </c>
      <c r="I254" s="33" t="s">
        <v>2769</v>
      </c>
      <c r="J254" s="33" t="s">
        <v>2786</v>
      </c>
      <c r="K254" s="33" t="s">
        <v>1791</v>
      </c>
      <c r="L254" s="33" t="s">
        <v>2473</v>
      </c>
      <c r="M254" s="33" t="s">
        <v>1838</v>
      </c>
      <c r="N254" s="33" t="s">
        <v>1838</v>
      </c>
      <c r="O254" s="33" t="s">
        <v>2787</v>
      </c>
      <c r="P254" s="33" t="s">
        <v>1869</v>
      </c>
      <c r="Q254" s="33" t="s">
        <v>1796</v>
      </c>
    </row>
    <row r="255" spans="1:17">
      <c r="A255" s="33" t="s">
        <v>2788</v>
      </c>
      <c r="B255" s="33" t="s">
        <v>2789</v>
      </c>
      <c r="C255" s="33" t="s">
        <v>1819</v>
      </c>
      <c r="D255" s="33" t="s">
        <v>41</v>
      </c>
      <c r="E255" s="33" t="s">
        <v>1786</v>
      </c>
      <c r="F255" s="33" t="s">
        <v>1815</v>
      </c>
      <c r="G255" s="33" t="s">
        <v>1986</v>
      </c>
      <c r="H255" s="33" t="s">
        <v>2769</v>
      </c>
      <c r="I255" s="33" t="s">
        <v>2769</v>
      </c>
      <c r="J255" s="33" t="s">
        <v>2790</v>
      </c>
      <c r="K255" s="33" t="s">
        <v>1791</v>
      </c>
      <c r="L255" s="33" t="s">
        <v>2473</v>
      </c>
      <c r="M255" s="33" t="s">
        <v>1838</v>
      </c>
      <c r="N255" s="33" t="s">
        <v>1078</v>
      </c>
      <c r="O255" s="33" t="s">
        <v>2065</v>
      </c>
      <c r="P255" s="33" t="s">
        <v>1795</v>
      </c>
      <c r="Q255" s="33" t="s">
        <v>1796</v>
      </c>
    </row>
    <row r="256" spans="1:17">
      <c r="A256" s="33" t="s">
        <v>2791</v>
      </c>
      <c r="B256" s="33" t="s">
        <v>2792</v>
      </c>
      <c r="C256" s="33" t="s">
        <v>1819</v>
      </c>
      <c r="D256" s="33" t="s">
        <v>41</v>
      </c>
      <c r="E256" s="33" t="s">
        <v>1786</v>
      </c>
      <c r="F256" s="33" t="s">
        <v>1856</v>
      </c>
      <c r="G256" s="33" t="s">
        <v>1986</v>
      </c>
      <c r="H256" s="33" t="s">
        <v>2769</v>
      </c>
      <c r="I256" s="33" t="s">
        <v>2769</v>
      </c>
      <c r="J256" s="33" t="s">
        <v>2793</v>
      </c>
      <c r="K256" s="33" t="s">
        <v>1791</v>
      </c>
      <c r="L256" s="33" t="s">
        <v>2473</v>
      </c>
      <c r="M256" s="33" t="s">
        <v>1838</v>
      </c>
      <c r="N256" s="33" t="s">
        <v>1078</v>
      </c>
      <c r="O256" s="33" t="s">
        <v>2406</v>
      </c>
      <c r="P256" s="33" t="s">
        <v>1795</v>
      </c>
      <c r="Q256" s="33" t="s">
        <v>1796</v>
      </c>
    </row>
    <row r="257" spans="1:17">
      <c r="A257" s="33" t="s">
        <v>2794</v>
      </c>
      <c r="B257" s="33" t="s">
        <v>2795</v>
      </c>
      <c r="C257" s="33" t="s">
        <v>1819</v>
      </c>
      <c r="D257" s="33" t="s">
        <v>41</v>
      </c>
      <c r="E257" s="33" t="s">
        <v>1786</v>
      </c>
      <c r="F257" s="33" t="s">
        <v>1856</v>
      </c>
      <c r="G257" s="33" t="s">
        <v>1986</v>
      </c>
      <c r="H257" s="33" t="s">
        <v>2769</v>
      </c>
      <c r="I257" s="33" t="s">
        <v>2769</v>
      </c>
      <c r="J257" s="33" t="s">
        <v>2796</v>
      </c>
      <c r="K257" s="33" t="s">
        <v>1791</v>
      </c>
      <c r="L257" s="33" t="s">
        <v>2473</v>
      </c>
      <c r="M257" s="33" t="s">
        <v>1838</v>
      </c>
      <c r="N257" s="33" t="s">
        <v>1078</v>
      </c>
      <c r="O257" s="33" t="s">
        <v>1930</v>
      </c>
      <c r="P257" s="33" t="s">
        <v>1795</v>
      </c>
      <c r="Q257" s="33" t="s">
        <v>1796</v>
      </c>
    </row>
    <row r="258" spans="1:17">
      <c r="A258" s="33" t="s">
        <v>2797</v>
      </c>
      <c r="B258" s="33" t="s">
        <v>2798</v>
      </c>
      <c r="C258" s="33" t="s">
        <v>1819</v>
      </c>
      <c r="D258" s="33" t="s">
        <v>41</v>
      </c>
      <c r="E258" s="33" t="s">
        <v>1786</v>
      </c>
      <c r="F258" s="33" t="s">
        <v>1856</v>
      </c>
      <c r="G258" s="33" t="s">
        <v>1954</v>
      </c>
      <c r="H258" s="33" t="s">
        <v>2769</v>
      </c>
      <c r="I258" s="33" t="s">
        <v>2769</v>
      </c>
      <c r="J258" s="33" t="s">
        <v>2799</v>
      </c>
      <c r="K258" s="33" t="s">
        <v>1791</v>
      </c>
      <c r="L258" s="33" t="s">
        <v>2473</v>
      </c>
      <c r="M258" s="33" t="s">
        <v>196</v>
      </c>
      <c r="N258" s="33" t="s">
        <v>1078</v>
      </c>
      <c r="O258" s="33" t="s">
        <v>2406</v>
      </c>
      <c r="P258" s="33" t="s">
        <v>2263</v>
      </c>
      <c r="Q258" s="33" t="s">
        <v>1796</v>
      </c>
    </row>
    <row r="259" spans="1:17">
      <c r="A259" s="33" t="s">
        <v>2800</v>
      </c>
      <c r="B259" s="33" t="s">
        <v>2801</v>
      </c>
      <c r="C259" s="33" t="s">
        <v>2096</v>
      </c>
      <c r="D259" s="33" t="s">
        <v>41</v>
      </c>
      <c r="E259" s="33" t="s">
        <v>1786</v>
      </c>
      <c r="F259" s="33" t="s">
        <v>1787</v>
      </c>
      <c r="G259" s="33" t="s">
        <v>2097</v>
      </c>
      <c r="H259" s="33" t="s">
        <v>2769</v>
      </c>
      <c r="I259" s="33" t="s">
        <v>2769</v>
      </c>
      <c r="J259" s="33" t="s">
        <v>2802</v>
      </c>
      <c r="K259" s="33" t="s">
        <v>1791</v>
      </c>
      <c r="L259" s="33" t="s">
        <v>2473</v>
      </c>
      <c r="M259" s="33" t="s">
        <v>1849</v>
      </c>
      <c r="N259" s="33" t="s">
        <v>1863</v>
      </c>
      <c r="O259" s="33" t="s">
        <v>1930</v>
      </c>
      <c r="P259" s="33" t="s">
        <v>2023</v>
      </c>
      <c r="Q259" s="33" t="s">
        <v>1796</v>
      </c>
    </row>
    <row r="260" spans="1:17">
      <c r="A260" s="33" t="s">
        <v>2803</v>
      </c>
      <c r="B260" s="33" t="s">
        <v>2804</v>
      </c>
      <c r="C260" s="33" t="s">
        <v>2096</v>
      </c>
      <c r="D260" s="33" t="s">
        <v>41</v>
      </c>
      <c r="E260" s="33" t="s">
        <v>1786</v>
      </c>
      <c r="F260" s="33" t="s">
        <v>1787</v>
      </c>
      <c r="G260" s="33" t="s">
        <v>2097</v>
      </c>
      <c r="H260" s="33" t="s">
        <v>2769</v>
      </c>
      <c r="I260" s="33" t="s">
        <v>2769</v>
      </c>
      <c r="J260" s="33" t="s">
        <v>2805</v>
      </c>
      <c r="K260" s="33" t="s">
        <v>1791</v>
      </c>
      <c r="L260" s="33" t="s">
        <v>2473</v>
      </c>
      <c r="M260" s="33" t="s">
        <v>1863</v>
      </c>
      <c r="N260" s="33" t="s">
        <v>1863</v>
      </c>
      <c r="O260" s="33" t="s">
        <v>2406</v>
      </c>
      <c r="P260" s="33" t="s">
        <v>1869</v>
      </c>
      <c r="Q260" s="33" t="s">
        <v>1796</v>
      </c>
    </row>
    <row r="261" spans="1:17">
      <c r="A261" s="33" t="s">
        <v>2806</v>
      </c>
      <c r="B261" s="33" t="s">
        <v>2807</v>
      </c>
      <c r="C261" s="33" t="s">
        <v>2096</v>
      </c>
      <c r="D261" s="33" t="s">
        <v>41</v>
      </c>
      <c r="E261" s="33" t="s">
        <v>1786</v>
      </c>
      <c r="F261" s="33" t="s">
        <v>1787</v>
      </c>
      <c r="G261" s="33" t="s">
        <v>2097</v>
      </c>
      <c r="H261" s="33" t="s">
        <v>2769</v>
      </c>
      <c r="I261" s="33" t="s">
        <v>2769</v>
      </c>
      <c r="J261" s="33" t="s">
        <v>2808</v>
      </c>
      <c r="K261" s="33" t="s">
        <v>1791</v>
      </c>
      <c r="L261" s="33" t="s">
        <v>2473</v>
      </c>
      <c r="M261" s="33" t="s">
        <v>2050</v>
      </c>
      <c r="N261" s="33" t="s">
        <v>1863</v>
      </c>
      <c r="O261" s="33" t="s">
        <v>1930</v>
      </c>
      <c r="P261" s="33" t="s">
        <v>1795</v>
      </c>
      <c r="Q261" s="33" t="s">
        <v>1796</v>
      </c>
    </row>
    <row r="262" spans="1:17">
      <c r="A262" s="33" t="s">
        <v>2809</v>
      </c>
      <c r="B262" s="33" t="s">
        <v>2810</v>
      </c>
      <c r="C262" s="33" t="s">
        <v>2096</v>
      </c>
      <c r="D262" s="33" t="s">
        <v>41</v>
      </c>
      <c r="E262" s="33" t="s">
        <v>1786</v>
      </c>
      <c r="F262" s="33" t="s">
        <v>1787</v>
      </c>
      <c r="G262" s="33" t="s">
        <v>2097</v>
      </c>
      <c r="H262" s="33" t="s">
        <v>2769</v>
      </c>
      <c r="I262" s="33" t="s">
        <v>2769</v>
      </c>
      <c r="J262" s="33" t="s">
        <v>2811</v>
      </c>
      <c r="K262" s="33" t="s">
        <v>1791</v>
      </c>
      <c r="L262" s="33" t="s">
        <v>2473</v>
      </c>
      <c r="M262" s="33" t="s">
        <v>2050</v>
      </c>
      <c r="N262" s="33" t="s">
        <v>1863</v>
      </c>
      <c r="O262" s="33" t="s">
        <v>1919</v>
      </c>
      <c r="P262" s="33" t="s">
        <v>1795</v>
      </c>
      <c r="Q262" s="33" t="s">
        <v>1796</v>
      </c>
    </row>
    <row r="263" spans="1:17">
      <c r="A263" s="33" t="s">
        <v>2737</v>
      </c>
      <c r="B263" s="33" t="s">
        <v>2812</v>
      </c>
      <c r="C263" s="33" t="s">
        <v>1807</v>
      </c>
      <c r="D263" s="33" t="s">
        <v>41</v>
      </c>
      <c r="E263" s="33" t="s">
        <v>1786</v>
      </c>
      <c r="F263" s="33" t="s">
        <v>1856</v>
      </c>
      <c r="G263" s="33" t="s">
        <v>57</v>
      </c>
      <c r="H263" s="33" t="s">
        <v>2473</v>
      </c>
      <c r="I263" s="33" t="s">
        <v>2473</v>
      </c>
      <c r="J263" s="33" t="s">
        <v>2813</v>
      </c>
      <c r="K263" s="33" t="s">
        <v>1791</v>
      </c>
      <c r="L263" s="33" t="s">
        <v>2503</v>
      </c>
      <c r="M263" s="33" t="s">
        <v>196</v>
      </c>
      <c r="N263" s="33" t="s">
        <v>1839</v>
      </c>
      <c r="O263" s="33" t="s">
        <v>2814</v>
      </c>
      <c r="P263" s="33" t="s">
        <v>1795</v>
      </c>
      <c r="Q263" s="33" t="s">
        <v>1796</v>
      </c>
    </row>
    <row r="264" spans="1:17" hidden="1">
      <c r="A264" s="33" t="s">
        <v>2815</v>
      </c>
      <c r="B264" s="33" t="s">
        <v>2816</v>
      </c>
      <c r="C264" s="33" t="s">
        <v>1949</v>
      </c>
      <c r="D264" s="33" t="s">
        <v>41</v>
      </c>
      <c r="E264" s="33" t="s">
        <v>1836</v>
      </c>
      <c r="F264" s="33" t="s">
        <v>1856</v>
      </c>
      <c r="G264" s="33" t="s">
        <v>67</v>
      </c>
      <c r="H264" s="33" t="s">
        <v>2473</v>
      </c>
      <c r="I264" s="33" t="s">
        <v>2473</v>
      </c>
      <c r="J264" s="33" t="s">
        <v>2817</v>
      </c>
      <c r="K264" s="33" t="s">
        <v>1791</v>
      </c>
      <c r="L264" s="33" t="s">
        <v>2473</v>
      </c>
      <c r="M264" s="33" t="s">
        <v>1838</v>
      </c>
      <c r="N264" s="33" t="s">
        <v>55</v>
      </c>
      <c r="O264" s="33" t="s">
        <v>2775</v>
      </c>
      <c r="P264" s="33" t="s">
        <v>1764</v>
      </c>
      <c r="Q264" s="33" t="s">
        <v>1796</v>
      </c>
    </row>
    <row r="265" spans="1:17" hidden="1">
      <c r="A265" s="33" t="s">
        <v>2818</v>
      </c>
      <c r="B265" s="33" t="s">
        <v>2819</v>
      </c>
      <c r="C265" s="33" t="s">
        <v>1980</v>
      </c>
      <c r="D265" s="33" t="s">
        <v>2820</v>
      </c>
      <c r="E265" s="33" t="s">
        <v>2471</v>
      </c>
      <c r="F265" s="33" t="s">
        <v>1787</v>
      </c>
      <c r="G265" s="33" t="s">
        <v>2820</v>
      </c>
      <c r="H265" s="33" t="s">
        <v>2473</v>
      </c>
      <c r="I265" s="33" t="s">
        <v>2473</v>
      </c>
      <c r="J265" s="33" t="s">
        <v>2821</v>
      </c>
      <c r="K265" s="33" t="s">
        <v>2471</v>
      </c>
      <c r="L265" s="33" t="s">
        <v>2473</v>
      </c>
      <c r="M265" s="33" t="s">
        <v>82</v>
      </c>
      <c r="N265" s="33" t="s">
        <v>1849</v>
      </c>
      <c r="O265" s="33" t="s">
        <v>2822</v>
      </c>
      <c r="P265" s="33" t="s">
        <v>1764</v>
      </c>
      <c r="Q265" s="33" t="s">
        <v>1796</v>
      </c>
    </row>
    <row r="266" spans="1:17">
      <c r="A266" s="33" t="s">
        <v>2823</v>
      </c>
      <c r="B266" s="33" t="s">
        <v>2824</v>
      </c>
      <c r="C266" s="33" t="s">
        <v>2825</v>
      </c>
      <c r="D266" s="33" t="s">
        <v>41</v>
      </c>
      <c r="E266" s="33" t="s">
        <v>1786</v>
      </c>
      <c r="F266" s="33" t="s">
        <v>1787</v>
      </c>
      <c r="G266" s="33" t="s">
        <v>71</v>
      </c>
      <c r="H266" s="33" t="s">
        <v>2473</v>
      </c>
      <c r="I266" s="33" t="s">
        <v>2473</v>
      </c>
      <c r="J266" s="33" t="s">
        <v>2826</v>
      </c>
      <c r="K266" s="33" t="s">
        <v>1791</v>
      </c>
      <c r="L266" s="33" t="s">
        <v>2473</v>
      </c>
      <c r="M266" s="33" t="s">
        <v>196</v>
      </c>
      <c r="N266" s="33" t="s">
        <v>2827</v>
      </c>
      <c r="O266" s="33" t="s">
        <v>2771</v>
      </c>
      <c r="P266" s="33" t="s">
        <v>1795</v>
      </c>
      <c r="Q266" s="33" t="s">
        <v>1796</v>
      </c>
    </row>
    <row r="267" spans="1:17">
      <c r="A267" s="33" t="s">
        <v>2828</v>
      </c>
      <c r="B267" s="33" t="s">
        <v>2829</v>
      </c>
      <c r="C267" s="33" t="s">
        <v>1891</v>
      </c>
      <c r="D267" s="33" t="s">
        <v>41</v>
      </c>
      <c r="E267" s="33" t="s">
        <v>1786</v>
      </c>
      <c r="F267" s="33" t="s">
        <v>1787</v>
      </c>
      <c r="G267" s="33" t="s">
        <v>1892</v>
      </c>
      <c r="H267" s="33" t="s">
        <v>2830</v>
      </c>
      <c r="I267" s="33" t="s">
        <v>2830</v>
      </c>
      <c r="J267" s="33" t="s">
        <v>2831</v>
      </c>
      <c r="K267" s="33" t="s">
        <v>1791</v>
      </c>
      <c r="L267" s="33" t="s">
        <v>2503</v>
      </c>
      <c r="M267" s="33" t="s">
        <v>1849</v>
      </c>
      <c r="N267" s="33" t="s">
        <v>43</v>
      </c>
      <c r="O267" s="33" t="s">
        <v>190</v>
      </c>
      <c r="P267" s="33" t="s">
        <v>1795</v>
      </c>
      <c r="Q267" s="33" t="s">
        <v>1796</v>
      </c>
    </row>
    <row r="268" spans="1:17">
      <c r="A268" s="33" t="s">
        <v>2832</v>
      </c>
      <c r="B268" s="33" t="s">
        <v>2833</v>
      </c>
      <c r="C268" s="33" t="s">
        <v>1891</v>
      </c>
      <c r="D268" s="33" t="s">
        <v>41</v>
      </c>
      <c r="E268" s="33" t="s">
        <v>1786</v>
      </c>
      <c r="F268" s="33" t="s">
        <v>1815</v>
      </c>
      <c r="G268" s="33" t="s">
        <v>1892</v>
      </c>
      <c r="H268" s="33" t="s">
        <v>2830</v>
      </c>
      <c r="I268" s="33" t="s">
        <v>2830</v>
      </c>
      <c r="J268" s="33" t="s">
        <v>2834</v>
      </c>
      <c r="K268" s="33" t="s">
        <v>1791</v>
      </c>
      <c r="L268" s="33" t="s">
        <v>2503</v>
      </c>
      <c r="M268" s="33" t="s">
        <v>1849</v>
      </c>
      <c r="N268" s="33" t="s">
        <v>43</v>
      </c>
      <c r="O268" s="33" t="s">
        <v>190</v>
      </c>
      <c r="P268" s="33" t="s">
        <v>1795</v>
      </c>
      <c r="Q268" s="33" t="s">
        <v>1796</v>
      </c>
    </row>
    <row r="269" spans="1:17">
      <c r="A269" s="33" t="s">
        <v>2835</v>
      </c>
      <c r="B269" s="33" t="s">
        <v>2836</v>
      </c>
      <c r="C269" s="33" t="s">
        <v>1891</v>
      </c>
      <c r="D269" s="33" t="s">
        <v>41</v>
      </c>
      <c r="E269" s="33" t="s">
        <v>1786</v>
      </c>
      <c r="F269" s="33" t="s">
        <v>1787</v>
      </c>
      <c r="G269" s="33" t="s">
        <v>1892</v>
      </c>
      <c r="H269" s="33" t="s">
        <v>2830</v>
      </c>
      <c r="I269" s="33" t="s">
        <v>2830</v>
      </c>
      <c r="J269" s="33" t="s">
        <v>2837</v>
      </c>
      <c r="K269" s="33" t="s">
        <v>1791</v>
      </c>
      <c r="L269" s="33" t="s">
        <v>2838</v>
      </c>
      <c r="M269" s="33" t="s">
        <v>1849</v>
      </c>
      <c r="N269" s="33" t="s">
        <v>43</v>
      </c>
      <c r="O269" s="33" t="s">
        <v>190</v>
      </c>
      <c r="P269" s="33" t="s">
        <v>1795</v>
      </c>
      <c r="Q269" s="33" t="s">
        <v>1796</v>
      </c>
    </row>
    <row r="270" spans="1:17">
      <c r="A270" s="33" t="s">
        <v>2839</v>
      </c>
      <c r="B270" s="33" t="s">
        <v>2840</v>
      </c>
      <c r="C270" s="33" t="s">
        <v>1891</v>
      </c>
      <c r="D270" s="33" t="s">
        <v>41</v>
      </c>
      <c r="E270" s="33" t="s">
        <v>1786</v>
      </c>
      <c r="F270" s="33" t="s">
        <v>1815</v>
      </c>
      <c r="G270" s="33" t="s">
        <v>1892</v>
      </c>
      <c r="H270" s="33" t="s">
        <v>2830</v>
      </c>
      <c r="I270" s="33" t="s">
        <v>2830</v>
      </c>
      <c r="J270" s="33" t="s">
        <v>2841</v>
      </c>
      <c r="K270" s="33" t="s">
        <v>1791</v>
      </c>
      <c r="L270" s="33" t="s">
        <v>2838</v>
      </c>
      <c r="M270" s="33" t="s">
        <v>1849</v>
      </c>
      <c r="N270" s="33" t="s">
        <v>43</v>
      </c>
      <c r="O270" s="33" t="s">
        <v>190</v>
      </c>
      <c r="P270" s="33" t="s">
        <v>1795</v>
      </c>
      <c r="Q270" s="33" t="s">
        <v>1796</v>
      </c>
    </row>
    <row r="271" spans="1:17">
      <c r="A271" s="33" t="s">
        <v>2842</v>
      </c>
      <c r="B271" s="33" t="s">
        <v>2843</v>
      </c>
      <c r="C271" s="33" t="s">
        <v>1891</v>
      </c>
      <c r="D271" s="33" t="s">
        <v>41</v>
      </c>
      <c r="E271" s="33" t="s">
        <v>1786</v>
      </c>
      <c r="F271" s="33" t="s">
        <v>1787</v>
      </c>
      <c r="G271" s="33" t="s">
        <v>1892</v>
      </c>
      <c r="H271" s="33" t="s">
        <v>2830</v>
      </c>
      <c r="I271" s="33" t="s">
        <v>2830</v>
      </c>
      <c r="J271" s="33" t="s">
        <v>2844</v>
      </c>
      <c r="K271" s="33" t="s">
        <v>1791</v>
      </c>
      <c r="L271" s="33" t="s">
        <v>2838</v>
      </c>
      <c r="M271" s="33" t="s">
        <v>1849</v>
      </c>
      <c r="N271" s="33" t="s">
        <v>43</v>
      </c>
      <c r="O271" s="33" t="s">
        <v>190</v>
      </c>
      <c r="P271" s="33" t="s">
        <v>1795</v>
      </c>
      <c r="Q271" s="33" t="s">
        <v>1796</v>
      </c>
    </row>
    <row r="272" spans="1:17">
      <c r="A272" s="33" t="s">
        <v>2845</v>
      </c>
      <c r="B272" s="33" t="s">
        <v>2846</v>
      </c>
      <c r="C272" s="33" t="s">
        <v>1891</v>
      </c>
      <c r="D272" s="33" t="s">
        <v>41</v>
      </c>
      <c r="E272" s="33" t="s">
        <v>1786</v>
      </c>
      <c r="F272" s="33" t="s">
        <v>1787</v>
      </c>
      <c r="G272" s="33" t="s">
        <v>1892</v>
      </c>
      <c r="H272" s="33" t="s">
        <v>2830</v>
      </c>
      <c r="I272" s="33" t="s">
        <v>2830</v>
      </c>
      <c r="J272" s="33" t="s">
        <v>2847</v>
      </c>
      <c r="K272" s="33" t="s">
        <v>1791</v>
      </c>
      <c r="L272" s="33" t="s">
        <v>2838</v>
      </c>
      <c r="M272" s="33" t="s">
        <v>1793</v>
      </c>
      <c r="N272" s="33" t="s">
        <v>43</v>
      </c>
      <c r="O272" s="33" t="s">
        <v>190</v>
      </c>
      <c r="P272" s="33" t="s">
        <v>1795</v>
      </c>
      <c r="Q272" s="33" t="s">
        <v>1796</v>
      </c>
    </row>
    <row r="273" spans="1:17">
      <c r="A273" s="33" t="s">
        <v>2848</v>
      </c>
      <c r="B273" s="33" t="s">
        <v>2849</v>
      </c>
      <c r="C273" s="33" t="s">
        <v>1891</v>
      </c>
      <c r="D273" s="33" t="s">
        <v>41</v>
      </c>
      <c r="E273" s="33" t="s">
        <v>1786</v>
      </c>
      <c r="F273" s="33" t="s">
        <v>1787</v>
      </c>
      <c r="G273" s="33" t="s">
        <v>1892</v>
      </c>
      <c r="H273" s="33" t="s">
        <v>2830</v>
      </c>
      <c r="I273" s="33" t="s">
        <v>2830</v>
      </c>
      <c r="J273" s="33" t="s">
        <v>2850</v>
      </c>
      <c r="K273" s="33" t="s">
        <v>1791</v>
      </c>
      <c r="L273" s="33" t="s">
        <v>2838</v>
      </c>
      <c r="M273" s="33" t="s">
        <v>1793</v>
      </c>
      <c r="N273" s="33" t="s">
        <v>43</v>
      </c>
      <c r="O273" s="33" t="s">
        <v>1840</v>
      </c>
      <c r="P273" s="33" t="s">
        <v>1795</v>
      </c>
      <c r="Q273" s="33" t="s">
        <v>1796</v>
      </c>
    </row>
    <row r="274" spans="1:17">
      <c r="A274" s="33" t="s">
        <v>2851</v>
      </c>
      <c r="B274" s="33" t="s">
        <v>2852</v>
      </c>
      <c r="C274" s="33" t="s">
        <v>1891</v>
      </c>
      <c r="D274" s="33" t="s">
        <v>41</v>
      </c>
      <c r="E274" s="33" t="s">
        <v>1786</v>
      </c>
      <c r="F274" s="33" t="s">
        <v>1787</v>
      </c>
      <c r="G274" s="33" t="s">
        <v>1892</v>
      </c>
      <c r="H274" s="33" t="s">
        <v>2830</v>
      </c>
      <c r="I274" s="33" t="s">
        <v>2830</v>
      </c>
      <c r="J274" s="33" t="s">
        <v>2853</v>
      </c>
      <c r="K274" s="33" t="s">
        <v>1791</v>
      </c>
      <c r="L274" s="33" t="s">
        <v>2838</v>
      </c>
      <c r="M274" s="33" t="s">
        <v>2402</v>
      </c>
      <c r="N274" s="33" t="s">
        <v>43</v>
      </c>
      <c r="O274" s="33" t="s">
        <v>1840</v>
      </c>
      <c r="P274" s="33" t="s">
        <v>1795</v>
      </c>
      <c r="Q274" s="33" t="s">
        <v>1796</v>
      </c>
    </row>
    <row r="275" spans="1:17">
      <c r="A275" s="33" t="s">
        <v>2854</v>
      </c>
      <c r="B275" s="33" t="s">
        <v>2855</v>
      </c>
      <c r="C275" s="33" t="s">
        <v>1891</v>
      </c>
      <c r="D275" s="33" t="s">
        <v>41</v>
      </c>
      <c r="E275" s="33" t="s">
        <v>1786</v>
      </c>
      <c r="F275" s="33" t="s">
        <v>1864</v>
      </c>
      <c r="G275" s="33" t="s">
        <v>1892</v>
      </c>
      <c r="H275" s="33" t="s">
        <v>2830</v>
      </c>
      <c r="I275" s="33" t="s">
        <v>2830</v>
      </c>
      <c r="J275" s="33" t="s">
        <v>2856</v>
      </c>
      <c r="K275" s="33" t="s">
        <v>1791</v>
      </c>
      <c r="L275" s="33" t="s">
        <v>2838</v>
      </c>
      <c r="M275" s="33" t="s">
        <v>82</v>
      </c>
      <c r="N275" s="33" t="s">
        <v>43</v>
      </c>
      <c r="O275" s="33" t="s">
        <v>190</v>
      </c>
      <c r="P275" s="33" t="s">
        <v>1795</v>
      </c>
      <c r="Q275" s="33" t="s">
        <v>1796</v>
      </c>
    </row>
    <row r="276" spans="1:17">
      <c r="A276" s="33" t="s">
        <v>2857</v>
      </c>
      <c r="B276" s="33" t="s">
        <v>2858</v>
      </c>
      <c r="C276" s="33" t="s">
        <v>2096</v>
      </c>
      <c r="D276" s="33" t="s">
        <v>41</v>
      </c>
      <c r="E276" s="33" t="s">
        <v>1786</v>
      </c>
      <c r="F276" s="33" t="s">
        <v>1787</v>
      </c>
      <c r="G276" s="33" t="s">
        <v>2716</v>
      </c>
      <c r="H276" s="33" t="s">
        <v>2830</v>
      </c>
      <c r="I276" s="33" t="s">
        <v>2830</v>
      </c>
      <c r="J276" s="33" t="s">
        <v>2859</v>
      </c>
      <c r="K276" s="33" t="s">
        <v>1791</v>
      </c>
      <c r="L276" s="33" t="s">
        <v>2838</v>
      </c>
      <c r="M276" s="33" t="s">
        <v>2050</v>
      </c>
      <c r="N276" s="33" t="s">
        <v>1863</v>
      </c>
      <c r="O276" s="33" t="s">
        <v>1919</v>
      </c>
      <c r="P276" s="33" t="s">
        <v>1795</v>
      </c>
      <c r="Q276" s="33" t="s">
        <v>1796</v>
      </c>
    </row>
    <row r="277" spans="1:17">
      <c r="A277" s="33" t="s">
        <v>2860</v>
      </c>
      <c r="B277" s="33" t="s">
        <v>2861</v>
      </c>
      <c r="C277" s="33" t="s">
        <v>2096</v>
      </c>
      <c r="D277" s="33" t="s">
        <v>41</v>
      </c>
      <c r="E277" s="33" t="s">
        <v>1786</v>
      </c>
      <c r="F277" s="33" t="s">
        <v>1787</v>
      </c>
      <c r="G277" s="33" t="s">
        <v>2716</v>
      </c>
      <c r="H277" s="33" t="s">
        <v>2830</v>
      </c>
      <c r="I277" s="33" t="s">
        <v>2830</v>
      </c>
      <c r="J277" s="33" t="s">
        <v>2862</v>
      </c>
      <c r="K277" s="33" t="s">
        <v>1791</v>
      </c>
      <c r="L277" s="33" t="s">
        <v>2838</v>
      </c>
      <c r="M277" s="33" t="s">
        <v>2050</v>
      </c>
      <c r="N277" s="33" t="s">
        <v>1863</v>
      </c>
      <c r="O277" s="33" t="s">
        <v>1919</v>
      </c>
      <c r="P277" s="33" t="s">
        <v>1795</v>
      </c>
      <c r="Q277" s="33" t="s">
        <v>1796</v>
      </c>
    </row>
    <row r="278" spans="1:17">
      <c r="A278" s="33" t="s">
        <v>2863</v>
      </c>
      <c r="B278" s="33" t="s">
        <v>2864</v>
      </c>
      <c r="C278" s="33" t="s">
        <v>2096</v>
      </c>
      <c r="D278" s="33" t="s">
        <v>41</v>
      </c>
      <c r="E278" s="33" t="s">
        <v>1786</v>
      </c>
      <c r="F278" s="33" t="s">
        <v>1787</v>
      </c>
      <c r="G278" s="33" t="s">
        <v>2716</v>
      </c>
      <c r="H278" s="33" t="s">
        <v>2830</v>
      </c>
      <c r="I278" s="33" t="s">
        <v>2830</v>
      </c>
      <c r="J278" s="33" t="s">
        <v>2865</v>
      </c>
      <c r="K278" s="33" t="s">
        <v>1791</v>
      </c>
      <c r="L278" s="33" t="s">
        <v>2838</v>
      </c>
      <c r="M278" s="33" t="s">
        <v>2050</v>
      </c>
      <c r="N278" s="33" t="s">
        <v>1863</v>
      </c>
      <c r="O278" s="33" t="s">
        <v>189</v>
      </c>
      <c r="P278" s="33" t="s">
        <v>1795</v>
      </c>
      <c r="Q278" s="33" t="s">
        <v>1796</v>
      </c>
    </row>
    <row r="279" spans="1:17">
      <c r="A279" s="33" t="s">
        <v>2866</v>
      </c>
      <c r="B279" s="33" t="s">
        <v>2867</v>
      </c>
      <c r="C279" s="33" t="s">
        <v>1831</v>
      </c>
      <c r="D279" s="33" t="s">
        <v>41</v>
      </c>
      <c r="E279" s="33" t="s">
        <v>1786</v>
      </c>
      <c r="F279" s="33" t="s">
        <v>1856</v>
      </c>
      <c r="G279" s="33" t="s">
        <v>1861</v>
      </c>
      <c r="H279" s="33" t="s">
        <v>2830</v>
      </c>
      <c r="I279" s="33" t="s">
        <v>2830</v>
      </c>
      <c r="J279" s="33" t="s">
        <v>2868</v>
      </c>
      <c r="K279" s="33" t="s">
        <v>1791</v>
      </c>
      <c r="L279" s="33" t="s">
        <v>2838</v>
      </c>
      <c r="M279" s="33" t="s">
        <v>1849</v>
      </c>
      <c r="N279" s="33" t="s">
        <v>1839</v>
      </c>
      <c r="O279" s="33" t="s">
        <v>2869</v>
      </c>
      <c r="P279" s="33" t="s">
        <v>1795</v>
      </c>
      <c r="Q279" s="33" t="s">
        <v>1796</v>
      </c>
    </row>
    <row r="280" spans="1:17">
      <c r="A280" s="33" t="s">
        <v>2870</v>
      </c>
      <c r="B280" s="33" t="s">
        <v>2871</v>
      </c>
      <c r="C280" s="33" t="s">
        <v>1891</v>
      </c>
      <c r="D280" s="33" t="s">
        <v>41</v>
      </c>
      <c r="E280" s="33" t="s">
        <v>1786</v>
      </c>
      <c r="F280" s="33" t="s">
        <v>1787</v>
      </c>
      <c r="G280" s="33" t="s">
        <v>1892</v>
      </c>
      <c r="H280" s="33" t="s">
        <v>2830</v>
      </c>
      <c r="I280" s="33" t="s">
        <v>2830</v>
      </c>
      <c r="J280" s="33" t="s">
        <v>2872</v>
      </c>
      <c r="K280" s="33" t="s">
        <v>1791</v>
      </c>
      <c r="L280" s="33" t="s">
        <v>2838</v>
      </c>
      <c r="M280" s="33" t="s">
        <v>1838</v>
      </c>
      <c r="N280" s="33" t="s">
        <v>43</v>
      </c>
      <c r="O280" s="33" t="s">
        <v>190</v>
      </c>
      <c r="P280" s="33" t="s">
        <v>1795</v>
      </c>
      <c r="Q280" s="33" t="s">
        <v>1796</v>
      </c>
    </row>
    <row r="281" spans="1:17">
      <c r="A281" s="33" t="s">
        <v>2873</v>
      </c>
      <c r="B281" s="33" t="s">
        <v>2874</v>
      </c>
      <c r="C281" s="33" t="s">
        <v>1891</v>
      </c>
      <c r="D281" s="33" t="s">
        <v>41</v>
      </c>
      <c r="E281" s="33" t="s">
        <v>1786</v>
      </c>
      <c r="F281" s="33" t="s">
        <v>1787</v>
      </c>
      <c r="G281" s="33" t="s">
        <v>1892</v>
      </c>
      <c r="H281" s="33" t="s">
        <v>2830</v>
      </c>
      <c r="I281" s="33" t="s">
        <v>2830</v>
      </c>
      <c r="J281" s="33" t="s">
        <v>2875</v>
      </c>
      <c r="K281" s="33" t="s">
        <v>1791</v>
      </c>
      <c r="L281" s="33" t="s">
        <v>2838</v>
      </c>
      <c r="M281" s="33" t="s">
        <v>1838</v>
      </c>
      <c r="N281" s="33" t="s">
        <v>43</v>
      </c>
      <c r="O281" s="33" t="s">
        <v>190</v>
      </c>
      <c r="P281" s="33" t="s">
        <v>1795</v>
      </c>
      <c r="Q281" s="33" t="s">
        <v>1796</v>
      </c>
    </row>
    <row r="282" spans="1:17">
      <c r="A282" s="33" t="s">
        <v>2876</v>
      </c>
      <c r="B282" s="33" t="s">
        <v>2877</v>
      </c>
      <c r="C282" s="33" t="s">
        <v>1891</v>
      </c>
      <c r="D282" s="33" t="s">
        <v>41</v>
      </c>
      <c r="E282" s="33" t="s">
        <v>1786</v>
      </c>
      <c r="F282" s="33" t="s">
        <v>1787</v>
      </c>
      <c r="G282" s="33" t="s">
        <v>1892</v>
      </c>
      <c r="H282" s="33" t="s">
        <v>2830</v>
      </c>
      <c r="I282" s="33" t="s">
        <v>2830</v>
      </c>
      <c r="J282" s="33" t="s">
        <v>2878</v>
      </c>
      <c r="K282" s="33" t="s">
        <v>1791</v>
      </c>
      <c r="L282" s="33" t="s">
        <v>2838</v>
      </c>
      <c r="M282" s="33" t="s">
        <v>1838</v>
      </c>
      <c r="N282" s="33" t="s">
        <v>43</v>
      </c>
      <c r="O282" s="33" t="s">
        <v>190</v>
      </c>
      <c r="P282" s="33" t="s">
        <v>1795</v>
      </c>
      <c r="Q282" s="33" t="s">
        <v>1796</v>
      </c>
    </row>
    <row r="283" spans="1:17">
      <c r="A283" s="33" t="s">
        <v>2879</v>
      </c>
      <c r="B283" s="33" t="s">
        <v>2880</v>
      </c>
      <c r="C283" s="33" t="s">
        <v>1819</v>
      </c>
      <c r="D283" s="33" t="s">
        <v>41</v>
      </c>
      <c r="E283" s="33" t="s">
        <v>1786</v>
      </c>
      <c r="F283" s="33" t="s">
        <v>1787</v>
      </c>
      <c r="G283" s="33" t="s">
        <v>1986</v>
      </c>
      <c r="H283" s="33" t="s">
        <v>2830</v>
      </c>
      <c r="I283" s="33" t="s">
        <v>2830</v>
      </c>
      <c r="J283" s="33" t="s">
        <v>2881</v>
      </c>
      <c r="K283" s="33" t="s">
        <v>1791</v>
      </c>
      <c r="L283" s="33" t="s">
        <v>2838</v>
      </c>
      <c r="M283" s="33" t="s">
        <v>1844</v>
      </c>
      <c r="N283" s="33" t="s">
        <v>1078</v>
      </c>
      <c r="O283" s="33" t="s">
        <v>190</v>
      </c>
      <c r="P283" s="33" t="s">
        <v>1804</v>
      </c>
      <c r="Q283" s="33" t="s">
        <v>1796</v>
      </c>
    </row>
    <row r="284" spans="1:17">
      <c r="A284" s="33" t="s">
        <v>2882</v>
      </c>
      <c r="B284" s="33" t="s">
        <v>2883</v>
      </c>
      <c r="C284" s="33" t="s">
        <v>1891</v>
      </c>
      <c r="D284" s="33" t="s">
        <v>41</v>
      </c>
      <c r="E284" s="33" t="s">
        <v>1786</v>
      </c>
      <c r="F284" s="33" t="s">
        <v>1787</v>
      </c>
      <c r="G284" s="33" t="s">
        <v>1892</v>
      </c>
      <c r="H284" s="33" t="s">
        <v>2830</v>
      </c>
      <c r="I284" s="33" t="s">
        <v>2830</v>
      </c>
      <c r="J284" s="33" t="s">
        <v>2884</v>
      </c>
      <c r="K284" s="33" t="s">
        <v>1791</v>
      </c>
      <c r="L284" s="33" t="s">
        <v>2838</v>
      </c>
      <c r="M284" s="33" t="s">
        <v>1863</v>
      </c>
      <c r="N284" s="33" t="s">
        <v>43</v>
      </c>
      <c r="O284" s="33" t="s">
        <v>190</v>
      </c>
      <c r="P284" s="33" t="s">
        <v>1795</v>
      </c>
      <c r="Q284" s="33" t="s">
        <v>1796</v>
      </c>
    </row>
    <row r="285" spans="1:17" hidden="1">
      <c r="A285" s="33" t="s">
        <v>2885</v>
      </c>
      <c r="B285" s="33" t="s">
        <v>2886</v>
      </c>
      <c r="C285" s="33" t="s">
        <v>1891</v>
      </c>
      <c r="D285" s="33" t="s">
        <v>1892</v>
      </c>
      <c r="E285" s="33" t="s">
        <v>1836</v>
      </c>
      <c r="F285" s="33" t="s">
        <v>1787</v>
      </c>
      <c r="G285" s="33" t="s">
        <v>1892</v>
      </c>
      <c r="H285" s="33" t="s">
        <v>2830</v>
      </c>
      <c r="I285" s="33" t="s">
        <v>2830</v>
      </c>
      <c r="J285" s="33" t="s">
        <v>2887</v>
      </c>
      <c r="K285" s="33" t="s">
        <v>1791</v>
      </c>
      <c r="L285" s="33" t="s">
        <v>2503</v>
      </c>
      <c r="M285" s="33" t="s">
        <v>1849</v>
      </c>
      <c r="N285" s="33" t="s">
        <v>43</v>
      </c>
      <c r="O285" s="33" t="s">
        <v>189</v>
      </c>
      <c r="P285" s="33" t="s">
        <v>1764</v>
      </c>
      <c r="Q285" s="33" t="s">
        <v>1796</v>
      </c>
    </row>
    <row r="286" spans="1:17" hidden="1">
      <c r="A286" s="33" t="s">
        <v>2888</v>
      </c>
      <c r="B286" s="33" t="s">
        <v>2889</v>
      </c>
      <c r="C286" s="33" t="s">
        <v>1891</v>
      </c>
      <c r="D286" s="33" t="s">
        <v>1892</v>
      </c>
      <c r="E286" s="33" t="s">
        <v>1836</v>
      </c>
      <c r="F286" s="33" t="s">
        <v>1787</v>
      </c>
      <c r="G286" s="33" t="s">
        <v>1892</v>
      </c>
      <c r="H286" s="33" t="s">
        <v>2830</v>
      </c>
      <c r="I286" s="33" t="s">
        <v>2830</v>
      </c>
      <c r="J286" s="33" t="s">
        <v>2890</v>
      </c>
      <c r="K286" s="33" t="s">
        <v>1791</v>
      </c>
      <c r="L286" s="33" t="s">
        <v>2503</v>
      </c>
      <c r="M286" s="33" t="s">
        <v>1838</v>
      </c>
      <c r="N286" s="33" t="s">
        <v>43</v>
      </c>
      <c r="O286" s="33" t="s">
        <v>190</v>
      </c>
      <c r="P286" s="33" t="s">
        <v>1764</v>
      </c>
      <c r="Q286" s="33" t="s">
        <v>1796</v>
      </c>
    </row>
    <row r="287" spans="1:17">
      <c r="A287" s="33" t="s">
        <v>2891</v>
      </c>
      <c r="B287" s="33" t="s">
        <v>2892</v>
      </c>
      <c r="C287" s="33" t="s">
        <v>1891</v>
      </c>
      <c r="D287" s="33" t="s">
        <v>41</v>
      </c>
      <c r="E287" s="33" t="s">
        <v>1786</v>
      </c>
      <c r="F287" s="33" t="s">
        <v>1787</v>
      </c>
      <c r="G287" s="33" t="s">
        <v>1892</v>
      </c>
      <c r="H287" s="33" t="s">
        <v>2830</v>
      </c>
      <c r="I287" s="33" t="s">
        <v>2830</v>
      </c>
      <c r="J287" s="33" t="s">
        <v>2893</v>
      </c>
      <c r="K287" s="33" t="s">
        <v>1791</v>
      </c>
      <c r="L287" s="33" t="s">
        <v>2838</v>
      </c>
      <c r="M287" s="33" t="s">
        <v>1838</v>
      </c>
      <c r="N287" s="33" t="s">
        <v>43</v>
      </c>
      <c r="O287" s="33" t="s">
        <v>189</v>
      </c>
      <c r="P287" s="33" t="s">
        <v>1795</v>
      </c>
      <c r="Q287" s="33" t="s">
        <v>1796</v>
      </c>
    </row>
    <row r="288" spans="1:17" hidden="1">
      <c r="A288" s="33" t="s">
        <v>2888</v>
      </c>
      <c r="B288" s="33" t="s">
        <v>2894</v>
      </c>
      <c r="C288" s="33" t="s">
        <v>1891</v>
      </c>
      <c r="D288" s="33" t="s">
        <v>1892</v>
      </c>
      <c r="E288" s="33" t="s">
        <v>1836</v>
      </c>
      <c r="F288" s="33" t="s">
        <v>1787</v>
      </c>
      <c r="G288" s="33" t="s">
        <v>1892</v>
      </c>
      <c r="H288" s="33" t="s">
        <v>2830</v>
      </c>
      <c r="I288" s="33" t="s">
        <v>2830</v>
      </c>
      <c r="J288" s="33" t="s">
        <v>2895</v>
      </c>
      <c r="K288" s="33" t="s">
        <v>1791</v>
      </c>
      <c r="L288" s="33" t="s">
        <v>2503</v>
      </c>
      <c r="M288" s="33" t="s">
        <v>1827</v>
      </c>
      <c r="N288" s="33" t="s">
        <v>43</v>
      </c>
      <c r="O288" s="33" t="s">
        <v>189</v>
      </c>
      <c r="P288" s="33" t="s">
        <v>1764</v>
      </c>
      <c r="Q288" s="33" t="s">
        <v>1796</v>
      </c>
    </row>
    <row r="289" spans="1:17" hidden="1">
      <c r="A289" s="33" t="s">
        <v>2888</v>
      </c>
      <c r="B289" s="33" t="s">
        <v>2896</v>
      </c>
      <c r="C289" s="33" t="s">
        <v>1891</v>
      </c>
      <c r="D289" s="33" t="s">
        <v>1892</v>
      </c>
      <c r="E289" s="33" t="s">
        <v>1836</v>
      </c>
      <c r="F289" s="33" t="s">
        <v>1787</v>
      </c>
      <c r="G289" s="33" t="s">
        <v>1892</v>
      </c>
      <c r="H289" s="33" t="s">
        <v>2830</v>
      </c>
      <c r="I289" s="33" t="s">
        <v>2830</v>
      </c>
      <c r="J289" s="33" t="s">
        <v>2897</v>
      </c>
      <c r="K289" s="33" t="s">
        <v>1791</v>
      </c>
      <c r="L289" s="33" t="s">
        <v>2503</v>
      </c>
      <c r="M289" s="33" t="s">
        <v>1793</v>
      </c>
      <c r="N289" s="33" t="s">
        <v>43</v>
      </c>
      <c r="O289" s="33" t="s">
        <v>190</v>
      </c>
      <c r="P289" s="33" t="s">
        <v>1764</v>
      </c>
      <c r="Q289" s="33" t="s">
        <v>1796</v>
      </c>
    </row>
    <row r="290" spans="1:17" hidden="1">
      <c r="A290" s="33" t="s">
        <v>2888</v>
      </c>
      <c r="B290" s="33" t="s">
        <v>2898</v>
      </c>
      <c r="C290" s="33" t="s">
        <v>1891</v>
      </c>
      <c r="D290" s="33" t="s">
        <v>1892</v>
      </c>
      <c r="E290" s="33" t="s">
        <v>1836</v>
      </c>
      <c r="F290" s="33" t="s">
        <v>1787</v>
      </c>
      <c r="G290" s="33" t="s">
        <v>1892</v>
      </c>
      <c r="H290" s="33" t="s">
        <v>2830</v>
      </c>
      <c r="I290" s="33" t="s">
        <v>2830</v>
      </c>
      <c r="J290" s="33" t="s">
        <v>2899</v>
      </c>
      <c r="K290" s="33" t="s">
        <v>1791</v>
      </c>
      <c r="L290" s="33" t="s">
        <v>2503</v>
      </c>
      <c r="M290" s="33" t="s">
        <v>1995</v>
      </c>
      <c r="N290" s="33" t="s">
        <v>43</v>
      </c>
      <c r="O290" s="33" t="s">
        <v>2152</v>
      </c>
      <c r="P290" s="33" t="s">
        <v>1764</v>
      </c>
      <c r="Q290" s="33" t="s">
        <v>1796</v>
      </c>
    </row>
    <row r="291" spans="1:17">
      <c r="A291" s="33" t="s">
        <v>2891</v>
      </c>
      <c r="B291" s="33" t="s">
        <v>2900</v>
      </c>
      <c r="C291" s="33" t="s">
        <v>1891</v>
      </c>
      <c r="D291" s="33" t="s">
        <v>41</v>
      </c>
      <c r="E291" s="33" t="s">
        <v>1786</v>
      </c>
      <c r="F291" s="33" t="s">
        <v>1787</v>
      </c>
      <c r="G291" s="33" t="s">
        <v>1892</v>
      </c>
      <c r="H291" s="33" t="s">
        <v>2830</v>
      </c>
      <c r="I291" s="33" t="s">
        <v>2830</v>
      </c>
      <c r="J291" s="33" t="s">
        <v>2901</v>
      </c>
      <c r="K291" s="33" t="s">
        <v>1791</v>
      </c>
      <c r="L291" s="33" t="s">
        <v>2902</v>
      </c>
      <c r="M291" s="33" t="s">
        <v>1811</v>
      </c>
      <c r="N291" s="33" t="s">
        <v>43</v>
      </c>
      <c r="O291" s="33" t="s">
        <v>189</v>
      </c>
      <c r="P291" s="33" t="s">
        <v>1795</v>
      </c>
      <c r="Q291" s="33" t="s">
        <v>1796</v>
      </c>
    </row>
    <row r="292" spans="1:17">
      <c r="A292" s="33" t="s">
        <v>2891</v>
      </c>
      <c r="B292" s="33" t="s">
        <v>2903</v>
      </c>
      <c r="C292" s="33" t="s">
        <v>1891</v>
      </c>
      <c r="D292" s="33" t="s">
        <v>41</v>
      </c>
      <c r="E292" s="33" t="s">
        <v>1786</v>
      </c>
      <c r="F292" s="33" t="s">
        <v>1787</v>
      </c>
      <c r="G292" s="33" t="s">
        <v>1892</v>
      </c>
      <c r="H292" s="33" t="s">
        <v>2830</v>
      </c>
      <c r="I292" s="33" t="s">
        <v>2830</v>
      </c>
      <c r="J292" s="33" t="s">
        <v>2904</v>
      </c>
      <c r="K292" s="33" t="s">
        <v>1791</v>
      </c>
      <c r="L292" s="33" t="s">
        <v>2902</v>
      </c>
      <c r="M292" s="33" t="s">
        <v>1844</v>
      </c>
      <c r="N292" s="33" t="s">
        <v>43</v>
      </c>
      <c r="O292" s="33" t="s">
        <v>190</v>
      </c>
      <c r="P292" s="33" t="s">
        <v>1795</v>
      </c>
      <c r="Q292" s="33" t="s">
        <v>1796</v>
      </c>
    </row>
    <row r="293" spans="1:17">
      <c r="A293" s="33" t="s">
        <v>2905</v>
      </c>
      <c r="B293" s="33" t="s">
        <v>2906</v>
      </c>
      <c r="C293" s="33" t="s">
        <v>1891</v>
      </c>
      <c r="D293" s="33" t="s">
        <v>41</v>
      </c>
      <c r="E293" s="33" t="s">
        <v>1786</v>
      </c>
      <c r="F293" s="33" t="s">
        <v>1787</v>
      </c>
      <c r="G293" s="33" t="s">
        <v>1892</v>
      </c>
      <c r="H293" s="33" t="s">
        <v>2830</v>
      </c>
      <c r="I293" s="33" t="s">
        <v>2830</v>
      </c>
      <c r="J293" s="33" t="s">
        <v>2907</v>
      </c>
      <c r="K293" s="33" t="s">
        <v>1791</v>
      </c>
      <c r="L293" s="33" t="s">
        <v>2902</v>
      </c>
      <c r="M293" s="33" t="s">
        <v>1838</v>
      </c>
      <c r="N293" s="33" t="s">
        <v>43</v>
      </c>
      <c r="O293" s="33" t="s">
        <v>190</v>
      </c>
      <c r="P293" s="33" t="s">
        <v>1795</v>
      </c>
      <c r="Q293" s="33" t="s">
        <v>1796</v>
      </c>
    </row>
    <row r="294" spans="1:17" hidden="1">
      <c r="A294" s="33" t="s">
        <v>2908</v>
      </c>
      <c r="B294" s="33" t="s">
        <v>2909</v>
      </c>
      <c r="C294" s="33" t="s">
        <v>1891</v>
      </c>
      <c r="D294" s="33" t="s">
        <v>1892</v>
      </c>
      <c r="E294" s="33" t="s">
        <v>1836</v>
      </c>
      <c r="F294" s="33" t="s">
        <v>1787</v>
      </c>
      <c r="G294" s="33" t="s">
        <v>1892</v>
      </c>
      <c r="H294" s="33" t="s">
        <v>2830</v>
      </c>
      <c r="I294" s="33" t="s">
        <v>2830</v>
      </c>
      <c r="J294" s="33" t="s">
        <v>2899</v>
      </c>
      <c r="K294" s="33" t="s">
        <v>1791</v>
      </c>
      <c r="L294" s="33" t="s">
        <v>2695</v>
      </c>
      <c r="M294" s="33" t="s">
        <v>1838</v>
      </c>
      <c r="N294" s="33" t="s">
        <v>43</v>
      </c>
      <c r="O294" s="33" t="s">
        <v>189</v>
      </c>
      <c r="P294" s="33" t="s">
        <v>1764</v>
      </c>
      <c r="Q294" s="33" t="s">
        <v>1796</v>
      </c>
    </row>
    <row r="295" spans="1:17" hidden="1">
      <c r="A295" s="33" t="s">
        <v>2910</v>
      </c>
      <c r="B295" s="33" t="s">
        <v>2911</v>
      </c>
      <c r="C295" s="33" t="s">
        <v>1891</v>
      </c>
      <c r="D295" s="33" t="s">
        <v>1892</v>
      </c>
      <c r="E295" s="33" t="s">
        <v>1836</v>
      </c>
      <c r="F295" s="33" t="s">
        <v>1787</v>
      </c>
      <c r="G295" s="33" t="s">
        <v>1892</v>
      </c>
      <c r="H295" s="33" t="s">
        <v>2830</v>
      </c>
      <c r="I295" s="33" t="s">
        <v>2830</v>
      </c>
      <c r="J295" s="33" t="s">
        <v>2912</v>
      </c>
      <c r="K295" s="33" t="s">
        <v>1791</v>
      </c>
      <c r="L295" s="33" t="s">
        <v>2695</v>
      </c>
      <c r="M295" s="33" t="s">
        <v>1838</v>
      </c>
      <c r="N295" s="33" t="s">
        <v>43</v>
      </c>
      <c r="O295" s="33" t="s">
        <v>2152</v>
      </c>
      <c r="P295" s="33" t="s">
        <v>1764</v>
      </c>
      <c r="Q295" s="33" t="s">
        <v>1796</v>
      </c>
    </row>
    <row r="296" spans="1:17">
      <c r="A296" s="33" t="s">
        <v>2913</v>
      </c>
      <c r="B296" s="33" t="s">
        <v>2914</v>
      </c>
      <c r="C296" s="33" t="s">
        <v>1891</v>
      </c>
      <c r="D296" s="33" t="s">
        <v>41</v>
      </c>
      <c r="E296" s="33" t="s">
        <v>1786</v>
      </c>
      <c r="F296" s="33" t="s">
        <v>1787</v>
      </c>
      <c r="G296" s="33" t="s">
        <v>1892</v>
      </c>
      <c r="H296" s="33" t="s">
        <v>2830</v>
      </c>
      <c r="I296" s="33" t="s">
        <v>2830</v>
      </c>
      <c r="J296" s="33" t="s">
        <v>2915</v>
      </c>
      <c r="K296" s="33" t="s">
        <v>1791</v>
      </c>
      <c r="L296" s="33" t="s">
        <v>2902</v>
      </c>
      <c r="M296" s="33" t="s">
        <v>1838</v>
      </c>
      <c r="N296" s="33" t="s">
        <v>43</v>
      </c>
      <c r="O296" s="33" t="s">
        <v>190</v>
      </c>
      <c r="P296" s="33" t="s">
        <v>1795</v>
      </c>
      <c r="Q296" s="33" t="s">
        <v>1796</v>
      </c>
    </row>
    <row r="297" spans="1:17" hidden="1">
      <c r="A297" s="33" t="s">
        <v>2916</v>
      </c>
      <c r="B297" s="33" t="s">
        <v>2917</v>
      </c>
      <c r="C297" s="33" t="s">
        <v>1891</v>
      </c>
      <c r="D297" s="33" t="s">
        <v>1892</v>
      </c>
      <c r="E297" s="33" t="s">
        <v>1836</v>
      </c>
      <c r="F297" s="33" t="s">
        <v>1787</v>
      </c>
      <c r="G297" s="33" t="s">
        <v>1892</v>
      </c>
      <c r="H297" s="33" t="s">
        <v>2830</v>
      </c>
      <c r="I297" s="33" t="s">
        <v>2830</v>
      </c>
      <c r="J297" s="33" t="s">
        <v>2899</v>
      </c>
      <c r="K297" s="33" t="s">
        <v>1791</v>
      </c>
      <c r="L297" s="33" t="s">
        <v>2695</v>
      </c>
      <c r="M297" s="33" t="s">
        <v>1827</v>
      </c>
      <c r="N297" s="33" t="s">
        <v>43</v>
      </c>
      <c r="O297" s="33" t="s">
        <v>190</v>
      </c>
      <c r="P297" s="33" t="s">
        <v>1764</v>
      </c>
      <c r="Q297" s="33" t="s">
        <v>1796</v>
      </c>
    </row>
    <row r="298" spans="1:17" hidden="1">
      <c r="A298" s="33" t="s">
        <v>2908</v>
      </c>
      <c r="B298" s="33" t="s">
        <v>2918</v>
      </c>
      <c r="C298" s="33" t="s">
        <v>1891</v>
      </c>
      <c r="D298" s="33" t="s">
        <v>1892</v>
      </c>
      <c r="E298" s="33" t="s">
        <v>1836</v>
      </c>
      <c r="F298" s="33" t="s">
        <v>1787</v>
      </c>
      <c r="G298" s="33" t="s">
        <v>1892</v>
      </c>
      <c r="H298" s="33" t="s">
        <v>2830</v>
      </c>
      <c r="I298" s="33" t="s">
        <v>2830</v>
      </c>
      <c r="J298" s="33" t="s">
        <v>2899</v>
      </c>
      <c r="K298" s="33" t="s">
        <v>1791</v>
      </c>
      <c r="L298" s="33" t="s">
        <v>2695</v>
      </c>
      <c r="M298" s="33" t="s">
        <v>1827</v>
      </c>
      <c r="N298" s="33" t="s">
        <v>43</v>
      </c>
      <c r="O298" s="33" t="s">
        <v>190</v>
      </c>
      <c r="P298" s="33" t="s">
        <v>1764</v>
      </c>
      <c r="Q298" s="33" t="s">
        <v>1796</v>
      </c>
    </row>
    <row r="299" spans="1:17" hidden="1">
      <c r="A299" s="33" t="s">
        <v>2919</v>
      </c>
      <c r="B299" s="33" t="s">
        <v>2920</v>
      </c>
      <c r="C299" s="33" t="s">
        <v>1891</v>
      </c>
      <c r="D299" s="33" t="s">
        <v>1892</v>
      </c>
      <c r="E299" s="33" t="s">
        <v>1836</v>
      </c>
      <c r="F299" s="33" t="s">
        <v>1787</v>
      </c>
      <c r="G299" s="33" t="s">
        <v>1892</v>
      </c>
      <c r="H299" s="33" t="s">
        <v>2830</v>
      </c>
      <c r="I299" s="33" t="s">
        <v>2830</v>
      </c>
      <c r="J299" s="33" t="s">
        <v>2899</v>
      </c>
      <c r="K299" s="33" t="s">
        <v>1791</v>
      </c>
      <c r="L299" s="33" t="s">
        <v>2695</v>
      </c>
      <c r="M299" s="33" t="s">
        <v>1827</v>
      </c>
      <c r="N299" s="33" t="s">
        <v>43</v>
      </c>
      <c r="O299" s="33" t="s">
        <v>190</v>
      </c>
      <c r="P299" s="33" t="s">
        <v>1764</v>
      </c>
      <c r="Q299" s="33" t="s">
        <v>1796</v>
      </c>
    </row>
    <row r="300" spans="1:17">
      <c r="A300" s="33" t="s">
        <v>2921</v>
      </c>
      <c r="B300" s="33" t="s">
        <v>2922</v>
      </c>
      <c r="C300" s="33" t="s">
        <v>1891</v>
      </c>
      <c r="D300" s="33" t="s">
        <v>41</v>
      </c>
      <c r="E300" s="33" t="s">
        <v>1786</v>
      </c>
      <c r="F300" s="33" t="s">
        <v>1787</v>
      </c>
      <c r="G300" s="33" t="s">
        <v>1892</v>
      </c>
      <c r="H300" s="33" t="s">
        <v>2830</v>
      </c>
      <c r="I300" s="33" t="s">
        <v>2830</v>
      </c>
      <c r="J300" s="33" t="s">
        <v>2923</v>
      </c>
      <c r="K300" s="33" t="s">
        <v>1791</v>
      </c>
      <c r="L300" s="33" t="s">
        <v>2902</v>
      </c>
      <c r="M300" s="33" t="s">
        <v>1827</v>
      </c>
      <c r="N300" s="33" t="s">
        <v>43</v>
      </c>
      <c r="O300" s="33" t="s">
        <v>190</v>
      </c>
      <c r="P300" s="33" t="s">
        <v>1795</v>
      </c>
      <c r="Q300" s="33" t="s">
        <v>1796</v>
      </c>
    </row>
    <row r="301" spans="1:17" hidden="1">
      <c r="A301" s="33" t="s">
        <v>2916</v>
      </c>
      <c r="B301" s="33" t="s">
        <v>2924</v>
      </c>
      <c r="C301" s="33" t="s">
        <v>1891</v>
      </c>
      <c r="D301" s="33" t="s">
        <v>1892</v>
      </c>
      <c r="E301" s="33" t="s">
        <v>1836</v>
      </c>
      <c r="F301" s="33" t="s">
        <v>1787</v>
      </c>
      <c r="G301" s="33" t="s">
        <v>1892</v>
      </c>
      <c r="H301" s="33" t="s">
        <v>2830</v>
      </c>
      <c r="I301" s="33" t="s">
        <v>2830</v>
      </c>
      <c r="J301" s="33" t="s">
        <v>2890</v>
      </c>
      <c r="K301" s="33" t="s">
        <v>1791</v>
      </c>
      <c r="L301" s="33" t="s">
        <v>2695</v>
      </c>
      <c r="M301" s="33" t="s">
        <v>1793</v>
      </c>
      <c r="N301" s="33" t="s">
        <v>43</v>
      </c>
      <c r="O301" s="33" t="s">
        <v>190</v>
      </c>
      <c r="P301" s="33" t="s">
        <v>1764</v>
      </c>
      <c r="Q301" s="33" t="s">
        <v>1796</v>
      </c>
    </row>
    <row r="302" spans="1:17">
      <c r="A302" s="33" t="s">
        <v>2925</v>
      </c>
      <c r="B302" s="33" t="s">
        <v>2926</v>
      </c>
      <c r="C302" s="33" t="s">
        <v>1891</v>
      </c>
      <c r="D302" s="33" t="s">
        <v>41</v>
      </c>
      <c r="E302" s="33" t="s">
        <v>1786</v>
      </c>
      <c r="F302" s="33" t="s">
        <v>1787</v>
      </c>
      <c r="G302" s="33" t="s">
        <v>1892</v>
      </c>
      <c r="H302" s="33" t="s">
        <v>2830</v>
      </c>
      <c r="I302" s="33" t="s">
        <v>2830</v>
      </c>
      <c r="J302" s="33" t="s">
        <v>2927</v>
      </c>
      <c r="K302" s="33" t="s">
        <v>1791</v>
      </c>
      <c r="L302" s="33" t="s">
        <v>2902</v>
      </c>
      <c r="M302" s="33" t="s">
        <v>2050</v>
      </c>
      <c r="N302" s="33" t="s">
        <v>43</v>
      </c>
      <c r="O302" s="33" t="s">
        <v>190</v>
      </c>
      <c r="P302" s="33" t="s">
        <v>1795</v>
      </c>
      <c r="Q302" s="33" t="s">
        <v>1796</v>
      </c>
    </row>
    <row r="303" spans="1:17" hidden="1">
      <c r="A303" s="33" t="s">
        <v>2910</v>
      </c>
      <c r="B303" s="33" t="s">
        <v>2928</v>
      </c>
      <c r="C303" s="33" t="s">
        <v>1891</v>
      </c>
      <c r="D303" s="33" t="s">
        <v>1892</v>
      </c>
      <c r="E303" s="33" t="s">
        <v>1836</v>
      </c>
      <c r="F303" s="33" t="s">
        <v>1787</v>
      </c>
      <c r="G303" s="33" t="s">
        <v>1892</v>
      </c>
      <c r="H303" s="33" t="s">
        <v>2830</v>
      </c>
      <c r="I303" s="33" t="s">
        <v>2830</v>
      </c>
      <c r="J303" s="33" t="s">
        <v>2890</v>
      </c>
      <c r="K303" s="33" t="s">
        <v>1791</v>
      </c>
      <c r="L303" s="33" t="s">
        <v>2695</v>
      </c>
      <c r="M303" s="33" t="s">
        <v>1793</v>
      </c>
      <c r="N303" s="33" t="s">
        <v>43</v>
      </c>
      <c r="O303" s="33" t="s">
        <v>190</v>
      </c>
      <c r="P303" s="33" t="s">
        <v>1764</v>
      </c>
      <c r="Q303" s="33" t="s">
        <v>1796</v>
      </c>
    </row>
    <row r="304" spans="1:17">
      <c r="A304" s="33" t="s">
        <v>2929</v>
      </c>
      <c r="B304" s="33" t="s">
        <v>2930</v>
      </c>
      <c r="C304" s="33" t="s">
        <v>1891</v>
      </c>
      <c r="D304" s="33" t="s">
        <v>41</v>
      </c>
      <c r="E304" s="33" t="s">
        <v>1786</v>
      </c>
      <c r="F304" s="33" t="s">
        <v>1787</v>
      </c>
      <c r="G304" s="33" t="s">
        <v>1892</v>
      </c>
      <c r="H304" s="33" t="s">
        <v>2830</v>
      </c>
      <c r="I304" s="33" t="s">
        <v>2830</v>
      </c>
      <c r="J304" s="33" t="s">
        <v>2931</v>
      </c>
      <c r="K304" s="33" t="s">
        <v>1791</v>
      </c>
      <c r="L304" s="33" t="s">
        <v>2902</v>
      </c>
      <c r="M304" s="33" t="s">
        <v>1793</v>
      </c>
      <c r="N304" s="33" t="s">
        <v>43</v>
      </c>
      <c r="O304" s="33" t="s">
        <v>190</v>
      </c>
      <c r="P304" s="33" t="s">
        <v>1795</v>
      </c>
      <c r="Q304" s="33" t="s">
        <v>1796</v>
      </c>
    </row>
    <row r="305" spans="1:17">
      <c r="A305" s="33" t="s">
        <v>2932</v>
      </c>
      <c r="B305" s="33" t="s">
        <v>2933</v>
      </c>
      <c r="C305" s="33" t="s">
        <v>1891</v>
      </c>
      <c r="D305" s="33" t="s">
        <v>41</v>
      </c>
      <c r="E305" s="33" t="s">
        <v>1786</v>
      </c>
      <c r="F305" s="33" t="s">
        <v>1787</v>
      </c>
      <c r="G305" s="33" t="s">
        <v>1892</v>
      </c>
      <c r="H305" s="33" t="s">
        <v>2830</v>
      </c>
      <c r="I305" s="33" t="s">
        <v>2830</v>
      </c>
      <c r="J305" s="33" t="s">
        <v>2934</v>
      </c>
      <c r="K305" s="33" t="s">
        <v>1791</v>
      </c>
      <c r="L305" s="33" t="s">
        <v>2902</v>
      </c>
      <c r="M305" s="33" t="s">
        <v>1995</v>
      </c>
      <c r="N305" s="33" t="s">
        <v>43</v>
      </c>
      <c r="O305" s="33" t="s">
        <v>190</v>
      </c>
      <c r="P305" s="33" t="s">
        <v>1795</v>
      </c>
      <c r="Q305" s="33" t="s">
        <v>1796</v>
      </c>
    </row>
    <row r="306" spans="1:17">
      <c r="A306" s="33" t="s">
        <v>2925</v>
      </c>
      <c r="B306" s="33" t="s">
        <v>2935</v>
      </c>
      <c r="C306" s="33" t="s">
        <v>1891</v>
      </c>
      <c r="D306" s="33" t="s">
        <v>41</v>
      </c>
      <c r="E306" s="33" t="s">
        <v>1786</v>
      </c>
      <c r="F306" s="33" t="s">
        <v>1787</v>
      </c>
      <c r="G306" s="33" t="s">
        <v>1892</v>
      </c>
      <c r="H306" s="33" t="s">
        <v>2830</v>
      </c>
      <c r="I306" s="33" t="s">
        <v>2830</v>
      </c>
      <c r="J306" s="33" t="s">
        <v>2936</v>
      </c>
      <c r="K306" s="33" t="s">
        <v>1791</v>
      </c>
      <c r="L306" s="33" t="s">
        <v>2902</v>
      </c>
      <c r="M306" s="33" t="s">
        <v>2050</v>
      </c>
      <c r="N306" s="33" t="s">
        <v>43</v>
      </c>
      <c r="O306" s="33" t="s">
        <v>190</v>
      </c>
      <c r="P306" s="33" t="s">
        <v>1795</v>
      </c>
      <c r="Q306" s="33" t="s">
        <v>1796</v>
      </c>
    </row>
    <row r="307" spans="1:17">
      <c r="A307" s="33" t="s">
        <v>2929</v>
      </c>
      <c r="B307" s="33" t="s">
        <v>2937</v>
      </c>
      <c r="C307" s="33" t="s">
        <v>1891</v>
      </c>
      <c r="D307" s="33" t="s">
        <v>41</v>
      </c>
      <c r="E307" s="33" t="s">
        <v>1786</v>
      </c>
      <c r="F307" s="33" t="s">
        <v>1787</v>
      </c>
      <c r="G307" s="33" t="s">
        <v>1892</v>
      </c>
      <c r="H307" s="33" t="s">
        <v>2830</v>
      </c>
      <c r="I307" s="33" t="s">
        <v>2830</v>
      </c>
      <c r="J307" s="33" t="s">
        <v>2938</v>
      </c>
      <c r="K307" s="33" t="s">
        <v>1791</v>
      </c>
      <c r="L307" s="33" t="s">
        <v>2902</v>
      </c>
      <c r="M307" s="33" t="s">
        <v>1995</v>
      </c>
      <c r="N307" s="33" t="s">
        <v>43</v>
      </c>
      <c r="O307" s="33" t="s">
        <v>190</v>
      </c>
      <c r="P307" s="33" t="s">
        <v>1795</v>
      </c>
      <c r="Q307" s="33" t="s">
        <v>1796</v>
      </c>
    </row>
    <row r="308" spans="1:17" hidden="1">
      <c r="A308" s="33" t="s">
        <v>2910</v>
      </c>
      <c r="B308" s="33" t="s">
        <v>2939</v>
      </c>
      <c r="C308" s="33" t="s">
        <v>1891</v>
      </c>
      <c r="D308" s="33" t="s">
        <v>1892</v>
      </c>
      <c r="E308" s="33" t="s">
        <v>1836</v>
      </c>
      <c r="F308" s="33" t="s">
        <v>1787</v>
      </c>
      <c r="G308" s="33" t="s">
        <v>1892</v>
      </c>
      <c r="H308" s="33" t="s">
        <v>2830</v>
      </c>
      <c r="I308" s="33" t="s">
        <v>2830</v>
      </c>
      <c r="J308" s="33" t="s">
        <v>2890</v>
      </c>
      <c r="K308" s="33" t="s">
        <v>1791</v>
      </c>
      <c r="L308" s="33" t="s">
        <v>2695</v>
      </c>
      <c r="M308" s="33" t="s">
        <v>1995</v>
      </c>
      <c r="N308" s="33" t="s">
        <v>43</v>
      </c>
      <c r="O308" s="33" t="s">
        <v>190</v>
      </c>
      <c r="P308" s="33" t="s">
        <v>1764</v>
      </c>
      <c r="Q308" s="33" t="s">
        <v>1796</v>
      </c>
    </row>
    <row r="309" spans="1:17">
      <c r="A309" s="33" t="s">
        <v>2940</v>
      </c>
      <c r="B309" s="33" t="s">
        <v>2941</v>
      </c>
      <c r="C309" s="33" t="s">
        <v>1891</v>
      </c>
      <c r="D309" s="33" t="s">
        <v>41</v>
      </c>
      <c r="E309" s="33" t="s">
        <v>1786</v>
      </c>
      <c r="F309" s="33" t="s">
        <v>1787</v>
      </c>
      <c r="G309" s="33" t="s">
        <v>1892</v>
      </c>
      <c r="H309" s="33" t="s">
        <v>2830</v>
      </c>
      <c r="I309" s="33" t="s">
        <v>2830</v>
      </c>
      <c r="J309" s="33" t="s">
        <v>2942</v>
      </c>
      <c r="K309" s="33" t="s">
        <v>1791</v>
      </c>
      <c r="L309" s="33" t="s">
        <v>2902</v>
      </c>
      <c r="M309" s="33" t="s">
        <v>1811</v>
      </c>
      <c r="N309" s="33" t="s">
        <v>43</v>
      </c>
      <c r="O309" s="33" t="s">
        <v>190</v>
      </c>
      <c r="P309" s="33" t="s">
        <v>1795</v>
      </c>
      <c r="Q309" s="33" t="s">
        <v>1796</v>
      </c>
    </row>
    <row r="310" spans="1:17">
      <c r="A310" s="33" t="s">
        <v>2925</v>
      </c>
      <c r="B310" s="33" t="s">
        <v>2943</v>
      </c>
      <c r="C310" s="33" t="s">
        <v>1891</v>
      </c>
      <c r="D310" s="33" t="s">
        <v>41</v>
      </c>
      <c r="E310" s="33" t="s">
        <v>1786</v>
      </c>
      <c r="F310" s="33" t="s">
        <v>1787</v>
      </c>
      <c r="G310" s="33" t="s">
        <v>1892</v>
      </c>
      <c r="H310" s="33" t="s">
        <v>2830</v>
      </c>
      <c r="I310" s="33" t="s">
        <v>2830</v>
      </c>
      <c r="J310" s="33" t="s">
        <v>2944</v>
      </c>
      <c r="K310" s="33" t="s">
        <v>1791</v>
      </c>
      <c r="L310" s="33" t="s">
        <v>2902</v>
      </c>
      <c r="M310" s="33" t="s">
        <v>2050</v>
      </c>
      <c r="N310" s="33" t="s">
        <v>43</v>
      </c>
      <c r="O310" s="33" t="s">
        <v>190</v>
      </c>
      <c r="P310" s="33" t="s">
        <v>1795</v>
      </c>
      <c r="Q310" s="33" t="s">
        <v>1796</v>
      </c>
    </row>
    <row r="311" spans="1:17">
      <c r="A311" s="33" t="s">
        <v>2945</v>
      </c>
      <c r="B311" s="33" t="s">
        <v>2946</v>
      </c>
      <c r="C311" s="33" t="s">
        <v>1891</v>
      </c>
      <c r="D311" s="33" t="s">
        <v>41</v>
      </c>
      <c r="E311" s="33" t="s">
        <v>1786</v>
      </c>
      <c r="F311" s="33" t="s">
        <v>1787</v>
      </c>
      <c r="G311" s="33" t="s">
        <v>1892</v>
      </c>
      <c r="H311" s="33" t="s">
        <v>2830</v>
      </c>
      <c r="I311" s="33" t="s">
        <v>2830</v>
      </c>
      <c r="J311" s="33" t="s">
        <v>2947</v>
      </c>
      <c r="K311" s="33" t="s">
        <v>1791</v>
      </c>
      <c r="L311" s="33" t="s">
        <v>2902</v>
      </c>
      <c r="M311" s="33" t="s">
        <v>1811</v>
      </c>
      <c r="N311" s="33" t="s">
        <v>43</v>
      </c>
      <c r="O311" s="33" t="s">
        <v>190</v>
      </c>
      <c r="P311" s="33" t="s">
        <v>1795</v>
      </c>
      <c r="Q311" s="33" t="s">
        <v>1796</v>
      </c>
    </row>
    <row r="312" spans="1:17" hidden="1">
      <c r="A312" s="33" t="s">
        <v>2910</v>
      </c>
      <c r="B312" s="33" t="s">
        <v>2948</v>
      </c>
      <c r="C312" s="33" t="s">
        <v>1891</v>
      </c>
      <c r="D312" s="33" t="s">
        <v>1892</v>
      </c>
      <c r="E312" s="33" t="s">
        <v>1836</v>
      </c>
      <c r="F312" s="33" t="s">
        <v>1787</v>
      </c>
      <c r="G312" s="33" t="s">
        <v>1892</v>
      </c>
      <c r="H312" s="33" t="s">
        <v>2830</v>
      </c>
      <c r="I312" s="33" t="s">
        <v>2830</v>
      </c>
      <c r="J312" s="33" t="s">
        <v>2890</v>
      </c>
      <c r="K312" s="33" t="s">
        <v>1791</v>
      </c>
      <c r="L312" s="33" t="s">
        <v>2695</v>
      </c>
      <c r="M312" s="33" t="s">
        <v>1811</v>
      </c>
      <c r="N312" s="33" t="s">
        <v>43</v>
      </c>
      <c r="O312" s="33" t="s">
        <v>190</v>
      </c>
      <c r="P312" s="33" t="s">
        <v>1764</v>
      </c>
      <c r="Q312" s="33" t="s">
        <v>1796</v>
      </c>
    </row>
    <row r="313" spans="1:17">
      <c r="A313" s="33" t="s">
        <v>2949</v>
      </c>
      <c r="B313" s="33" t="s">
        <v>2950</v>
      </c>
      <c r="C313" s="33" t="s">
        <v>1891</v>
      </c>
      <c r="D313" s="33" t="s">
        <v>41</v>
      </c>
      <c r="E313" s="33" t="s">
        <v>1786</v>
      </c>
      <c r="F313" s="33" t="s">
        <v>1787</v>
      </c>
      <c r="G313" s="33" t="s">
        <v>1892</v>
      </c>
      <c r="H313" s="33" t="s">
        <v>2830</v>
      </c>
      <c r="I313" s="33" t="s">
        <v>2830</v>
      </c>
      <c r="J313" s="33" t="s">
        <v>2951</v>
      </c>
      <c r="K313" s="33" t="s">
        <v>1791</v>
      </c>
      <c r="L313" s="33" t="s">
        <v>2902</v>
      </c>
      <c r="M313" s="33" t="s">
        <v>1844</v>
      </c>
      <c r="N313" s="33" t="s">
        <v>43</v>
      </c>
      <c r="O313" s="33" t="s">
        <v>190</v>
      </c>
      <c r="P313" s="33" t="s">
        <v>1795</v>
      </c>
      <c r="Q313" s="33" t="s">
        <v>1796</v>
      </c>
    </row>
    <row r="314" spans="1:17" hidden="1">
      <c r="A314" s="33" t="s">
        <v>2910</v>
      </c>
      <c r="B314" s="33" t="s">
        <v>2952</v>
      </c>
      <c r="C314" s="33" t="s">
        <v>1891</v>
      </c>
      <c r="D314" s="33" t="s">
        <v>1892</v>
      </c>
      <c r="E314" s="33" t="s">
        <v>1836</v>
      </c>
      <c r="F314" s="33" t="s">
        <v>1787</v>
      </c>
      <c r="G314" s="33" t="s">
        <v>1892</v>
      </c>
      <c r="H314" s="33" t="s">
        <v>2830</v>
      </c>
      <c r="I314" s="33" t="s">
        <v>2830</v>
      </c>
      <c r="J314" s="33" t="s">
        <v>2890</v>
      </c>
      <c r="K314" s="33" t="s">
        <v>1791</v>
      </c>
      <c r="L314" s="33" t="s">
        <v>2695</v>
      </c>
      <c r="M314" s="33" t="s">
        <v>1844</v>
      </c>
      <c r="N314" s="33" t="s">
        <v>43</v>
      </c>
      <c r="O314" s="33" t="s">
        <v>190</v>
      </c>
      <c r="P314" s="33" t="s">
        <v>1764</v>
      </c>
      <c r="Q314" s="33" t="s">
        <v>1796</v>
      </c>
    </row>
    <row r="315" spans="1:17" hidden="1">
      <c r="A315" s="33" t="s">
        <v>2908</v>
      </c>
      <c r="B315" s="33" t="s">
        <v>2953</v>
      </c>
      <c r="C315" s="33" t="s">
        <v>1891</v>
      </c>
      <c r="D315" s="33" t="s">
        <v>1892</v>
      </c>
      <c r="E315" s="33" t="s">
        <v>1836</v>
      </c>
      <c r="F315" s="33" t="s">
        <v>1787</v>
      </c>
      <c r="G315" s="33" t="s">
        <v>1892</v>
      </c>
      <c r="H315" s="33" t="s">
        <v>2830</v>
      </c>
      <c r="I315" s="33" t="s">
        <v>2830</v>
      </c>
      <c r="J315" s="33" t="s">
        <v>2890</v>
      </c>
      <c r="K315" s="33" t="s">
        <v>1791</v>
      </c>
      <c r="L315" s="33" t="s">
        <v>2695</v>
      </c>
      <c r="M315" s="33" t="s">
        <v>1844</v>
      </c>
      <c r="N315" s="33" t="s">
        <v>43</v>
      </c>
      <c r="O315" s="33" t="s">
        <v>190</v>
      </c>
      <c r="P315" s="33" t="s">
        <v>1764</v>
      </c>
      <c r="Q315" s="33" t="s">
        <v>1796</v>
      </c>
    </row>
    <row r="316" spans="1:17" hidden="1">
      <c r="A316" s="33" t="s">
        <v>2916</v>
      </c>
      <c r="B316" s="33" t="s">
        <v>2954</v>
      </c>
      <c r="C316" s="33" t="s">
        <v>1891</v>
      </c>
      <c r="D316" s="33" t="s">
        <v>1892</v>
      </c>
      <c r="E316" s="33" t="s">
        <v>1836</v>
      </c>
      <c r="F316" s="33" t="s">
        <v>1787</v>
      </c>
      <c r="G316" s="33" t="s">
        <v>1892</v>
      </c>
      <c r="H316" s="33" t="s">
        <v>2830</v>
      </c>
      <c r="I316" s="33" t="s">
        <v>2830</v>
      </c>
      <c r="J316" s="33" t="s">
        <v>2890</v>
      </c>
      <c r="K316" s="33" t="s">
        <v>1791</v>
      </c>
      <c r="L316" s="33" t="s">
        <v>2695</v>
      </c>
      <c r="M316" s="33" t="s">
        <v>1844</v>
      </c>
      <c r="N316" s="33" t="s">
        <v>43</v>
      </c>
      <c r="O316" s="33" t="s">
        <v>189</v>
      </c>
      <c r="P316" s="33" t="s">
        <v>1764</v>
      </c>
      <c r="Q316" s="33" t="s">
        <v>1796</v>
      </c>
    </row>
    <row r="317" spans="1:17" hidden="1">
      <c r="A317" s="33" t="s">
        <v>2910</v>
      </c>
      <c r="B317" s="33" t="s">
        <v>2955</v>
      </c>
      <c r="C317" s="33" t="s">
        <v>1891</v>
      </c>
      <c r="D317" s="33" t="s">
        <v>1892</v>
      </c>
      <c r="E317" s="33" t="s">
        <v>1836</v>
      </c>
      <c r="F317" s="33" t="s">
        <v>1787</v>
      </c>
      <c r="G317" s="33" t="s">
        <v>1892</v>
      </c>
      <c r="H317" s="33" t="s">
        <v>2830</v>
      </c>
      <c r="I317" s="33" t="s">
        <v>2830</v>
      </c>
      <c r="J317" s="33" t="s">
        <v>2890</v>
      </c>
      <c r="K317" s="33" t="s">
        <v>1791</v>
      </c>
      <c r="L317" s="33" t="s">
        <v>2695</v>
      </c>
      <c r="M317" s="33" t="s">
        <v>1863</v>
      </c>
      <c r="N317" s="33" t="s">
        <v>43</v>
      </c>
      <c r="O317" s="33" t="s">
        <v>190</v>
      </c>
      <c r="P317" s="33" t="s">
        <v>1764</v>
      </c>
      <c r="Q317" s="33" t="s">
        <v>1796</v>
      </c>
    </row>
    <row r="318" spans="1:17">
      <c r="A318" s="33" t="s">
        <v>2956</v>
      </c>
      <c r="B318" s="33" t="s">
        <v>2957</v>
      </c>
      <c r="C318" s="33" t="s">
        <v>1891</v>
      </c>
      <c r="D318" s="33" t="s">
        <v>41</v>
      </c>
      <c r="E318" s="33" t="s">
        <v>1786</v>
      </c>
      <c r="F318" s="33" t="s">
        <v>1787</v>
      </c>
      <c r="G318" s="33" t="s">
        <v>1892</v>
      </c>
      <c r="H318" s="33" t="s">
        <v>2830</v>
      </c>
      <c r="I318" s="33" t="s">
        <v>2830</v>
      </c>
      <c r="J318" s="33" t="s">
        <v>2958</v>
      </c>
      <c r="K318" s="33" t="s">
        <v>1791</v>
      </c>
      <c r="L318" s="33" t="s">
        <v>2902</v>
      </c>
      <c r="M318" s="33" t="s">
        <v>1863</v>
      </c>
      <c r="N318" s="33" t="s">
        <v>43</v>
      </c>
      <c r="O318" s="33" t="s">
        <v>190</v>
      </c>
      <c r="P318" s="33" t="s">
        <v>1795</v>
      </c>
      <c r="Q318" s="33" t="s">
        <v>1796</v>
      </c>
    </row>
    <row r="319" spans="1:17">
      <c r="A319" s="33" t="s">
        <v>2925</v>
      </c>
      <c r="B319" s="33" t="s">
        <v>2959</v>
      </c>
      <c r="C319" s="33" t="s">
        <v>1891</v>
      </c>
      <c r="D319" s="33" t="s">
        <v>41</v>
      </c>
      <c r="E319" s="33" t="s">
        <v>1786</v>
      </c>
      <c r="F319" s="33" t="s">
        <v>1787</v>
      </c>
      <c r="G319" s="33" t="s">
        <v>1892</v>
      </c>
      <c r="H319" s="33" t="s">
        <v>2830</v>
      </c>
      <c r="I319" s="33" t="s">
        <v>2830</v>
      </c>
      <c r="J319" s="33" t="s">
        <v>2960</v>
      </c>
      <c r="K319" s="33" t="s">
        <v>1791</v>
      </c>
      <c r="L319" s="33" t="s">
        <v>2902</v>
      </c>
      <c r="M319" s="33" t="s">
        <v>2050</v>
      </c>
      <c r="N319" s="33" t="s">
        <v>43</v>
      </c>
      <c r="O319" s="33" t="s">
        <v>190</v>
      </c>
      <c r="P319" s="33" t="s">
        <v>1795</v>
      </c>
      <c r="Q319" s="33" t="s">
        <v>1796</v>
      </c>
    </row>
    <row r="320" spans="1:17" hidden="1">
      <c r="A320" s="33" t="s">
        <v>2916</v>
      </c>
      <c r="B320" s="33" t="s">
        <v>2961</v>
      </c>
      <c r="C320" s="33" t="s">
        <v>1891</v>
      </c>
      <c r="D320" s="33" t="s">
        <v>1892</v>
      </c>
      <c r="E320" s="33" t="s">
        <v>1836</v>
      </c>
      <c r="F320" s="33" t="s">
        <v>1787</v>
      </c>
      <c r="G320" s="33" t="s">
        <v>1892</v>
      </c>
      <c r="H320" s="33" t="s">
        <v>2830</v>
      </c>
      <c r="I320" s="33" t="s">
        <v>2830</v>
      </c>
      <c r="J320" s="33" t="s">
        <v>2890</v>
      </c>
      <c r="K320" s="33" t="s">
        <v>1791</v>
      </c>
      <c r="L320" s="33" t="s">
        <v>2695</v>
      </c>
      <c r="M320" s="33" t="s">
        <v>1863</v>
      </c>
      <c r="N320" s="33" t="s">
        <v>43</v>
      </c>
      <c r="O320" s="33" t="s">
        <v>190</v>
      </c>
      <c r="P320" s="33" t="s">
        <v>1764</v>
      </c>
      <c r="Q320" s="33" t="s">
        <v>1796</v>
      </c>
    </row>
    <row r="321" spans="1:17">
      <c r="A321" s="33" t="s">
        <v>2962</v>
      </c>
      <c r="B321" s="33" t="s">
        <v>2963</v>
      </c>
      <c r="C321" s="33" t="s">
        <v>1831</v>
      </c>
      <c r="D321" s="33" t="s">
        <v>41</v>
      </c>
      <c r="E321" s="33" t="s">
        <v>1786</v>
      </c>
      <c r="F321" s="33" t="s">
        <v>1815</v>
      </c>
      <c r="G321" s="33" t="s">
        <v>1861</v>
      </c>
      <c r="H321" s="33" t="s">
        <v>2964</v>
      </c>
      <c r="I321" s="33" t="s">
        <v>2964</v>
      </c>
      <c r="J321" s="33" t="s">
        <v>2965</v>
      </c>
      <c r="K321" s="33" t="s">
        <v>1791</v>
      </c>
      <c r="L321" s="33" t="s">
        <v>2902</v>
      </c>
      <c r="M321" s="33" t="s">
        <v>1863</v>
      </c>
      <c r="N321" s="33" t="s">
        <v>1839</v>
      </c>
      <c r="O321" s="33" t="s">
        <v>2966</v>
      </c>
      <c r="P321" s="33" t="s">
        <v>1804</v>
      </c>
      <c r="Q321" s="33" t="s">
        <v>1796</v>
      </c>
    </row>
    <row r="322" spans="1:17">
      <c r="A322" s="33" t="s">
        <v>2967</v>
      </c>
      <c r="B322" s="33" t="s">
        <v>2968</v>
      </c>
      <c r="C322" s="33" t="s">
        <v>1831</v>
      </c>
      <c r="D322" s="33" t="s">
        <v>41</v>
      </c>
      <c r="E322" s="33" t="s">
        <v>1786</v>
      </c>
      <c r="F322" s="33" t="s">
        <v>1815</v>
      </c>
      <c r="G322" s="33" t="s">
        <v>1861</v>
      </c>
      <c r="H322" s="33" t="s">
        <v>2964</v>
      </c>
      <c r="I322" s="33" t="s">
        <v>2964</v>
      </c>
      <c r="J322" s="33" t="s">
        <v>2969</v>
      </c>
      <c r="K322" s="33" t="s">
        <v>1791</v>
      </c>
      <c r="L322" s="33" t="s">
        <v>2902</v>
      </c>
      <c r="M322" s="33" t="s">
        <v>1811</v>
      </c>
      <c r="N322" s="33" t="s">
        <v>1839</v>
      </c>
      <c r="O322" s="33" t="s">
        <v>2970</v>
      </c>
      <c r="P322" s="33" t="s">
        <v>1804</v>
      </c>
      <c r="Q322" s="33" t="s">
        <v>1796</v>
      </c>
    </row>
    <row r="323" spans="1:17">
      <c r="A323" s="33" t="s">
        <v>2971</v>
      </c>
      <c r="B323" s="33" t="s">
        <v>2972</v>
      </c>
      <c r="C323" s="33" t="s">
        <v>2374</v>
      </c>
      <c r="D323" s="33" t="s">
        <v>41</v>
      </c>
      <c r="E323" s="33" t="s">
        <v>1786</v>
      </c>
      <c r="F323" s="33" t="s">
        <v>1787</v>
      </c>
      <c r="G323" s="33" t="s">
        <v>67</v>
      </c>
      <c r="H323" s="33" t="s">
        <v>2964</v>
      </c>
      <c r="I323" s="33" t="s">
        <v>2964</v>
      </c>
      <c r="J323" s="33" t="s">
        <v>2973</v>
      </c>
      <c r="K323" s="33" t="s">
        <v>1791</v>
      </c>
      <c r="L323" s="33" t="s">
        <v>2902</v>
      </c>
      <c r="M323" s="33" t="s">
        <v>82</v>
      </c>
      <c r="N323" s="33" t="s">
        <v>1849</v>
      </c>
      <c r="O323" s="33" t="s">
        <v>2974</v>
      </c>
      <c r="P323" s="33" t="s">
        <v>2023</v>
      </c>
      <c r="Q323" s="33" t="s">
        <v>1796</v>
      </c>
    </row>
    <row r="324" spans="1:17">
      <c r="A324" s="33" t="s">
        <v>2975</v>
      </c>
      <c r="B324" s="33" t="s">
        <v>2976</v>
      </c>
      <c r="C324" s="33" t="s">
        <v>2273</v>
      </c>
      <c r="D324" s="33" t="s">
        <v>41</v>
      </c>
      <c r="E324" s="33" t="s">
        <v>1786</v>
      </c>
      <c r="F324" s="33" t="s">
        <v>1787</v>
      </c>
      <c r="G324" s="33" t="s">
        <v>89</v>
      </c>
      <c r="H324" s="33" t="s">
        <v>2964</v>
      </c>
      <c r="I324" s="33" t="s">
        <v>2964</v>
      </c>
      <c r="J324" s="33" t="s">
        <v>2977</v>
      </c>
      <c r="K324" s="33" t="s">
        <v>1791</v>
      </c>
      <c r="L324" s="33" t="s">
        <v>2902</v>
      </c>
      <c r="M324" s="33" t="s">
        <v>1811</v>
      </c>
      <c r="N324" s="33" t="s">
        <v>2077</v>
      </c>
      <c r="O324" s="33" t="s">
        <v>2978</v>
      </c>
      <c r="P324" s="33" t="s">
        <v>2023</v>
      </c>
      <c r="Q324" s="33" t="s">
        <v>1796</v>
      </c>
    </row>
    <row r="325" spans="1:17" hidden="1">
      <c r="A325" s="33" t="s">
        <v>2979</v>
      </c>
      <c r="B325" s="33" t="s">
        <v>2980</v>
      </c>
      <c r="C325" s="33" t="s">
        <v>1980</v>
      </c>
      <c r="D325" s="33" t="s">
        <v>41</v>
      </c>
      <c r="E325" s="33" t="s">
        <v>1836</v>
      </c>
      <c r="F325" s="33" t="s">
        <v>1787</v>
      </c>
      <c r="G325" s="33" t="s">
        <v>2820</v>
      </c>
      <c r="H325" s="33" t="s">
        <v>2964</v>
      </c>
      <c r="I325" s="33" t="s">
        <v>2981</v>
      </c>
      <c r="J325" s="33" t="s">
        <v>2982</v>
      </c>
      <c r="K325" s="33" t="s">
        <v>1791</v>
      </c>
      <c r="L325" s="33" t="s">
        <v>2902</v>
      </c>
      <c r="M325" s="33" t="s">
        <v>1811</v>
      </c>
      <c r="N325" s="33" t="s">
        <v>1849</v>
      </c>
      <c r="O325" s="33" t="s">
        <v>2983</v>
      </c>
      <c r="P325" s="33" t="s">
        <v>1764</v>
      </c>
      <c r="Q325" s="33" t="s">
        <v>1796</v>
      </c>
    </row>
    <row r="326" spans="1:17">
      <c r="A326" s="33" t="s">
        <v>2984</v>
      </c>
      <c r="B326" s="33" t="s">
        <v>2985</v>
      </c>
      <c r="C326" s="33" t="s">
        <v>2026</v>
      </c>
      <c r="D326" s="33" t="s">
        <v>41</v>
      </c>
      <c r="E326" s="33" t="s">
        <v>1786</v>
      </c>
      <c r="F326" s="33" t="s">
        <v>1815</v>
      </c>
      <c r="G326" s="33" t="s">
        <v>90</v>
      </c>
      <c r="H326" s="33" t="s">
        <v>2964</v>
      </c>
      <c r="I326" s="33" t="s">
        <v>2964</v>
      </c>
      <c r="J326" s="33" t="s">
        <v>2986</v>
      </c>
      <c r="K326" s="33" t="s">
        <v>1791</v>
      </c>
      <c r="L326" s="33" t="s">
        <v>2902</v>
      </c>
      <c r="M326" s="33" t="s">
        <v>1822</v>
      </c>
      <c r="N326" s="33" t="s">
        <v>1838</v>
      </c>
      <c r="O326" s="33" t="s">
        <v>2526</v>
      </c>
      <c r="P326" s="33" t="s">
        <v>1795</v>
      </c>
      <c r="Q326" s="33" t="s">
        <v>1796</v>
      </c>
    </row>
    <row r="327" spans="1:17">
      <c r="A327" s="33" t="s">
        <v>2987</v>
      </c>
      <c r="B327" s="33" t="s">
        <v>2988</v>
      </c>
      <c r="C327" s="33" t="s">
        <v>2443</v>
      </c>
      <c r="D327" s="33" t="s">
        <v>41</v>
      </c>
      <c r="E327" s="33" t="s">
        <v>1786</v>
      </c>
      <c r="F327" s="33" t="s">
        <v>1787</v>
      </c>
      <c r="G327" s="33" t="s">
        <v>2444</v>
      </c>
      <c r="H327" s="33" t="s">
        <v>2964</v>
      </c>
      <c r="I327" s="33" t="s">
        <v>2964</v>
      </c>
      <c r="J327" s="33" t="s">
        <v>2989</v>
      </c>
      <c r="K327" s="33" t="s">
        <v>1791</v>
      </c>
      <c r="L327" s="33" t="s">
        <v>2902</v>
      </c>
      <c r="M327" s="33" t="s">
        <v>1838</v>
      </c>
      <c r="N327" s="33" t="s">
        <v>2050</v>
      </c>
      <c r="O327" s="33" t="s">
        <v>2990</v>
      </c>
      <c r="P327" s="33" t="s">
        <v>1869</v>
      </c>
      <c r="Q327" s="33" t="s">
        <v>1796</v>
      </c>
    </row>
    <row r="328" spans="1:17">
      <c r="A328" s="33" t="s">
        <v>2991</v>
      </c>
      <c r="B328" s="33" t="s">
        <v>2992</v>
      </c>
      <c r="C328" s="33" t="s">
        <v>2096</v>
      </c>
      <c r="D328" s="33" t="s">
        <v>41</v>
      </c>
      <c r="E328" s="33" t="s">
        <v>1786</v>
      </c>
      <c r="F328" s="33" t="s">
        <v>1787</v>
      </c>
      <c r="G328" s="33" t="s">
        <v>2097</v>
      </c>
      <c r="H328" s="33" t="s">
        <v>2964</v>
      </c>
      <c r="I328" s="33" t="s">
        <v>2964</v>
      </c>
      <c r="J328" s="33" t="s">
        <v>2993</v>
      </c>
      <c r="K328" s="33" t="s">
        <v>1791</v>
      </c>
      <c r="L328" s="33" t="s">
        <v>2902</v>
      </c>
      <c r="M328" s="33" t="s">
        <v>1863</v>
      </c>
      <c r="N328" s="33" t="s">
        <v>1863</v>
      </c>
      <c r="O328" s="33" t="s">
        <v>1919</v>
      </c>
      <c r="P328" s="33" t="s">
        <v>1795</v>
      </c>
      <c r="Q328" s="33" t="s">
        <v>1796</v>
      </c>
    </row>
    <row r="329" spans="1:17">
      <c r="A329" s="33" t="s">
        <v>2994</v>
      </c>
      <c r="B329" s="33" t="s">
        <v>2995</v>
      </c>
      <c r="C329" s="33" t="s">
        <v>2096</v>
      </c>
      <c r="D329" s="33" t="s">
        <v>41</v>
      </c>
      <c r="E329" s="33" t="s">
        <v>1786</v>
      </c>
      <c r="F329" s="33" t="s">
        <v>1787</v>
      </c>
      <c r="G329" s="33" t="s">
        <v>2097</v>
      </c>
      <c r="H329" s="33" t="s">
        <v>2964</v>
      </c>
      <c r="I329" s="33" t="s">
        <v>2964</v>
      </c>
      <c r="J329" s="33" t="s">
        <v>2996</v>
      </c>
      <c r="K329" s="33" t="s">
        <v>1791</v>
      </c>
      <c r="L329" s="33" t="s">
        <v>2902</v>
      </c>
      <c r="M329" s="33" t="s">
        <v>2050</v>
      </c>
      <c r="N329" s="33" t="s">
        <v>1863</v>
      </c>
      <c r="O329" s="33" t="s">
        <v>1919</v>
      </c>
      <c r="P329" s="33" t="s">
        <v>1795</v>
      </c>
      <c r="Q329" s="33" t="s">
        <v>1796</v>
      </c>
    </row>
    <row r="330" spans="1:17">
      <c r="A330" s="33" t="s">
        <v>2997</v>
      </c>
      <c r="B330" s="33" t="s">
        <v>2998</v>
      </c>
      <c r="C330" s="33" t="s">
        <v>2096</v>
      </c>
      <c r="D330" s="33" t="s">
        <v>41</v>
      </c>
      <c r="E330" s="33" t="s">
        <v>1786</v>
      </c>
      <c r="F330" s="33" t="s">
        <v>1787</v>
      </c>
      <c r="G330" s="33" t="s">
        <v>2097</v>
      </c>
      <c r="H330" s="33" t="s">
        <v>2964</v>
      </c>
      <c r="I330" s="33" t="s">
        <v>2964</v>
      </c>
      <c r="J330" s="33" t="s">
        <v>2999</v>
      </c>
      <c r="K330" s="33" t="s">
        <v>1791</v>
      </c>
      <c r="L330" s="33" t="s">
        <v>2902</v>
      </c>
      <c r="M330" s="33" t="s">
        <v>2050</v>
      </c>
      <c r="N330" s="33" t="s">
        <v>1863</v>
      </c>
      <c r="O330" s="33" t="s">
        <v>1926</v>
      </c>
      <c r="P330" s="33" t="s">
        <v>1795</v>
      </c>
      <c r="Q330" s="33" t="s">
        <v>1796</v>
      </c>
    </row>
    <row r="331" spans="1:17">
      <c r="A331" s="33" t="s">
        <v>3000</v>
      </c>
      <c r="B331" s="33" t="s">
        <v>3001</v>
      </c>
      <c r="C331" s="33" t="s">
        <v>2096</v>
      </c>
      <c r="D331" s="33" t="s">
        <v>41</v>
      </c>
      <c r="E331" s="33" t="s">
        <v>1786</v>
      </c>
      <c r="F331" s="33" t="s">
        <v>1787</v>
      </c>
      <c r="G331" s="33" t="s">
        <v>2097</v>
      </c>
      <c r="H331" s="33" t="s">
        <v>2964</v>
      </c>
      <c r="I331" s="33" t="s">
        <v>2964</v>
      </c>
      <c r="J331" s="33" t="s">
        <v>3002</v>
      </c>
      <c r="K331" s="33" t="s">
        <v>1791</v>
      </c>
      <c r="L331" s="33" t="s">
        <v>2902</v>
      </c>
      <c r="M331" s="33" t="s">
        <v>1849</v>
      </c>
      <c r="N331" s="33" t="s">
        <v>1863</v>
      </c>
      <c r="O331" s="33" t="s">
        <v>1926</v>
      </c>
      <c r="P331" s="33" t="s">
        <v>1795</v>
      </c>
      <c r="Q331" s="33" t="s">
        <v>1796</v>
      </c>
    </row>
    <row r="332" spans="1:17" hidden="1">
      <c r="A332" s="33" t="s">
        <v>3003</v>
      </c>
      <c r="B332" s="33" t="s">
        <v>3004</v>
      </c>
      <c r="C332" s="33" t="s">
        <v>2549</v>
      </c>
      <c r="D332" s="33" t="s">
        <v>41</v>
      </c>
      <c r="E332" s="33" t="s">
        <v>1836</v>
      </c>
      <c r="F332" s="33" t="s">
        <v>1787</v>
      </c>
      <c r="G332" s="33" t="s">
        <v>3005</v>
      </c>
      <c r="H332" s="33" t="s">
        <v>3006</v>
      </c>
      <c r="I332" s="33" t="s">
        <v>3006</v>
      </c>
      <c r="J332" s="33" t="s">
        <v>3007</v>
      </c>
      <c r="K332" s="33" t="s">
        <v>1791</v>
      </c>
      <c r="L332" s="33" t="s">
        <v>2902</v>
      </c>
      <c r="M332" s="33" t="s">
        <v>1811</v>
      </c>
      <c r="N332" s="33" t="s">
        <v>1995</v>
      </c>
      <c r="O332" s="33" t="s">
        <v>3008</v>
      </c>
      <c r="P332" s="33" t="s">
        <v>1764</v>
      </c>
      <c r="Q332" s="33" t="s">
        <v>1796</v>
      </c>
    </row>
    <row r="333" spans="1:17">
      <c r="A333" s="33" t="s">
        <v>3009</v>
      </c>
      <c r="B333" s="33" t="s">
        <v>3010</v>
      </c>
      <c r="C333" s="33" t="s">
        <v>3011</v>
      </c>
      <c r="D333" s="33" t="s">
        <v>41</v>
      </c>
      <c r="E333" s="33" t="s">
        <v>1786</v>
      </c>
      <c r="F333" s="33" t="s">
        <v>1787</v>
      </c>
      <c r="G333" s="33" t="s">
        <v>3012</v>
      </c>
      <c r="H333" s="33" t="s">
        <v>3006</v>
      </c>
      <c r="I333" s="33" t="s">
        <v>3006</v>
      </c>
      <c r="J333" s="33" t="s">
        <v>3013</v>
      </c>
      <c r="K333" s="33" t="s">
        <v>1791</v>
      </c>
      <c r="L333" s="33" t="s">
        <v>2902</v>
      </c>
      <c r="M333" s="33" t="s">
        <v>2050</v>
      </c>
      <c r="N333" s="33" t="s">
        <v>1894</v>
      </c>
      <c r="O333" s="33" t="s">
        <v>3014</v>
      </c>
      <c r="P333" s="33" t="s">
        <v>1795</v>
      </c>
      <c r="Q333" s="33" t="s">
        <v>1796</v>
      </c>
    </row>
    <row r="334" spans="1:17">
      <c r="A334" s="33" t="s">
        <v>3015</v>
      </c>
      <c r="B334" s="33" t="s">
        <v>3016</v>
      </c>
      <c r="C334" s="33" t="s">
        <v>2374</v>
      </c>
      <c r="D334" s="33" t="s">
        <v>41</v>
      </c>
      <c r="E334" s="33" t="s">
        <v>1786</v>
      </c>
      <c r="F334" s="33" t="s">
        <v>1787</v>
      </c>
      <c r="G334" s="33" t="s">
        <v>67</v>
      </c>
      <c r="H334" s="33" t="s">
        <v>3006</v>
      </c>
      <c r="I334" s="33" t="s">
        <v>3006</v>
      </c>
      <c r="J334" s="33" t="s">
        <v>3017</v>
      </c>
      <c r="K334" s="33" t="s">
        <v>1791</v>
      </c>
      <c r="L334" s="33" t="s">
        <v>2902</v>
      </c>
      <c r="M334" s="33" t="s">
        <v>196</v>
      </c>
      <c r="N334" s="33" t="s">
        <v>1849</v>
      </c>
      <c r="O334" s="33" t="s">
        <v>2771</v>
      </c>
      <c r="P334" s="33" t="s">
        <v>2023</v>
      </c>
      <c r="Q334" s="33" t="s">
        <v>1796</v>
      </c>
    </row>
    <row r="335" spans="1:17">
      <c r="A335" s="33" t="s">
        <v>3018</v>
      </c>
      <c r="B335" s="33" t="s">
        <v>3019</v>
      </c>
      <c r="C335" s="33" t="s">
        <v>2374</v>
      </c>
      <c r="D335" s="33" t="s">
        <v>41</v>
      </c>
      <c r="E335" s="33" t="s">
        <v>1786</v>
      </c>
      <c r="F335" s="33" t="s">
        <v>1787</v>
      </c>
      <c r="G335" s="33" t="s">
        <v>67</v>
      </c>
      <c r="H335" s="33" t="s">
        <v>3006</v>
      </c>
      <c r="I335" s="33" t="s">
        <v>3006</v>
      </c>
      <c r="J335" s="33" t="s">
        <v>3020</v>
      </c>
      <c r="K335" s="33" t="s">
        <v>1791</v>
      </c>
      <c r="L335" s="33" t="s">
        <v>2902</v>
      </c>
      <c r="M335" s="33" t="s">
        <v>1849</v>
      </c>
      <c r="N335" s="33" t="s">
        <v>1849</v>
      </c>
      <c r="O335" s="33" t="s">
        <v>3021</v>
      </c>
      <c r="P335" s="33" t="s">
        <v>2321</v>
      </c>
      <c r="Q335" s="33" t="s">
        <v>1796</v>
      </c>
    </row>
    <row r="336" spans="1:17">
      <c r="A336" s="33" t="s">
        <v>3022</v>
      </c>
      <c r="B336" s="33" t="s">
        <v>3023</v>
      </c>
      <c r="C336" s="33" t="s">
        <v>3024</v>
      </c>
      <c r="D336" s="33" t="s">
        <v>41</v>
      </c>
      <c r="E336" s="33" t="s">
        <v>1786</v>
      </c>
      <c r="F336" s="33" t="s">
        <v>1815</v>
      </c>
      <c r="G336" s="33" t="s">
        <v>3025</v>
      </c>
      <c r="H336" s="33" t="s">
        <v>3006</v>
      </c>
      <c r="I336" s="33" t="s">
        <v>3006</v>
      </c>
      <c r="J336" s="33" t="s">
        <v>3026</v>
      </c>
      <c r="K336" s="33" t="s">
        <v>1791</v>
      </c>
      <c r="L336" s="33" t="s">
        <v>2902</v>
      </c>
      <c r="M336" s="33" t="s">
        <v>1811</v>
      </c>
      <c r="N336" s="33" t="s">
        <v>1899</v>
      </c>
      <c r="O336" s="33" t="s">
        <v>3027</v>
      </c>
      <c r="P336" s="33" t="s">
        <v>1795</v>
      </c>
      <c r="Q336" s="33" t="s">
        <v>1796</v>
      </c>
    </row>
    <row r="337" spans="1:17">
      <c r="A337" s="33" t="s">
        <v>3028</v>
      </c>
      <c r="B337" s="33" t="s">
        <v>3029</v>
      </c>
      <c r="C337" s="33" t="s">
        <v>1949</v>
      </c>
      <c r="D337" s="33" t="s">
        <v>41</v>
      </c>
      <c r="E337" s="33" t="s">
        <v>1786</v>
      </c>
      <c r="F337" s="33" t="s">
        <v>1856</v>
      </c>
      <c r="G337" s="33" t="s">
        <v>67</v>
      </c>
      <c r="H337" s="33" t="s">
        <v>3006</v>
      </c>
      <c r="I337" s="33" t="s">
        <v>3006</v>
      </c>
      <c r="J337" s="33" t="s">
        <v>3030</v>
      </c>
      <c r="K337" s="33" t="s">
        <v>1791</v>
      </c>
      <c r="L337" s="33" t="s">
        <v>2902</v>
      </c>
      <c r="M337" s="33" t="s">
        <v>1811</v>
      </c>
      <c r="N337" s="33" t="s">
        <v>55</v>
      </c>
      <c r="O337" s="33" t="s">
        <v>3031</v>
      </c>
      <c r="P337" s="33" t="s">
        <v>2023</v>
      </c>
      <c r="Q337" s="33" t="s">
        <v>1796</v>
      </c>
    </row>
    <row r="338" spans="1:17" hidden="1">
      <c r="A338" s="33" t="s">
        <v>3032</v>
      </c>
      <c r="B338" s="33" t="s">
        <v>3033</v>
      </c>
      <c r="C338" s="33" t="s">
        <v>2147</v>
      </c>
      <c r="D338" s="33" t="s">
        <v>41</v>
      </c>
      <c r="E338" s="33" t="s">
        <v>1836</v>
      </c>
      <c r="F338" s="33" t="s">
        <v>1787</v>
      </c>
      <c r="G338" s="33" t="s">
        <v>86</v>
      </c>
      <c r="H338" s="33" t="s">
        <v>3006</v>
      </c>
      <c r="I338" s="33" t="s">
        <v>3006</v>
      </c>
      <c r="J338" s="33" t="s">
        <v>3034</v>
      </c>
      <c r="K338" s="33" t="s">
        <v>1791</v>
      </c>
      <c r="L338" s="33" t="s">
        <v>2902</v>
      </c>
      <c r="M338" s="33" t="s">
        <v>1811</v>
      </c>
      <c r="N338" s="33" t="s">
        <v>1894</v>
      </c>
      <c r="O338" s="33" t="s">
        <v>3035</v>
      </c>
      <c r="P338" s="33" t="s">
        <v>1764</v>
      </c>
      <c r="Q338" s="33" t="s">
        <v>1796</v>
      </c>
    </row>
    <row r="339" spans="1:17">
      <c r="A339" s="33" t="s">
        <v>2141</v>
      </c>
      <c r="B339" s="33" t="s">
        <v>3036</v>
      </c>
      <c r="C339" s="33" t="s">
        <v>1831</v>
      </c>
      <c r="D339" s="33" t="s">
        <v>41</v>
      </c>
      <c r="E339" s="33" t="s">
        <v>1786</v>
      </c>
      <c r="F339" s="33" t="s">
        <v>1815</v>
      </c>
      <c r="G339" s="33" t="s">
        <v>1872</v>
      </c>
      <c r="H339" s="33" t="s">
        <v>3006</v>
      </c>
      <c r="I339" s="33" t="s">
        <v>3006</v>
      </c>
      <c r="J339" s="33" t="s">
        <v>3037</v>
      </c>
      <c r="K339" s="33" t="s">
        <v>1791</v>
      </c>
      <c r="L339" s="33" t="s">
        <v>2902</v>
      </c>
      <c r="M339" s="33" t="s">
        <v>1827</v>
      </c>
      <c r="N339" s="33" t="s">
        <v>1849</v>
      </c>
      <c r="O339" s="33" t="s">
        <v>1828</v>
      </c>
      <c r="P339" s="33" t="s">
        <v>1795</v>
      </c>
      <c r="Q339" s="33" t="s">
        <v>1796</v>
      </c>
    </row>
    <row r="340" spans="1:17">
      <c r="A340" s="33" t="s">
        <v>3038</v>
      </c>
      <c r="B340" s="33" t="s">
        <v>3039</v>
      </c>
      <c r="C340" s="33" t="s">
        <v>1831</v>
      </c>
      <c r="D340" s="33" t="s">
        <v>41</v>
      </c>
      <c r="E340" s="33" t="s">
        <v>1786</v>
      </c>
      <c r="F340" s="33" t="s">
        <v>1815</v>
      </c>
      <c r="G340" s="33" t="s">
        <v>1872</v>
      </c>
      <c r="H340" s="33" t="s">
        <v>3006</v>
      </c>
      <c r="I340" s="33" t="s">
        <v>3006</v>
      </c>
      <c r="J340" s="33" t="s">
        <v>3040</v>
      </c>
      <c r="K340" s="33" t="s">
        <v>1791</v>
      </c>
      <c r="L340" s="33" t="s">
        <v>2902</v>
      </c>
      <c r="M340" s="33" t="s">
        <v>1849</v>
      </c>
      <c r="N340" s="33" t="s">
        <v>1827</v>
      </c>
      <c r="O340" s="33" t="s">
        <v>3041</v>
      </c>
      <c r="P340" s="33" t="s">
        <v>1795</v>
      </c>
      <c r="Q340" s="33" t="s">
        <v>1796</v>
      </c>
    </row>
    <row r="341" spans="1:17">
      <c r="A341" s="33" t="s">
        <v>3042</v>
      </c>
      <c r="B341" s="33" t="s">
        <v>3043</v>
      </c>
      <c r="C341" s="33" t="s">
        <v>2273</v>
      </c>
      <c r="D341" s="33" t="s">
        <v>41</v>
      </c>
      <c r="E341" s="33" t="s">
        <v>1786</v>
      </c>
      <c r="F341" s="33" t="s">
        <v>1787</v>
      </c>
      <c r="G341" s="33" t="s">
        <v>89</v>
      </c>
      <c r="H341" s="33" t="s">
        <v>3006</v>
      </c>
      <c r="I341" s="33" t="s">
        <v>3006</v>
      </c>
      <c r="J341" s="33" t="s">
        <v>3044</v>
      </c>
      <c r="K341" s="33" t="s">
        <v>1791</v>
      </c>
      <c r="L341" s="33" t="s">
        <v>2902</v>
      </c>
      <c r="M341" s="33" t="s">
        <v>1811</v>
      </c>
      <c r="N341" s="33" t="s">
        <v>2077</v>
      </c>
      <c r="O341" s="33" t="s">
        <v>3045</v>
      </c>
      <c r="P341" s="33" t="s">
        <v>1795</v>
      </c>
      <c r="Q341" s="33" t="s">
        <v>1796</v>
      </c>
    </row>
    <row r="342" spans="1:17">
      <c r="A342" s="33" t="s">
        <v>3046</v>
      </c>
      <c r="B342" s="33" t="s">
        <v>3047</v>
      </c>
      <c r="C342" s="33" t="s">
        <v>2273</v>
      </c>
      <c r="D342" s="33" t="s">
        <v>41</v>
      </c>
      <c r="E342" s="33" t="s">
        <v>1786</v>
      </c>
      <c r="F342" s="33" t="s">
        <v>1815</v>
      </c>
      <c r="G342" s="33" t="s">
        <v>89</v>
      </c>
      <c r="H342" s="33" t="s">
        <v>3006</v>
      </c>
      <c r="I342" s="33" t="s">
        <v>3006</v>
      </c>
      <c r="J342" s="33" t="s">
        <v>3048</v>
      </c>
      <c r="K342" s="33" t="s">
        <v>1791</v>
      </c>
      <c r="L342" s="33" t="s">
        <v>2902</v>
      </c>
      <c r="M342" s="33" t="s">
        <v>1838</v>
      </c>
      <c r="N342" s="33" t="s">
        <v>2077</v>
      </c>
      <c r="O342" s="33" t="s">
        <v>3049</v>
      </c>
      <c r="P342" s="33" t="s">
        <v>1795</v>
      </c>
      <c r="Q342" s="33" t="s">
        <v>1796</v>
      </c>
    </row>
    <row r="343" spans="1:17">
      <c r="A343" s="33" t="s">
        <v>3050</v>
      </c>
      <c r="B343" s="33" t="s">
        <v>3051</v>
      </c>
      <c r="C343" s="33" t="s">
        <v>2273</v>
      </c>
      <c r="D343" s="33" t="s">
        <v>41</v>
      </c>
      <c r="E343" s="33" t="s">
        <v>1786</v>
      </c>
      <c r="F343" s="33" t="s">
        <v>1787</v>
      </c>
      <c r="G343" s="33" t="s">
        <v>89</v>
      </c>
      <c r="H343" s="33" t="s">
        <v>3006</v>
      </c>
      <c r="I343" s="33" t="s">
        <v>3006</v>
      </c>
      <c r="J343" s="33" t="s">
        <v>3052</v>
      </c>
      <c r="K343" s="33" t="s">
        <v>1791</v>
      </c>
      <c r="L343" s="33" t="s">
        <v>2902</v>
      </c>
      <c r="M343" s="33" t="s">
        <v>1811</v>
      </c>
      <c r="N343" s="33" t="s">
        <v>2077</v>
      </c>
      <c r="O343" s="33" t="s">
        <v>2093</v>
      </c>
      <c r="P343" s="33" t="s">
        <v>1804</v>
      </c>
      <c r="Q343" s="33" t="s">
        <v>1796</v>
      </c>
    </row>
    <row r="344" spans="1:17">
      <c r="A344" s="33" t="s">
        <v>3053</v>
      </c>
      <c r="B344" s="33" t="s">
        <v>3054</v>
      </c>
      <c r="C344" s="33" t="s">
        <v>2273</v>
      </c>
      <c r="D344" s="33" t="s">
        <v>41</v>
      </c>
      <c r="E344" s="33" t="s">
        <v>1786</v>
      </c>
      <c r="F344" s="33" t="s">
        <v>1787</v>
      </c>
      <c r="G344" s="33" t="s">
        <v>89</v>
      </c>
      <c r="H344" s="33" t="s">
        <v>3006</v>
      </c>
      <c r="I344" s="33" t="s">
        <v>3006</v>
      </c>
      <c r="J344" s="33" t="s">
        <v>3055</v>
      </c>
      <c r="K344" s="33" t="s">
        <v>1791</v>
      </c>
      <c r="L344" s="33" t="s">
        <v>2902</v>
      </c>
      <c r="M344" s="33" t="s">
        <v>1811</v>
      </c>
      <c r="N344" s="33" t="s">
        <v>2077</v>
      </c>
      <c r="O344" s="33" t="s">
        <v>2093</v>
      </c>
      <c r="P344" s="33" t="s">
        <v>1804</v>
      </c>
      <c r="Q344" s="33" t="s">
        <v>1796</v>
      </c>
    </row>
    <row r="345" spans="1:17">
      <c r="A345" s="33" t="s">
        <v>3056</v>
      </c>
      <c r="B345" s="33" t="s">
        <v>3057</v>
      </c>
      <c r="C345" s="33" t="s">
        <v>2273</v>
      </c>
      <c r="D345" s="33" t="s">
        <v>41</v>
      </c>
      <c r="E345" s="33" t="s">
        <v>1786</v>
      </c>
      <c r="F345" s="33" t="s">
        <v>1787</v>
      </c>
      <c r="G345" s="33" t="s">
        <v>89</v>
      </c>
      <c r="H345" s="33" t="s">
        <v>3006</v>
      </c>
      <c r="I345" s="33" t="s">
        <v>3006</v>
      </c>
      <c r="J345" s="33" t="s">
        <v>3058</v>
      </c>
      <c r="K345" s="33" t="s">
        <v>1791</v>
      </c>
      <c r="L345" s="33" t="s">
        <v>2902</v>
      </c>
      <c r="M345" s="33" t="s">
        <v>1811</v>
      </c>
      <c r="N345" s="33" t="s">
        <v>2077</v>
      </c>
      <c r="O345" s="33" t="s">
        <v>2093</v>
      </c>
      <c r="P345" s="33" t="s">
        <v>1795</v>
      </c>
      <c r="Q345" s="33" t="s">
        <v>1796</v>
      </c>
    </row>
    <row r="346" spans="1:17">
      <c r="A346" s="33" t="s">
        <v>3059</v>
      </c>
      <c r="B346" s="33" t="s">
        <v>3060</v>
      </c>
      <c r="C346" s="33" t="s">
        <v>2273</v>
      </c>
      <c r="D346" s="33" t="s">
        <v>41</v>
      </c>
      <c r="E346" s="33" t="s">
        <v>1786</v>
      </c>
      <c r="F346" s="33" t="s">
        <v>1787</v>
      </c>
      <c r="G346" s="33" t="s">
        <v>89</v>
      </c>
      <c r="H346" s="33" t="s">
        <v>3006</v>
      </c>
      <c r="I346" s="33" t="s">
        <v>3006</v>
      </c>
      <c r="J346" s="33" t="s">
        <v>3061</v>
      </c>
      <c r="K346" s="33" t="s">
        <v>1791</v>
      </c>
      <c r="L346" s="33" t="s">
        <v>2902</v>
      </c>
      <c r="M346" s="33" t="s">
        <v>1811</v>
      </c>
      <c r="N346" s="33" t="s">
        <v>2077</v>
      </c>
      <c r="O346" s="33" t="s">
        <v>2093</v>
      </c>
      <c r="P346" s="33" t="s">
        <v>1795</v>
      </c>
      <c r="Q346" s="33" t="s">
        <v>1796</v>
      </c>
    </row>
    <row r="347" spans="1:17">
      <c r="A347" s="33" t="s">
        <v>3062</v>
      </c>
      <c r="B347" s="33" t="s">
        <v>3063</v>
      </c>
      <c r="C347" s="33" t="s">
        <v>2273</v>
      </c>
      <c r="D347" s="33" t="s">
        <v>41</v>
      </c>
      <c r="E347" s="33" t="s">
        <v>1786</v>
      </c>
      <c r="F347" s="33" t="s">
        <v>1787</v>
      </c>
      <c r="G347" s="33" t="s">
        <v>89</v>
      </c>
      <c r="H347" s="33" t="s">
        <v>3006</v>
      </c>
      <c r="I347" s="33" t="s">
        <v>3006</v>
      </c>
      <c r="J347" s="33" t="s">
        <v>3064</v>
      </c>
      <c r="K347" s="33" t="s">
        <v>1791</v>
      </c>
      <c r="L347" s="33" t="s">
        <v>2902</v>
      </c>
      <c r="M347" s="33" t="s">
        <v>1811</v>
      </c>
      <c r="N347" s="33" t="s">
        <v>2077</v>
      </c>
      <c r="O347" s="33" t="s">
        <v>2093</v>
      </c>
      <c r="P347" s="33" t="s">
        <v>2321</v>
      </c>
      <c r="Q347" s="33" t="s">
        <v>1796</v>
      </c>
    </row>
    <row r="348" spans="1:17">
      <c r="A348" s="33" t="s">
        <v>3065</v>
      </c>
      <c r="B348" s="33" t="s">
        <v>3066</v>
      </c>
      <c r="C348" s="33" t="s">
        <v>1819</v>
      </c>
      <c r="D348" s="33" t="s">
        <v>41</v>
      </c>
      <c r="E348" s="33" t="s">
        <v>1786</v>
      </c>
      <c r="F348" s="33" t="s">
        <v>1787</v>
      </c>
      <c r="G348" s="33" t="s">
        <v>1954</v>
      </c>
      <c r="H348" s="33" t="s">
        <v>3067</v>
      </c>
      <c r="I348" s="33" t="s">
        <v>3067</v>
      </c>
      <c r="J348" s="33" t="s">
        <v>3068</v>
      </c>
      <c r="K348" s="33" t="s">
        <v>1791</v>
      </c>
      <c r="L348" s="33" t="s">
        <v>2902</v>
      </c>
      <c r="M348" s="33" t="s">
        <v>1838</v>
      </c>
      <c r="N348" s="33" t="s">
        <v>1078</v>
      </c>
      <c r="O348" s="33" t="s">
        <v>1895</v>
      </c>
      <c r="P348" s="33" t="s">
        <v>1795</v>
      </c>
      <c r="Q348" s="33" t="s">
        <v>1796</v>
      </c>
    </row>
    <row r="349" spans="1:17">
      <c r="A349" s="33" t="s">
        <v>3069</v>
      </c>
      <c r="B349" s="33" t="s">
        <v>3070</v>
      </c>
      <c r="C349" s="33" t="s">
        <v>1949</v>
      </c>
      <c r="D349" s="33" t="s">
        <v>41</v>
      </c>
      <c r="E349" s="33" t="s">
        <v>1786</v>
      </c>
      <c r="F349" s="33" t="s">
        <v>1856</v>
      </c>
      <c r="G349" s="33" t="s">
        <v>67</v>
      </c>
      <c r="H349" s="33" t="s">
        <v>3067</v>
      </c>
      <c r="I349" s="33" t="s">
        <v>3067</v>
      </c>
      <c r="J349" s="33" t="s">
        <v>3071</v>
      </c>
      <c r="K349" s="33" t="s">
        <v>1791</v>
      </c>
      <c r="L349" s="33" t="s">
        <v>3072</v>
      </c>
      <c r="M349" s="33" t="s">
        <v>1822</v>
      </c>
      <c r="N349" s="33" t="s">
        <v>197</v>
      </c>
      <c r="O349" s="33" t="s">
        <v>3073</v>
      </c>
      <c r="P349" s="33" t="s">
        <v>1795</v>
      </c>
      <c r="Q349" s="33" t="s">
        <v>1796</v>
      </c>
    </row>
    <row r="350" spans="1:17">
      <c r="A350" s="33" t="s">
        <v>3074</v>
      </c>
      <c r="B350" s="33" t="s">
        <v>3075</v>
      </c>
      <c r="C350" s="33" t="s">
        <v>2273</v>
      </c>
      <c r="D350" s="33" t="s">
        <v>41</v>
      </c>
      <c r="E350" s="33" t="s">
        <v>1786</v>
      </c>
      <c r="F350" s="33" t="s">
        <v>1815</v>
      </c>
      <c r="G350" s="33" t="s">
        <v>89</v>
      </c>
      <c r="H350" s="33" t="s">
        <v>3067</v>
      </c>
      <c r="I350" s="33" t="s">
        <v>3067</v>
      </c>
      <c r="J350" s="33" t="s">
        <v>3076</v>
      </c>
      <c r="K350" s="33" t="s">
        <v>1791</v>
      </c>
      <c r="L350" s="33" t="s">
        <v>3072</v>
      </c>
      <c r="M350" s="33" t="s">
        <v>193</v>
      </c>
      <c r="N350" s="33" t="s">
        <v>2077</v>
      </c>
      <c r="O350" s="33" t="s">
        <v>2093</v>
      </c>
      <c r="P350" s="33" t="s">
        <v>2321</v>
      </c>
      <c r="Q350" s="33" t="s">
        <v>1796</v>
      </c>
    </row>
    <row r="351" spans="1:17" hidden="1">
      <c r="A351" s="33" t="s">
        <v>3077</v>
      </c>
      <c r="B351" s="33" t="s">
        <v>3078</v>
      </c>
      <c r="C351" s="33" t="s">
        <v>1980</v>
      </c>
      <c r="D351" s="33" t="s">
        <v>41</v>
      </c>
      <c r="E351" s="33" t="s">
        <v>1836</v>
      </c>
      <c r="F351" s="33" t="s">
        <v>1787</v>
      </c>
      <c r="G351" s="33" t="s">
        <v>2820</v>
      </c>
      <c r="H351" s="33" t="s">
        <v>3067</v>
      </c>
      <c r="I351" s="33" t="s">
        <v>3067</v>
      </c>
      <c r="J351" s="33" t="s">
        <v>3079</v>
      </c>
      <c r="K351" s="33" t="s">
        <v>1791</v>
      </c>
      <c r="L351" s="33" t="s">
        <v>3072</v>
      </c>
      <c r="M351" s="33" t="s">
        <v>1793</v>
      </c>
      <c r="N351" s="33" t="s">
        <v>1849</v>
      </c>
      <c r="O351" s="33" t="s">
        <v>2671</v>
      </c>
      <c r="P351" s="33" t="s">
        <v>1764</v>
      </c>
      <c r="Q351" s="33" t="s">
        <v>1796</v>
      </c>
    </row>
    <row r="352" spans="1:17" hidden="1">
      <c r="A352" s="33" t="s">
        <v>3080</v>
      </c>
      <c r="B352" s="33" t="s">
        <v>3081</v>
      </c>
      <c r="C352" s="33" t="s">
        <v>1980</v>
      </c>
      <c r="D352" s="33" t="s">
        <v>41</v>
      </c>
      <c r="E352" s="33" t="s">
        <v>1836</v>
      </c>
      <c r="F352" s="33" t="s">
        <v>1787</v>
      </c>
      <c r="G352" s="33" t="s">
        <v>2820</v>
      </c>
      <c r="H352" s="33" t="s">
        <v>3067</v>
      </c>
      <c r="I352" s="33" t="s">
        <v>3067</v>
      </c>
      <c r="J352" s="33" t="s">
        <v>3082</v>
      </c>
      <c r="K352" s="33" t="s">
        <v>1791</v>
      </c>
      <c r="L352" s="33" t="s">
        <v>3072</v>
      </c>
      <c r="M352" s="33" t="s">
        <v>1811</v>
      </c>
      <c r="N352" s="33" t="s">
        <v>1849</v>
      </c>
      <c r="O352" s="33" t="s">
        <v>2671</v>
      </c>
      <c r="P352" s="33" t="s">
        <v>1764</v>
      </c>
      <c r="Q352" s="33" t="s">
        <v>1796</v>
      </c>
    </row>
    <row r="353" spans="1:17">
      <c r="A353" s="33" t="s">
        <v>3083</v>
      </c>
      <c r="B353" s="33" t="s">
        <v>3084</v>
      </c>
      <c r="C353" s="33" t="s">
        <v>2020</v>
      </c>
      <c r="D353" s="33" t="s">
        <v>41</v>
      </c>
      <c r="E353" s="33" t="s">
        <v>1786</v>
      </c>
      <c r="F353" s="33" t="s">
        <v>1856</v>
      </c>
      <c r="G353" s="33" t="s">
        <v>3085</v>
      </c>
      <c r="H353" s="33" t="s">
        <v>3067</v>
      </c>
      <c r="I353" s="33" t="s">
        <v>2428</v>
      </c>
      <c r="J353" s="33" t="s">
        <v>3086</v>
      </c>
      <c r="K353" s="33" t="s">
        <v>1791</v>
      </c>
      <c r="L353" s="33" t="s">
        <v>2902</v>
      </c>
      <c r="M353" s="33" t="s">
        <v>1849</v>
      </c>
      <c r="N353" s="33" t="s">
        <v>196</v>
      </c>
      <c r="O353" s="33" t="s">
        <v>2771</v>
      </c>
      <c r="P353" s="33" t="s">
        <v>2263</v>
      </c>
      <c r="Q353" s="33" t="s">
        <v>1796</v>
      </c>
    </row>
    <row r="354" spans="1:17">
      <c r="A354" s="33" t="s">
        <v>3087</v>
      </c>
      <c r="B354" s="33" t="s">
        <v>3088</v>
      </c>
      <c r="C354" s="33" t="s">
        <v>1831</v>
      </c>
      <c r="D354" s="33" t="s">
        <v>41</v>
      </c>
      <c r="E354" s="33" t="s">
        <v>1786</v>
      </c>
      <c r="F354" s="33" t="s">
        <v>1787</v>
      </c>
      <c r="G354" s="33" t="s">
        <v>3089</v>
      </c>
      <c r="H354" s="33" t="s">
        <v>2503</v>
      </c>
      <c r="I354" s="33" t="s">
        <v>2584</v>
      </c>
      <c r="J354" s="33" t="s">
        <v>3090</v>
      </c>
      <c r="K354" s="33" t="s">
        <v>1791</v>
      </c>
      <c r="L354" s="33" t="s">
        <v>3091</v>
      </c>
      <c r="M354" s="33" t="s">
        <v>3092</v>
      </c>
      <c r="N354" s="33" t="s">
        <v>1838</v>
      </c>
      <c r="O354" s="33" t="s">
        <v>3093</v>
      </c>
      <c r="P354" s="33" t="s">
        <v>2263</v>
      </c>
      <c r="Q354" s="33" t="s">
        <v>1796</v>
      </c>
    </row>
    <row r="355" spans="1:17">
      <c r="A355" s="33" t="s">
        <v>3094</v>
      </c>
      <c r="B355" s="33" t="s">
        <v>3095</v>
      </c>
      <c r="C355" s="33" t="s">
        <v>1891</v>
      </c>
      <c r="D355" s="33" t="s">
        <v>41</v>
      </c>
      <c r="E355" s="33" t="s">
        <v>1786</v>
      </c>
      <c r="F355" s="33" t="s">
        <v>1787</v>
      </c>
      <c r="G355" s="33" t="s">
        <v>2349</v>
      </c>
      <c r="H355" s="33" t="s">
        <v>2695</v>
      </c>
      <c r="I355" s="33" t="s">
        <v>2695</v>
      </c>
      <c r="J355" s="33" t="s">
        <v>3096</v>
      </c>
      <c r="K355" s="33" t="s">
        <v>1791</v>
      </c>
      <c r="L355" s="33" t="s">
        <v>3072</v>
      </c>
      <c r="M355" s="33" t="s">
        <v>1863</v>
      </c>
      <c r="N355" s="33" t="s">
        <v>43</v>
      </c>
      <c r="O355" s="33" t="s">
        <v>3097</v>
      </c>
      <c r="P355" s="33" t="s">
        <v>2023</v>
      </c>
      <c r="Q355" s="33" t="s">
        <v>1796</v>
      </c>
    </row>
    <row r="356" spans="1:17">
      <c r="A356" s="33" t="s">
        <v>3098</v>
      </c>
      <c r="B356" s="33" t="s">
        <v>3099</v>
      </c>
      <c r="C356" s="33" t="s">
        <v>1891</v>
      </c>
      <c r="D356" s="33" t="s">
        <v>41</v>
      </c>
      <c r="E356" s="33" t="s">
        <v>1786</v>
      </c>
      <c r="F356" s="33" t="s">
        <v>1787</v>
      </c>
      <c r="G356" s="33" t="s">
        <v>2349</v>
      </c>
      <c r="H356" s="33" t="s">
        <v>2695</v>
      </c>
      <c r="I356" s="33" t="s">
        <v>2695</v>
      </c>
      <c r="J356" s="33" t="s">
        <v>3100</v>
      </c>
      <c r="K356" s="33" t="s">
        <v>1791</v>
      </c>
      <c r="L356" s="33" t="s">
        <v>3072</v>
      </c>
      <c r="M356" s="33" t="s">
        <v>1811</v>
      </c>
      <c r="N356" s="33" t="s">
        <v>43</v>
      </c>
      <c r="O356" s="33" t="s">
        <v>2082</v>
      </c>
      <c r="P356" s="33" t="s">
        <v>2023</v>
      </c>
      <c r="Q356" s="33" t="s">
        <v>1796</v>
      </c>
    </row>
    <row r="357" spans="1:17">
      <c r="A357" s="33" t="s">
        <v>3101</v>
      </c>
      <c r="B357" s="33" t="s">
        <v>3102</v>
      </c>
      <c r="C357" s="33" t="s">
        <v>1891</v>
      </c>
      <c r="D357" s="33" t="s">
        <v>41</v>
      </c>
      <c r="E357" s="33" t="s">
        <v>1786</v>
      </c>
      <c r="F357" s="33" t="s">
        <v>1787</v>
      </c>
      <c r="G357" s="33" t="s">
        <v>2349</v>
      </c>
      <c r="H357" s="33" t="s">
        <v>2695</v>
      </c>
      <c r="I357" s="33" t="s">
        <v>2695</v>
      </c>
      <c r="J357" s="33" t="s">
        <v>3103</v>
      </c>
      <c r="K357" s="33" t="s">
        <v>1791</v>
      </c>
      <c r="L357" s="33" t="s">
        <v>3072</v>
      </c>
      <c r="M357" s="33" t="s">
        <v>1811</v>
      </c>
      <c r="N357" s="33" t="s">
        <v>43</v>
      </c>
      <c r="O357" s="33" t="s">
        <v>2082</v>
      </c>
      <c r="P357" s="33" t="s">
        <v>2023</v>
      </c>
      <c r="Q357" s="33" t="s">
        <v>1796</v>
      </c>
    </row>
    <row r="358" spans="1:17">
      <c r="A358" s="33" t="s">
        <v>3104</v>
      </c>
      <c r="B358" s="33" t="s">
        <v>3105</v>
      </c>
      <c r="C358" s="33" t="s">
        <v>1891</v>
      </c>
      <c r="D358" s="33" t="s">
        <v>41</v>
      </c>
      <c r="E358" s="33" t="s">
        <v>1786</v>
      </c>
      <c r="F358" s="33" t="s">
        <v>1787</v>
      </c>
      <c r="G358" s="33" t="s">
        <v>2349</v>
      </c>
      <c r="H358" s="33" t="s">
        <v>2695</v>
      </c>
      <c r="I358" s="33" t="s">
        <v>2695</v>
      </c>
      <c r="J358" s="33" t="s">
        <v>3106</v>
      </c>
      <c r="K358" s="33" t="s">
        <v>1791</v>
      </c>
      <c r="L358" s="33" t="s">
        <v>3072</v>
      </c>
      <c r="M358" s="33" t="s">
        <v>1863</v>
      </c>
      <c r="N358" s="33" t="s">
        <v>43</v>
      </c>
      <c r="O358" s="33" t="s">
        <v>1951</v>
      </c>
      <c r="P358" s="33" t="s">
        <v>2023</v>
      </c>
      <c r="Q358" s="33" t="s">
        <v>1796</v>
      </c>
    </row>
    <row r="359" spans="1:17">
      <c r="A359" s="33" t="s">
        <v>3107</v>
      </c>
      <c r="B359" s="33" t="s">
        <v>3108</v>
      </c>
      <c r="C359" s="33" t="s">
        <v>1831</v>
      </c>
      <c r="D359" s="33" t="s">
        <v>41</v>
      </c>
      <c r="E359" s="33" t="s">
        <v>1786</v>
      </c>
      <c r="F359" s="33" t="s">
        <v>1787</v>
      </c>
      <c r="G359" s="33" t="s">
        <v>68</v>
      </c>
      <c r="H359" s="33" t="s">
        <v>2695</v>
      </c>
      <c r="I359" s="33" t="s">
        <v>2695</v>
      </c>
      <c r="J359" s="33" t="s">
        <v>3109</v>
      </c>
      <c r="K359" s="33" t="s">
        <v>1791</v>
      </c>
      <c r="L359" s="33" t="s">
        <v>3072</v>
      </c>
      <c r="M359" s="33" t="s">
        <v>1844</v>
      </c>
      <c r="N359" s="33" t="s">
        <v>1827</v>
      </c>
      <c r="O359" s="33" t="s">
        <v>3110</v>
      </c>
      <c r="P359" s="33" t="s">
        <v>1795</v>
      </c>
      <c r="Q359" s="33" t="s">
        <v>1796</v>
      </c>
    </row>
    <row r="360" spans="1:17">
      <c r="A360" s="33" t="s">
        <v>3111</v>
      </c>
      <c r="B360" s="33" t="s">
        <v>3112</v>
      </c>
      <c r="C360" s="33" t="s">
        <v>2096</v>
      </c>
      <c r="D360" s="33" t="s">
        <v>41</v>
      </c>
      <c r="E360" s="33" t="s">
        <v>1786</v>
      </c>
      <c r="F360" s="33" t="s">
        <v>1787</v>
      </c>
      <c r="G360" s="33" t="s">
        <v>3113</v>
      </c>
      <c r="H360" s="33" t="s">
        <v>2695</v>
      </c>
      <c r="I360" s="33" t="s">
        <v>2695</v>
      </c>
      <c r="J360" s="33" t="s">
        <v>3114</v>
      </c>
      <c r="K360" s="33" t="s">
        <v>1791</v>
      </c>
      <c r="L360" s="33" t="s">
        <v>3072</v>
      </c>
      <c r="M360" s="33" t="s">
        <v>1849</v>
      </c>
      <c r="N360" s="33" t="s">
        <v>1863</v>
      </c>
      <c r="O360" s="33" t="s">
        <v>1895</v>
      </c>
      <c r="P360" s="33" t="s">
        <v>1795</v>
      </c>
      <c r="Q360" s="33" t="s">
        <v>1796</v>
      </c>
    </row>
    <row r="361" spans="1:17">
      <c r="A361" s="33" t="s">
        <v>3115</v>
      </c>
      <c r="B361" s="33" t="s">
        <v>3116</v>
      </c>
      <c r="C361" s="33" t="s">
        <v>2096</v>
      </c>
      <c r="D361" s="33" t="s">
        <v>41</v>
      </c>
      <c r="E361" s="33" t="s">
        <v>1786</v>
      </c>
      <c r="F361" s="33" t="s">
        <v>1787</v>
      </c>
      <c r="G361" s="33" t="s">
        <v>2097</v>
      </c>
      <c r="H361" s="33" t="s">
        <v>2695</v>
      </c>
      <c r="I361" s="33" t="s">
        <v>2695</v>
      </c>
      <c r="J361" s="33" t="s">
        <v>3117</v>
      </c>
      <c r="K361" s="33" t="s">
        <v>1791</v>
      </c>
      <c r="L361" s="33" t="s">
        <v>3072</v>
      </c>
      <c r="M361" s="33" t="s">
        <v>1849</v>
      </c>
      <c r="N361" s="33" t="s">
        <v>1863</v>
      </c>
      <c r="O361" s="33" t="s">
        <v>1926</v>
      </c>
      <c r="P361" s="33" t="s">
        <v>1795</v>
      </c>
      <c r="Q361" s="33" t="s">
        <v>1796</v>
      </c>
    </row>
    <row r="362" spans="1:17">
      <c r="A362" s="33" t="s">
        <v>3118</v>
      </c>
      <c r="B362" s="33" t="s">
        <v>3119</v>
      </c>
      <c r="C362" s="33" t="s">
        <v>2096</v>
      </c>
      <c r="D362" s="33" t="s">
        <v>41</v>
      </c>
      <c r="E362" s="33" t="s">
        <v>1786</v>
      </c>
      <c r="F362" s="33" t="s">
        <v>1787</v>
      </c>
      <c r="G362" s="33" t="s">
        <v>3120</v>
      </c>
      <c r="H362" s="33" t="s">
        <v>2838</v>
      </c>
      <c r="I362" s="33" t="s">
        <v>2838</v>
      </c>
      <c r="J362" s="33" t="s">
        <v>3121</v>
      </c>
      <c r="K362" s="33" t="s">
        <v>1791</v>
      </c>
      <c r="L362" s="33" t="s">
        <v>3072</v>
      </c>
      <c r="M362" s="33" t="s">
        <v>2050</v>
      </c>
      <c r="N362" s="33" t="s">
        <v>1863</v>
      </c>
      <c r="O362" s="33" t="s">
        <v>1815</v>
      </c>
      <c r="P362" s="33" t="s">
        <v>1795</v>
      </c>
      <c r="Q362" s="33" t="s">
        <v>1796</v>
      </c>
    </row>
    <row r="363" spans="1:17">
      <c r="A363" s="33" t="s">
        <v>3118</v>
      </c>
      <c r="B363" s="33" t="s">
        <v>3122</v>
      </c>
      <c r="C363" s="33" t="s">
        <v>2096</v>
      </c>
      <c r="D363" s="33" t="s">
        <v>41</v>
      </c>
      <c r="E363" s="33" t="s">
        <v>1786</v>
      </c>
      <c r="F363" s="33" t="s">
        <v>1787</v>
      </c>
      <c r="G363" s="33" t="s">
        <v>3120</v>
      </c>
      <c r="H363" s="33" t="s">
        <v>2838</v>
      </c>
      <c r="I363" s="33" t="s">
        <v>2838</v>
      </c>
      <c r="J363" s="33" t="s">
        <v>3123</v>
      </c>
      <c r="K363" s="33" t="s">
        <v>1791</v>
      </c>
      <c r="L363" s="33" t="s">
        <v>3072</v>
      </c>
      <c r="M363" s="33" t="s">
        <v>2050</v>
      </c>
      <c r="N363" s="33" t="s">
        <v>1863</v>
      </c>
      <c r="O363" s="33" t="s">
        <v>1919</v>
      </c>
      <c r="P363" s="33" t="s">
        <v>1795</v>
      </c>
      <c r="Q363" s="33" t="s">
        <v>1796</v>
      </c>
    </row>
    <row r="364" spans="1:17">
      <c r="A364" s="33" t="s">
        <v>3118</v>
      </c>
      <c r="B364" s="33" t="s">
        <v>3124</v>
      </c>
      <c r="C364" s="33" t="s">
        <v>2096</v>
      </c>
      <c r="D364" s="33" t="s">
        <v>41</v>
      </c>
      <c r="E364" s="33" t="s">
        <v>1786</v>
      </c>
      <c r="F364" s="33" t="s">
        <v>1787</v>
      </c>
      <c r="G364" s="33" t="s">
        <v>3120</v>
      </c>
      <c r="H364" s="33" t="s">
        <v>2838</v>
      </c>
      <c r="I364" s="33" t="s">
        <v>2838</v>
      </c>
      <c r="J364" s="33" t="s">
        <v>3123</v>
      </c>
      <c r="K364" s="33" t="s">
        <v>1791</v>
      </c>
      <c r="L364" s="33" t="s">
        <v>3072</v>
      </c>
      <c r="M364" s="33" t="s">
        <v>2050</v>
      </c>
      <c r="N364" s="33" t="s">
        <v>1863</v>
      </c>
      <c r="O364" s="33" t="s">
        <v>1923</v>
      </c>
      <c r="P364" s="33" t="s">
        <v>1795</v>
      </c>
      <c r="Q364" s="33" t="s">
        <v>1796</v>
      </c>
    </row>
    <row r="365" spans="1:17">
      <c r="A365" s="33" t="s">
        <v>3125</v>
      </c>
      <c r="B365" s="33" t="s">
        <v>3126</v>
      </c>
      <c r="C365" s="33" t="s">
        <v>1831</v>
      </c>
      <c r="D365" s="33" t="s">
        <v>41</v>
      </c>
      <c r="E365" s="33" t="s">
        <v>1786</v>
      </c>
      <c r="F365" s="33" t="s">
        <v>1856</v>
      </c>
      <c r="G365" s="33" t="s">
        <v>1861</v>
      </c>
      <c r="H365" s="33" t="s">
        <v>2838</v>
      </c>
      <c r="I365" s="33" t="s">
        <v>2838</v>
      </c>
      <c r="J365" s="33" t="s">
        <v>3127</v>
      </c>
      <c r="K365" s="33" t="s">
        <v>1791</v>
      </c>
      <c r="L365" s="33" t="s">
        <v>3072</v>
      </c>
      <c r="M365" s="33" t="s">
        <v>1838</v>
      </c>
      <c r="N365" s="33" t="s">
        <v>1839</v>
      </c>
      <c r="O365" s="33" t="s">
        <v>3128</v>
      </c>
      <c r="P365" s="33" t="s">
        <v>1804</v>
      </c>
      <c r="Q365" s="33" t="s">
        <v>1796</v>
      </c>
    </row>
    <row r="366" spans="1:17">
      <c r="A366" s="33" t="s">
        <v>3129</v>
      </c>
      <c r="B366" s="33" t="s">
        <v>3130</v>
      </c>
      <c r="C366" s="33" t="s">
        <v>1831</v>
      </c>
      <c r="D366" s="33" t="s">
        <v>41</v>
      </c>
      <c r="E366" s="33" t="s">
        <v>1786</v>
      </c>
      <c r="F366" s="33" t="s">
        <v>1856</v>
      </c>
      <c r="G366" s="33" t="s">
        <v>1861</v>
      </c>
      <c r="H366" s="33" t="s">
        <v>2838</v>
      </c>
      <c r="I366" s="33" t="s">
        <v>2838</v>
      </c>
      <c r="J366" s="33" t="s">
        <v>3131</v>
      </c>
      <c r="K366" s="33" t="s">
        <v>1791</v>
      </c>
      <c r="L366" s="33" t="s">
        <v>3072</v>
      </c>
      <c r="M366" s="33" t="s">
        <v>1838</v>
      </c>
      <c r="N366" s="33" t="s">
        <v>1839</v>
      </c>
      <c r="O366" s="33" t="s">
        <v>2787</v>
      </c>
      <c r="P366" s="33" t="s">
        <v>1804</v>
      </c>
      <c r="Q366" s="33" t="s">
        <v>1796</v>
      </c>
    </row>
    <row r="367" spans="1:17">
      <c r="A367" s="33" t="s">
        <v>3132</v>
      </c>
      <c r="B367" s="33" t="s">
        <v>3133</v>
      </c>
      <c r="C367" s="33" t="s">
        <v>1831</v>
      </c>
      <c r="D367" s="33" t="s">
        <v>41</v>
      </c>
      <c r="E367" s="33" t="s">
        <v>1786</v>
      </c>
      <c r="F367" s="33" t="s">
        <v>1815</v>
      </c>
      <c r="G367" s="33" t="s">
        <v>1861</v>
      </c>
      <c r="H367" s="33" t="s">
        <v>2838</v>
      </c>
      <c r="I367" s="33" t="s">
        <v>2838</v>
      </c>
      <c r="J367" s="33" t="s">
        <v>3134</v>
      </c>
      <c r="K367" s="33" t="s">
        <v>1791</v>
      </c>
      <c r="L367" s="33" t="s">
        <v>3135</v>
      </c>
      <c r="M367" s="33" t="s">
        <v>1838</v>
      </c>
      <c r="N367" s="33" t="s">
        <v>1839</v>
      </c>
      <c r="O367" s="33" t="s">
        <v>3136</v>
      </c>
      <c r="P367" s="33" t="s">
        <v>1804</v>
      </c>
      <c r="Q367" s="33" t="s">
        <v>1796</v>
      </c>
    </row>
    <row r="368" spans="1:17">
      <c r="A368" s="33" t="s">
        <v>3137</v>
      </c>
      <c r="B368" s="33" t="s">
        <v>3138</v>
      </c>
      <c r="C368" s="33" t="s">
        <v>1980</v>
      </c>
      <c r="D368" s="33" t="s">
        <v>41</v>
      </c>
      <c r="E368" s="33" t="s">
        <v>1786</v>
      </c>
      <c r="F368" s="33" t="s">
        <v>1815</v>
      </c>
      <c r="G368" s="33" t="s">
        <v>3139</v>
      </c>
      <c r="H368" s="33" t="s">
        <v>2902</v>
      </c>
      <c r="I368" s="33" t="s">
        <v>2902</v>
      </c>
      <c r="J368" s="33" t="s">
        <v>3140</v>
      </c>
      <c r="K368" s="33" t="s">
        <v>1791</v>
      </c>
      <c r="L368" s="33" t="s">
        <v>3072</v>
      </c>
      <c r="M368" s="33" t="s">
        <v>82</v>
      </c>
      <c r="N368" s="33" t="s">
        <v>1849</v>
      </c>
      <c r="O368" s="33" t="s">
        <v>1938</v>
      </c>
      <c r="P368" s="33" t="s">
        <v>1795</v>
      </c>
      <c r="Q368" s="33" t="s">
        <v>1796</v>
      </c>
    </row>
    <row r="369" spans="1:17">
      <c r="A369" s="33" t="s">
        <v>3141</v>
      </c>
      <c r="B369" s="33" t="s">
        <v>3142</v>
      </c>
      <c r="C369" s="33" t="s">
        <v>1980</v>
      </c>
      <c r="D369" s="33" t="s">
        <v>41</v>
      </c>
      <c r="E369" s="33" t="s">
        <v>1786</v>
      </c>
      <c r="F369" s="33" t="s">
        <v>1787</v>
      </c>
      <c r="G369" s="33" t="s">
        <v>1981</v>
      </c>
      <c r="H369" s="33" t="s">
        <v>2902</v>
      </c>
      <c r="I369" s="33" t="s">
        <v>2569</v>
      </c>
      <c r="J369" s="33" t="s">
        <v>3143</v>
      </c>
      <c r="K369" s="33" t="s">
        <v>1791</v>
      </c>
      <c r="L369" s="33" t="s">
        <v>3091</v>
      </c>
      <c r="M369" s="33" t="s">
        <v>1811</v>
      </c>
      <c r="N369" s="33" t="s">
        <v>1849</v>
      </c>
      <c r="O369" s="33" t="s">
        <v>2671</v>
      </c>
      <c r="P369" s="33" t="s">
        <v>2321</v>
      </c>
      <c r="Q369" s="33" t="s">
        <v>1796</v>
      </c>
    </row>
    <row r="370" spans="1:17">
      <c r="A370" s="33" t="s">
        <v>3144</v>
      </c>
      <c r="B370" s="33" t="s">
        <v>3145</v>
      </c>
      <c r="C370" s="33" t="s">
        <v>2374</v>
      </c>
      <c r="D370" s="33" t="s">
        <v>41</v>
      </c>
      <c r="E370" s="33" t="s">
        <v>1786</v>
      </c>
      <c r="F370" s="33" t="s">
        <v>1787</v>
      </c>
      <c r="G370" s="33" t="s">
        <v>67</v>
      </c>
      <c r="H370" s="33" t="s">
        <v>2902</v>
      </c>
      <c r="I370" s="33" t="s">
        <v>2902</v>
      </c>
      <c r="J370" s="33" t="s">
        <v>3146</v>
      </c>
      <c r="K370" s="33" t="s">
        <v>1791</v>
      </c>
      <c r="L370" s="33" t="s">
        <v>3072</v>
      </c>
      <c r="M370" s="33" t="s">
        <v>1849</v>
      </c>
      <c r="N370" s="33" t="s">
        <v>1849</v>
      </c>
      <c r="O370" s="33" t="s">
        <v>1787</v>
      </c>
      <c r="P370" s="33" t="s">
        <v>2321</v>
      </c>
      <c r="Q370" s="33" t="s">
        <v>1796</v>
      </c>
    </row>
    <row r="371" spans="1:17">
      <c r="A371" s="33" t="s">
        <v>2687</v>
      </c>
      <c r="B371" s="33" t="s">
        <v>3147</v>
      </c>
      <c r="C371" s="33" t="s">
        <v>1831</v>
      </c>
      <c r="D371" s="33" t="s">
        <v>41</v>
      </c>
      <c r="E371" s="33" t="s">
        <v>1786</v>
      </c>
      <c r="F371" s="33" t="s">
        <v>1815</v>
      </c>
      <c r="G371" s="33" t="s">
        <v>1872</v>
      </c>
      <c r="H371" s="33" t="s">
        <v>2902</v>
      </c>
      <c r="I371" s="33" t="s">
        <v>2902</v>
      </c>
      <c r="J371" s="33" t="s">
        <v>3148</v>
      </c>
      <c r="K371" s="33" t="s">
        <v>1791</v>
      </c>
      <c r="L371" s="33" t="s">
        <v>3072</v>
      </c>
      <c r="M371" s="33" t="s">
        <v>1849</v>
      </c>
      <c r="N371" s="33" t="s">
        <v>1844</v>
      </c>
      <c r="O371" s="33" t="s">
        <v>3149</v>
      </c>
      <c r="P371" s="33" t="s">
        <v>1795</v>
      </c>
      <c r="Q371" s="33" t="s">
        <v>1796</v>
      </c>
    </row>
    <row r="372" spans="1:17">
      <c r="A372" s="33" t="s">
        <v>3150</v>
      </c>
      <c r="B372" s="33" t="s">
        <v>3151</v>
      </c>
      <c r="C372" s="33" t="s">
        <v>1807</v>
      </c>
      <c r="D372" s="33" t="s">
        <v>41</v>
      </c>
      <c r="E372" s="33" t="s">
        <v>1786</v>
      </c>
      <c r="F372" s="33" t="s">
        <v>1815</v>
      </c>
      <c r="G372" s="33" t="s">
        <v>94</v>
      </c>
      <c r="H372" s="33" t="s">
        <v>3091</v>
      </c>
      <c r="I372" s="33" t="s">
        <v>3091</v>
      </c>
      <c r="J372" s="33" t="s">
        <v>3152</v>
      </c>
      <c r="K372" s="33" t="s">
        <v>1791</v>
      </c>
      <c r="L372" s="33" t="s">
        <v>3072</v>
      </c>
      <c r="M372" s="33" t="s">
        <v>1811</v>
      </c>
      <c r="N372" s="33" t="s">
        <v>93</v>
      </c>
      <c r="O372" s="33" t="s">
        <v>1858</v>
      </c>
      <c r="P372" s="33" t="s">
        <v>1795</v>
      </c>
      <c r="Q372" s="33" t="s">
        <v>1796</v>
      </c>
    </row>
    <row r="373" spans="1:17">
      <c r="A373" s="33" t="s">
        <v>3153</v>
      </c>
      <c r="B373" s="33" t="s">
        <v>3154</v>
      </c>
      <c r="C373" s="33" t="s">
        <v>1807</v>
      </c>
      <c r="D373" s="33" t="s">
        <v>41</v>
      </c>
      <c r="E373" s="33" t="s">
        <v>1786</v>
      </c>
      <c r="F373" s="33" t="s">
        <v>1815</v>
      </c>
      <c r="G373" s="33" t="s">
        <v>94</v>
      </c>
      <c r="H373" s="33" t="s">
        <v>3091</v>
      </c>
      <c r="I373" s="33" t="s">
        <v>3091</v>
      </c>
      <c r="J373" s="33" t="s">
        <v>3155</v>
      </c>
      <c r="K373" s="33" t="s">
        <v>1791</v>
      </c>
      <c r="L373" s="33" t="s">
        <v>3072</v>
      </c>
      <c r="M373" s="33" t="s">
        <v>1811</v>
      </c>
      <c r="N373" s="33" t="s">
        <v>93</v>
      </c>
      <c r="O373" s="33" t="s">
        <v>1858</v>
      </c>
      <c r="P373" s="33" t="s">
        <v>1795</v>
      </c>
      <c r="Q373" s="33" t="s">
        <v>1796</v>
      </c>
    </row>
    <row r="374" spans="1:17">
      <c r="A374" s="33" t="s">
        <v>3156</v>
      </c>
      <c r="B374" s="33" t="s">
        <v>3157</v>
      </c>
      <c r="C374" s="33" t="s">
        <v>1831</v>
      </c>
      <c r="D374" s="33" t="s">
        <v>41</v>
      </c>
      <c r="E374" s="33" t="s">
        <v>1786</v>
      </c>
      <c r="F374" s="33" t="s">
        <v>1856</v>
      </c>
      <c r="G374" s="33" t="s">
        <v>1872</v>
      </c>
      <c r="H374" s="33" t="s">
        <v>3091</v>
      </c>
      <c r="I374" s="33" t="s">
        <v>3091</v>
      </c>
      <c r="J374" s="33" t="s">
        <v>3158</v>
      </c>
      <c r="K374" s="33" t="s">
        <v>1791</v>
      </c>
      <c r="L374" s="33" t="s">
        <v>3072</v>
      </c>
      <c r="M374" s="33" t="s">
        <v>1844</v>
      </c>
      <c r="N374" s="33" t="s">
        <v>1849</v>
      </c>
      <c r="O374" s="33" t="s">
        <v>3159</v>
      </c>
      <c r="P374" s="33" t="s">
        <v>1795</v>
      </c>
      <c r="Q374" s="33" t="s">
        <v>1796</v>
      </c>
    </row>
    <row r="375" spans="1:17">
      <c r="A375" s="33" t="s">
        <v>3160</v>
      </c>
      <c r="B375" s="33" t="s">
        <v>3161</v>
      </c>
      <c r="C375" s="33" t="s">
        <v>1831</v>
      </c>
      <c r="D375" s="33" t="s">
        <v>41</v>
      </c>
      <c r="E375" s="33" t="s">
        <v>1786</v>
      </c>
      <c r="F375" s="33" t="s">
        <v>1815</v>
      </c>
      <c r="G375" s="33" t="s">
        <v>1872</v>
      </c>
      <c r="H375" s="33" t="s">
        <v>3091</v>
      </c>
      <c r="I375" s="33" t="s">
        <v>3091</v>
      </c>
      <c r="J375" s="33" t="s">
        <v>3162</v>
      </c>
      <c r="K375" s="33" t="s">
        <v>1791</v>
      </c>
      <c r="L375" s="33" t="s">
        <v>3072</v>
      </c>
      <c r="M375" s="33" t="s">
        <v>1844</v>
      </c>
      <c r="N375" s="33" t="s">
        <v>1849</v>
      </c>
      <c r="O375" s="33" t="s">
        <v>3159</v>
      </c>
      <c r="P375" s="33" t="s">
        <v>1795</v>
      </c>
      <c r="Q375" s="33" t="s">
        <v>1796</v>
      </c>
    </row>
    <row r="376" spans="1:17">
      <c r="A376" s="33" t="s">
        <v>3163</v>
      </c>
      <c r="B376" s="33" t="s">
        <v>3164</v>
      </c>
      <c r="C376" s="33" t="s">
        <v>1831</v>
      </c>
      <c r="D376" s="33" t="s">
        <v>41</v>
      </c>
      <c r="E376" s="33" t="s">
        <v>1786</v>
      </c>
      <c r="F376" s="33" t="s">
        <v>1815</v>
      </c>
      <c r="G376" s="33" t="s">
        <v>1872</v>
      </c>
      <c r="H376" s="33" t="s">
        <v>3091</v>
      </c>
      <c r="I376" s="33" t="s">
        <v>3091</v>
      </c>
      <c r="J376" s="33" t="s">
        <v>3165</v>
      </c>
      <c r="K376" s="33" t="s">
        <v>1791</v>
      </c>
      <c r="L376" s="33" t="s">
        <v>3072</v>
      </c>
      <c r="M376" s="33" t="s">
        <v>1844</v>
      </c>
      <c r="N376" s="33" t="s">
        <v>1849</v>
      </c>
      <c r="O376" s="33" t="s">
        <v>3166</v>
      </c>
      <c r="P376" s="33" t="s">
        <v>1795</v>
      </c>
      <c r="Q376" s="33" t="s">
        <v>1796</v>
      </c>
    </row>
    <row r="377" spans="1:17">
      <c r="A377" s="33" t="s">
        <v>3167</v>
      </c>
      <c r="B377" s="33" t="s">
        <v>3168</v>
      </c>
      <c r="C377" s="33" t="s">
        <v>2374</v>
      </c>
      <c r="D377" s="33" t="s">
        <v>41</v>
      </c>
      <c r="E377" s="33" t="s">
        <v>1786</v>
      </c>
      <c r="F377" s="33" t="s">
        <v>1787</v>
      </c>
      <c r="G377" s="33" t="s">
        <v>67</v>
      </c>
      <c r="H377" s="33" t="s">
        <v>3091</v>
      </c>
      <c r="I377" s="33" t="s">
        <v>3091</v>
      </c>
      <c r="J377" s="33" t="s">
        <v>3169</v>
      </c>
      <c r="K377" s="33" t="s">
        <v>1791</v>
      </c>
      <c r="L377" s="33" t="s">
        <v>3072</v>
      </c>
      <c r="M377" s="33" t="s">
        <v>1849</v>
      </c>
      <c r="N377" s="33" t="s">
        <v>1849</v>
      </c>
      <c r="O377" s="33" t="s">
        <v>1787</v>
      </c>
      <c r="P377" s="33" t="s">
        <v>2023</v>
      </c>
      <c r="Q377" s="33" t="s">
        <v>1796</v>
      </c>
    </row>
    <row r="378" spans="1:17">
      <c r="A378" s="33" t="s">
        <v>3170</v>
      </c>
      <c r="B378" s="33" t="s">
        <v>3171</v>
      </c>
      <c r="C378" s="33" t="s">
        <v>2096</v>
      </c>
      <c r="D378" s="33" t="s">
        <v>41</v>
      </c>
      <c r="E378" s="33" t="s">
        <v>1786</v>
      </c>
      <c r="F378" s="33" t="s">
        <v>1787</v>
      </c>
      <c r="G378" s="33" t="s">
        <v>2097</v>
      </c>
      <c r="H378" s="33" t="s">
        <v>3091</v>
      </c>
      <c r="I378" s="33" t="s">
        <v>3091</v>
      </c>
      <c r="J378" s="33" t="s">
        <v>3172</v>
      </c>
      <c r="K378" s="33" t="s">
        <v>1791</v>
      </c>
      <c r="L378" s="33" t="s">
        <v>3072</v>
      </c>
      <c r="M378" s="33" t="s">
        <v>1849</v>
      </c>
      <c r="N378" s="33" t="s">
        <v>1863</v>
      </c>
      <c r="O378" s="33" t="s">
        <v>1926</v>
      </c>
      <c r="P378" s="33" t="s">
        <v>1804</v>
      </c>
      <c r="Q378" s="33" t="s">
        <v>1796</v>
      </c>
    </row>
    <row r="379" spans="1:17">
      <c r="A379" s="33" t="s">
        <v>3173</v>
      </c>
      <c r="B379" s="33" t="s">
        <v>3174</v>
      </c>
      <c r="C379" s="33" t="s">
        <v>2374</v>
      </c>
      <c r="D379" s="33" t="s">
        <v>41</v>
      </c>
      <c r="E379" s="33" t="s">
        <v>1786</v>
      </c>
      <c r="F379" s="33" t="s">
        <v>1787</v>
      </c>
      <c r="G379" s="33" t="s">
        <v>67</v>
      </c>
      <c r="H379" s="33" t="s">
        <v>3175</v>
      </c>
      <c r="I379" s="33" t="s">
        <v>3175</v>
      </c>
      <c r="J379" s="33" t="s">
        <v>3176</v>
      </c>
      <c r="K379" s="33" t="s">
        <v>1791</v>
      </c>
      <c r="L379" s="33" t="s">
        <v>3072</v>
      </c>
      <c r="M379" s="33" t="s">
        <v>1849</v>
      </c>
      <c r="N379" s="33" t="s">
        <v>1849</v>
      </c>
      <c r="O379" s="33" t="s">
        <v>1787</v>
      </c>
      <c r="P379" s="33" t="s">
        <v>1804</v>
      </c>
      <c r="Q379" s="33" t="s">
        <v>1796</v>
      </c>
    </row>
    <row r="380" spans="1:17">
      <c r="A380" s="33" t="s">
        <v>3144</v>
      </c>
      <c r="B380" s="33" t="s">
        <v>3177</v>
      </c>
      <c r="C380" s="33" t="s">
        <v>2374</v>
      </c>
      <c r="D380" s="33" t="s">
        <v>41</v>
      </c>
      <c r="E380" s="33" t="s">
        <v>1786</v>
      </c>
      <c r="F380" s="33" t="s">
        <v>1787</v>
      </c>
      <c r="G380" s="33" t="s">
        <v>67</v>
      </c>
      <c r="H380" s="33" t="s">
        <v>3175</v>
      </c>
      <c r="I380" s="33" t="s">
        <v>3175</v>
      </c>
      <c r="J380" s="33" t="s">
        <v>3178</v>
      </c>
      <c r="K380" s="33" t="s">
        <v>1791</v>
      </c>
      <c r="L380" s="33" t="s">
        <v>3072</v>
      </c>
      <c r="M380" s="33" t="s">
        <v>1849</v>
      </c>
      <c r="N380" s="33" t="s">
        <v>1849</v>
      </c>
      <c r="O380" s="33" t="s">
        <v>1787</v>
      </c>
      <c r="P380" s="33" t="s">
        <v>1804</v>
      </c>
      <c r="Q380" s="33" t="s">
        <v>1796</v>
      </c>
    </row>
    <row r="381" spans="1:17">
      <c r="A381" s="33" t="s">
        <v>3179</v>
      </c>
      <c r="B381" s="33" t="s">
        <v>3180</v>
      </c>
      <c r="C381" s="33" t="s">
        <v>2374</v>
      </c>
      <c r="D381" s="33" t="s">
        <v>41</v>
      </c>
      <c r="E381" s="33" t="s">
        <v>1786</v>
      </c>
      <c r="F381" s="33" t="s">
        <v>1787</v>
      </c>
      <c r="G381" s="33" t="s">
        <v>67</v>
      </c>
      <c r="H381" s="33" t="s">
        <v>3175</v>
      </c>
      <c r="I381" s="33" t="s">
        <v>3175</v>
      </c>
      <c r="J381" s="33" t="s">
        <v>3181</v>
      </c>
      <c r="K381" s="33" t="s">
        <v>1791</v>
      </c>
      <c r="L381" s="33" t="s">
        <v>3072</v>
      </c>
      <c r="M381" s="33" t="s">
        <v>1849</v>
      </c>
      <c r="N381" s="33" t="s">
        <v>1849</v>
      </c>
      <c r="O381" s="33" t="s">
        <v>1787</v>
      </c>
      <c r="P381" s="33" t="s">
        <v>2321</v>
      </c>
      <c r="Q381" s="33" t="s">
        <v>1796</v>
      </c>
    </row>
    <row r="382" spans="1:17">
      <c r="A382" s="33" t="s">
        <v>3182</v>
      </c>
      <c r="B382" s="33" t="s">
        <v>3183</v>
      </c>
      <c r="C382" s="33" t="s">
        <v>1831</v>
      </c>
      <c r="D382" s="33" t="s">
        <v>41</v>
      </c>
      <c r="E382" s="33" t="s">
        <v>1786</v>
      </c>
      <c r="F382" s="33" t="s">
        <v>1815</v>
      </c>
      <c r="G382" s="33" t="s">
        <v>1861</v>
      </c>
      <c r="H382" s="33" t="s">
        <v>3175</v>
      </c>
      <c r="I382" s="33" t="s">
        <v>3175</v>
      </c>
      <c r="J382" s="33" t="s">
        <v>3184</v>
      </c>
      <c r="K382" s="33" t="s">
        <v>1791</v>
      </c>
      <c r="L382" s="33" t="s">
        <v>3072</v>
      </c>
      <c r="M382" s="33" t="s">
        <v>1863</v>
      </c>
      <c r="N382" s="33" t="s">
        <v>1839</v>
      </c>
      <c r="O382" s="33" t="s">
        <v>1845</v>
      </c>
      <c r="P382" s="33" t="s">
        <v>1795</v>
      </c>
      <c r="Q382" s="33" t="s">
        <v>1796</v>
      </c>
    </row>
    <row r="383" spans="1:17">
      <c r="A383" s="33" t="s">
        <v>3185</v>
      </c>
      <c r="B383" s="33" t="s">
        <v>3186</v>
      </c>
      <c r="C383" s="33" t="s">
        <v>1980</v>
      </c>
      <c r="D383" s="33" t="s">
        <v>41</v>
      </c>
      <c r="E383" s="33" t="s">
        <v>1786</v>
      </c>
      <c r="F383" s="33" t="s">
        <v>1815</v>
      </c>
      <c r="G383" s="33" t="s">
        <v>3139</v>
      </c>
      <c r="H383" s="33" t="s">
        <v>3175</v>
      </c>
      <c r="I383" s="33" t="s">
        <v>3175</v>
      </c>
      <c r="J383" s="33" t="s">
        <v>3187</v>
      </c>
      <c r="K383" s="33" t="s">
        <v>1791</v>
      </c>
      <c r="L383" s="33" t="s">
        <v>3072</v>
      </c>
      <c r="M383" s="33" t="s">
        <v>1827</v>
      </c>
      <c r="N383" s="33" t="s">
        <v>1849</v>
      </c>
      <c r="O383" s="33" t="s">
        <v>1938</v>
      </c>
      <c r="P383" s="33" t="s">
        <v>1795</v>
      </c>
      <c r="Q383" s="33" t="s">
        <v>1796</v>
      </c>
    </row>
    <row r="384" spans="1:17">
      <c r="A384" s="33" t="s">
        <v>3188</v>
      </c>
      <c r="B384" s="33" t="s">
        <v>3189</v>
      </c>
      <c r="C384" s="33" t="s">
        <v>1980</v>
      </c>
      <c r="D384" s="33" t="s">
        <v>41</v>
      </c>
      <c r="E384" s="33" t="s">
        <v>1786</v>
      </c>
      <c r="F384" s="33" t="s">
        <v>1815</v>
      </c>
      <c r="G384" s="33" t="s">
        <v>3139</v>
      </c>
      <c r="H384" s="33" t="s">
        <v>3175</v>
      </c>
      <c r="I384" s="33" t="s">
        <v>3175</v>
      </c>
      <c r="J384" s="33" t="s">
        <v>3190</v>
      </c>
      <c r="K384" s="33" t="s">
        <v>1791</v>
      </c>
      <c r="L384" s="33" t="s">
        <v>3072</v>
      </c>
      <c r="M384" s="33" t="s">
        <v>1827</v>
      </c>
      <c r="N384" s="33" t="s">
        <v>1849</v>
      </c>
      <c r="O384" s="33" t="s">
        <v>3191</v>
      </c>
      <c r="P384" s="33" t="s">
        <v>1795</v>
      </c>
      <c r="Q384" s="33" t="s">
        <v>1796</v>
      </c>
    </row>
    <row r="385" spans="1:17">
      <c r="A385" s="33" t="s">
        <v>3192</v>
      </c>
      <c r="B385" s="33" t="s">
        <v>3193</v>
      </c>
      <c r="C385" s="33" t="s">
        <v>1831</v>
      </c>
      <c r="D385" s="33" t="s">
        <v>41</v>
      </c>
      <c r="E385" s="33" t="s">
        <v>1786</v>
      </c>
      <c r="F385" s="33" t="s">
        <v>1856</v>
      </c>
      <c r="G385" s="33" t="s">
        <v>68</v>
      </c>
      <c r="H385" s="33" t="s">
        <v>3194</v>
      </c>
      <c r="I385" s="33" t="s">
        <v>3194</v>
      </c>
      <c r="J385" s="33" t="s">
        <v>3195</v>
      </c>
      <c r="K385" s="33" t="s">
        <v>1791</v>
      </c>
      <c r="L385" s="33" t="s">
        <v>3072</v>
      </c>
      <c r="M385" s="33" t="s">
        <v>970</v>
      </c>
      <c r="N385" s="33" t="s">
        <v>1827</v>
      </c>
      <c r="O385" s="33" t="s">
        <v>2219</v>
      </c>
      <c r="P385" s="33" t="s">
        <v>1869</v>
      </c>
      <c r="Q385" s="33" t="s">
        <v>1796</v>
      </c>
    </row>
    <row r="386" spans="1:17">
      <c r="A386" s="33" t="s">
        <v>3196</v>
      </c>
      <c r="B386" s="33" t="s">
        <v>3197</v>
      </c>
      <c r="C386" s="33" t="s">
        <v>1831</v>
      </c>
      <c r="D386" s="33" t="s">
        <v>41</v>
      </c>
      <c r="E386" s="33" t="s">
        <v>1786</v>
      </c>
      <c r="F386" s="33" t="s">
        <v>1787</v>
      </c>
      <c r="G386" s="33" t="s">
        <v>68</v>
      </c>
      <c r="H386" s="33" t="s">
        <v>3194</v>
      </c>
      <c r="I386" s="33" t="s">
        <v>3194</v>
      </c>
      <c r="J386" s="33" t="s">
        <v>3198</v>
      </c>
      <c r="K386" s="33" t="s">
        <v>1791</v>
      </c>
      <c r="L386" s="33" t="s">
        <v>3072</v>
      </c>
      <c r="M386" s="33" t="s">
        <v>1827</v>
      </c>
      <c r="N386" s="33" t="s">
        <v>1827</v>
      </c>
      <c r="O386" s="33" t="s">
        <v>3199</v>
      </c>
      <c r="P386" s="33" t="s">
        <v>1795</v>
      </c>
      <c r="Q386" s="33" t="s">
        <v>1796</v>
      </c>
    </row>
    <row r="387" spans="1:17">
      <c r="A387" s="33" t="s">
        <v>3200</v>
      </c>
      <c r="B387" s="33" t="s">
        <v>3201</v>
      </c>
      <c r="C387" s="33" t="s">
        <v>1819</v>
      </c>
      <c r="D387" s="33" t="s">
        <v>41</v>
      </c>
      <c r="E387" s="33" t="s">
        <v>1786</v>
      </c>
      <c r="F387" s="33" t="s">
        <v>1864</v>
      </c>
      <c r="G387" s="33" t="s">
        <v>1986</v>
      </c>
      <c r="H387" s="33" t="s">
        <v>3194</v>
      </c>
      <c r="I387" s="33" t="s">
        <v>3194</v>
      </c>
      <c r="J387" s="33" t="s">
        <v>3202</v>
      </c>
      <c r="K387" s="33" t="s">
        <v>1791</v>
      </c>
      <c r="L387" s="33" t="s">
        <v>3072</v>
      </c>
      <c r="M387" s="33" t="s">
        <v>1811</v>
      </c>
      <c r="N387" s="33" t="s">
        <v>1078</v>
      </c>
      <c r="O387" s="33" t="s">
        <v>189</v>
      </c>
      <c r="P387" s="33" t="s">
        <v>1795</v>
      </c>
      <c r="Q387" s="33" t="s">
        <v>1796</v>
      </c>
    </row>
    <row r="388" spans="1:17">
      <c r="A388" s="33" t="s">
        <v>3203</v>
      </c>
      <c r="B388" s="33" t="s">
        <v>3204</v>
      </c>
      <c r="C388" s="33" t="s">
        <v>3205</v>
      </c>
      <c r="D388" s="33" t="s">
        <v>41</v>
      </c>
      <c r="E388" s="33" t="s">
        <v>1786</v>
      </c>
      <c r="F388" s="33" t="s">
        <v>1787</v>
      </c>
      <c r="G388" s="33" t="s">
        <v>3206</v>
      </c>
      <c r="H388" s="33" t="s">
        <v>3207</v>
      </c>
      <c r="I388" s="33" t="s">
        <v>3207</v>
      </c>
      <c r="J388" s="33" t="s">
        <v>3208</v>
      </c>
      <c r="K388" s="33" t="s">
        <v>1791</v>
      </c>
      <c r="L388" s="33" t="s">
        <v>3072</v>
      </c>
      <c r="M388" s="33" t="s">
        <v>1827</v>
      </c>
      <c r="N388" s="33" t="s">
        <v>1827</v>
      </c>
      <c r="O388" s="33" t="s">
        <v>1946</v>
      </c>
      <c r="P388" s="33" t="s">
        <v>2263</v>
      </c>
      <c r="Q388" s="33" t="s">
        <v>1796</v>
      </c>
    </row>
    <row r="389" spans="1:17" hidden="1">
      <c r="A389" s="33" t="s">
        <v>3209</v>
      </c>
      <c r="B389" s="33" t="s">
        <v>3210</v>
      </c>
      <c r="C389" s="33" t="s">
        <v>1831</v>
      </c>
      <c r="D389" s="33" t="s">
        <v>2088</v>
      </c>
      <c r="E389" s="33" t="s">
        <v>2471</v>
      </c>
      <c r="F389" s="33" t="s">
        <v>1787</v>
      </c>
      <c r="G389" s="33" t="s">
        <v>2088</v>
      </c>
      <c r="H389" s="33" t="s">
        <v>3211</v>
      </c>
      <c r="I389" s="33" t="s">
        <v>3211</v>
      </c>
      <c r="J389" s="33" t="s">
        <v>3212</v>
      </c>
      <c r="K389" s="33" t="s">
        <v>2471</v>
      </c>
      <c r="L389" s="33" t="s">
        <v>3211</v>
      </c>
      <c r="M389" s="33" t="s">
        <v>1827</v>
      </c>
      <c r="N389" s="33" t="s">
        <v>1827</v>
      </c>
      <c r="O389" s="33" t="s">
        <v>3213</v>
      </c>
      <c r="P389" s="33" t="s">
        <v>1764</v>
      </c>
      <c r="Q389" s="33" t="s">
        <v>1796</v>
      </c>
    </row>
    <row r="390" spans="1:17" hidden="1">
      <c r="A390" s="33" t="s">
        <v>3214</v>
      </c>
      <c r="B390" s="33" t="s">
        <v>3215</v>
      </c>
      <c r="C390" s="33" t="s">
        <v>1831</v>
      </c>
      <c r="D390" s="33" t="s">
        <v>2088</v>
      </c>
      <c r="E390" s="33" t="s">
        <v>2471</v>
      </c>
      <c r="F390" s="33" t="s">
        <v>1787</v>
      </c>
      <c r="G390" s="33" t="s">
        <v>2088</v>
      </c>
      <c r="H390" s="33" t="s">
        <v>3211</v>
      </c>
      <c r="I390" s="33" t="s">
        <v>3211</v>
      </c>
      <c r="J390" s="33" t="s">
        <v>3216</v>
      </c>
      <c r="K390" s="33" t="s">
        <v>2471</v>
      </c>
      <c r="L390" s="33" t="s">
        <v>3211</v>
      </c>
      <c r="M390" s="33" t="s">
        <v>1827</v>
      </c>
      <c r="N390" s="33" t="s">
        <v>1827</v>
      </c>
      <c r="O390" s="33" t="s">
        <v>3217</v>
      </c>
      <c r="P390" s="33" t="s">
        <v>1764</v>
      </c>
      <c r="Q390" s="33" t="s">
        <v>1796</v>
      </c>
    </row>
    <row r="391" spans="1:17">
      <c r="A391" s="33" t="s">
        <v>3218</v>
      </c>
      <c r="B391" s="33" t="s">
        <v>3219</v>
      </c>
      <c r="C391" s="33" t="s">
        <v>1980</v>
      </c>
      <c r="D391" s="33" t="s">
        <v>41</v>
      </c>
      <c r="E391" s="33" t="s">
        <v>1786</v>
      </c>
      <c r="F391" s="33" t="s">
        <v>1787</v>
      </c>
      <c r="G391" s="33" t="s">
        <v>2820</v>
      </c>
      <c r="H391" s="33" t="s">
        <v>3211</v>
      </c>
      <c r="I391" s="33" t="s">
        <v>2695</v>
      </c>
      <c r="J391" s="33" t="s">
        <v>3220</v>
      </c>
      <c r="K391" s="33" t="s">
        <v>1791</v>
      </c>
      <c r="L391" s="33" t="s">
        <v>3072</v>
      </c>
      <c r="M391" s="33" t="s">
        <v>1827</v>
      </c>
      <c r="N391" s="33" t="s">
        <v>1849</v>
      </c>
      <c r="O391" s="33" t="s">
        <v>3221</v>
      </c>
      <c r="P391" s="33" t="s">
        <v>1795</v>
      </c>
      <c r="Q391" s="33" t="s">
        <v>1796</v>
      </c>
    </row>
    <row r="392" spans="1:17">
      <c r="A392" s="33" t="s">
        <v>3222</v>
      </c>
      <c r="B392" s="33" t="s">
        <v>3223</v>
      </c>
      <c r="C392" s="33" t="s">
        <v>1891</v>
      </c>
      <c r="D392" s="33" t="s">
        <v>41</v>
      </c>
      <c r="E392" s="33" t="s">
        <v>1786</v>
      </c>
      <c r="F392" s="33" t="s">
        <v>1787</v>
      </c>
      <c r="G392" s="33" t="s">
        <v>1892</v>
      </c>
      <c r="H392" s="33" t="s">
        <v>3211</v>
      </c>
      <c r="I392" s="33" t="s">
        <v>3211</v>
      </c>
      <c r="J392" s="33" t="s">
        <v>3224</v>
      </c>
      <c r="K392" s="33" t="s">
        <v>1791</v>
      </c>
      <c r="L392" s="33" t="s">
        <v>3072</v>
      </c>
      <c r="M392" s="33" t="s">
        <v>1849</v>
      </c>
      <c r="N392" s="33" t="s">
        <v>43</v>
      </c>
      <c r="O392" s="33" t="s">
        <v>190</v>
      </c>
      <c r="P392" s="33" t="s">
        <v>1795</v>
      </c>
      <c r="Q392" s="33" t="s">
        <v>1796</v>
      </c>
    </row>
    <row r="393" spans="1:17" hidden="1">
      <c r="A393" s="33" t="s">
        <v>3225</v>
      </c>
      <c r="B393" s="33" t="s">
        <v>3226</v>
      </c>
      <c r="C393" s="33" t="s">
        <v>1980</v>
      </c>
      <c r="D393" s="33" t="s">
        <v>41</v>
      </c>
      <c r="E393" s="33" t="s">
        <v>1836</v>
      </c>
      <c r="F393" s="33" t="s">
        <v>1815</v>
      </c>
      <c r="G393" s="33" t="s">
        <v>3139</v>
      </c>
      <c r="H393" s="33" t="s">
        <v>3211</v>
      </c>
      <c r="I393" s="33" t="s">
        <v>2902</v>
      </c>
      <c r="J393" s="33" t="s">
        <v>3227</v>
      </c>
      <c r="K393" s="33" t="s">
        <v>1791</v>
      </c>
      <c r="L393" s="33" t="s">
        <v>3228</v>
      </c>
      <c r="M393" s="33" t="s">
        <v>82</v>
      </c>
      <c r="N393" s="33" t="s">
        <v>1849</v>
      </c>
      <c r="O393" s="33" t="s">
        <v>3221</v>
      </c>
      <c r="P393" s="33" t="s">
        <v>1764</v>
      </c>
      <c r="Q393" s="33" t="s">
        <v>1796</v>
      </c>
    </row>
    <row r="394" spans="1:17">
      <c r="A394" s="33" t="s">
        <v>2598</v>
      </c>
      <c r="B394" s="33" t="s">
        <v>3229</v>
      </c>
      <c r="C394" s="33" t="s">
        <v>1831</v>
      </c>
      <c r="D394" s="33" t="s">
        <v>41</v>
      </c>
      <c r="E394" s="33" t="s">
        <v>1786</v>
      </c>
      <c r="F394" s="33" t="s">
        <v>1815</v>
      </c>
      <c r="G394" s="33" t="s">
        <v>1872</v>
      </c>
      <c r="H394" s="33" t="s">
        <v>3211</v>
      </c>
      <c r="I394" s="33" t="s">
        <v>3211</v>
      </c>
      <c r="J394" s="33" t="s">
        <v>3230</v>
      </c>
      <c r="K394" s="33" t="s">
        <v>1791</v>
      </c>
      <c r="L394" s="33" t="s">
        <v>3231</v>
      </c>
      <c r="M394" s="33" t="s">
        <v>1899</v>
      </c>
      <c r="N394" s="33" t="s">
        <v>1844</v>
      </c>
      <c r="O394" s="33" t="s">
        <v>3232</v>
      </c>
      <c r="P394" s="33" t="s">
        <v>1795</v>
      </c>
      <c r="Q394" s="33" t="s">
        <v>1796</v>
      </c>
    </row>
    <row r="395" spans="1:17">
      <c r="A395" s="33" t="s">
        <v>3233</v>
      </c>
      <c r="B395" s="33" t="s">
        <v>3234</v>
      </c>
      <c r="C395" s="33" t="s">
        <v>2096</v>
      </c>
      <c r="D395" s="33" t="s">
        <v>41</v>
      </c>
      <c r="E395" s="33" t="s">
        <v>1786</v>
      </c>
      <c r="F395" s="33" t="s">
        <v>1787</v>
      </c>
      <c r="G395" s="33" t="s">
        <v>2097</v>
      </c>
      <c r="H395" s="33" t="s">
        <v>2685</v>
      </c>
      <c r="I395" s="33" t="s">
        <v>2685</v>
      </c>
      <c r="J395" s="33" t="s">
        <v>3235</v>
      </c>
      <c r="K395" s="33" t="s">
        <v>1791</v>
      </c>
      <c r="L395" s="33" t="s">
        <v>3231</v>
      </c>
      <c r="M395" s="33" t="s">
        <v>1863</v>
      </c>
      <c r="N395" s="33" t="s">
        <v>1863</v>
      </c>
      <c r="O395" s="33" t="s">
        <v>1845</v>
      </c>
      <c r="P395" s="33" t="s">
        <v>1869</v>
      </c>
      <c r="Q395" s="33" t="s">
        <v>1796</v>
      </c>
    </row>
    <row r="396" spans="1:17">
      <c r="A396" s="33" t="s">
        <v>3236</v>
      </c>
      <c r="B396" s="33" t="s">
        <v>3237</v>
      </c>
      <c r="C396" s="33" t="s">
        <v>2443</v>
      </c>
      <c r="D396" s="33" t="s">
        <v>41</v>
      </c>
      <c r="E396" s="33" t="s">
        <v>1786</v>
      </c>
      <c r="F396" s="33" t="s">
        <v>1856</v>
      </c>
      <c r="G396" s="33" t="s">
        <v>2444</v>
      </c>
      <c r="H396" s="33" t="s">
        <v>2685</v>
      </c>
      <c r="I396" s="33" t="s">
        <v>2685</v>
      </c>
      <c r="J396" s="33" t="s">
        <v>3238</v>
      </c>
      <c r="K396" s="33" t="s">
        <v>1791</v>
      </c>
      <c r="L396" s="33" t="s">
        <v>3231</v>
      </c>
      <c r="M396" s="33" t="s">
        <v>196</v>
      </c>
      <c r="N396" s="33" t="s">
        <v>2050</v>
      </c>
      <c r="O396" s="33" t="s">
        <v>189</v>
      </c>
      <c r="P396" s="33" t="s">
        <v>1795</v>
      </c>
      <c r="Q396" s="33" t="s">
        <v>1796</v>
      </c>
    </row>
    <row r="397" spans="1:17" hidden="1">
      <c r="A397" s="33" t="s">
        <v>3239</v>
      </c>
      <c r="B397" s="33" t="s">
        <v>3240</v>
      </c>
      <c r="C397" s="33" t="s">
        <v>1831</v>
      </c>
      <c r="D397" s="33" t="s">
        <v>41</v>
      </c>
      <c r="E397" s="33" t="s">
        <v>1836</v>
      </c>
      <c r="F397" s="33" t="s">
        <v>1787</v>
      </c>
      <c r="G397" s="33" t="s">
        <v>3241</v>
      </c>
      <c r="H397" s="33" t="s">
        <v>3242</v>
      </c>
      <c r="I397" s="33" t="s">
        <v>3242</v>
      </c>
      <c r="J397" s="33" t="s">
        <v>3243</v>
      </c>
      <c r="K397" s="33" t="s">
        <v>1791</v>
      </c>
      <c r="L397" s="33" t="s">
        <v>3228</v>
      </c>
      <c r="M397" s="33" t="s">
        <v>1827</v>
      </c>
      <c r="N397" s="33" t="s">
        <v>2402</v>
      </c>
      <c r="O397" s="33" t="s">
        <v>3244</v>
      </c>
      <c r="P397" s="33" t="s">
        <v>1764</v>
      </c>
      <c r="Q397" s="33" t="s">
        <v>1796</v>
      </c>
    </row>
    <row r="398" spans="1:17">
      <c r="A398" s="33" t="s">
        <v>3222</v>
      </c>
      <c r="B398" s="33" t="s">
        <v>3245</v>
      </c>
      <c r="C398" s="33" t="s">
        <v>1891</v>
      </c>
      <c r="D398" s="33" t="s">
        <v>41</v>
      </c>
      <c r="E398" s="33" t="s">
        <v>1786</v>
      </c>
      <c r="F398" s="33" t="s">
        <v>1787</v>
      </c>
      <c r="G398" s="33" t="s">
        <v>1892</v>
      </c>
      <c r="H398" s="33" t="s">
        <v>3246</v>
      </c>
      <c r="I398" s="33" t="s">
        <v>3246</v>
      </c>
      <c r="J398" s="33" t="s">
        <v>3247</v>
      </c>
      <c r="K398" s="33" t="s">
        <v>1791</v>
      </c>
      <c r="L398" s="33" t="s">
        <v>3228</v>
      </c>
      <c r="M398" s="33" t="s">
        <v>82</v>
      </c>
      <c r="N398" s="33" t="s">
        <v>43</v>
      </c>
      <c r="O398" s="33" t="s">
        <v>190</v>
      </c>
      <c r="P398" s="33" t="s">
        <v>1795</v>
      </c>
      <c r="Q398" s="33" t="s">
        <v>1796</v>
      </c>
    </row>
    <row r="399" spans="1:17">
      <c r="A399" s="33" t="s">
        <v>3248</v>
      </c>
      <c r="B399" s="33" t="s">
        <v>3249</v>
      </c>
      <c r="C399" s="33" t="s">
        <v>1831</v>
      </c>
      <c r="D399" s="33" t="s">
        <v>41</v>
      </c>
      <c r="E399" s="33" t="s">
        <v>1786</v>
      </c>
      <c r="F399" s="33" t="s">
        <v>1815</v>
      </c>
      <c r="G399" s="33" t="s">
        <v>1861</v>
      </c>
      <c r="H399" s="33" t="s">
        <v>3246</v>
      </c>
      <c r="I399" s="33" t="s">
        <v>3246</v>
      </c>
      <c r="J399" s="33" t="s">
        <v>3250</v>
      </c>
      <c r="K399" s="33" t="s">
        <v>1791</v>
      </c>
      <c r="L399" s="33" t="s">
        <v>3251</v>
      </c>
      <c r="M399" s="33" t="s">
        <v>1838</v>
      </c>
      <c r="N399" s="33" t="s">
        <v>1839</v>
      </c>
      <c r="O399" s="33" t="s">
        <v>2011</v>
      </c>
      <c r="P399" s="33" t="s">
        <v>1804</v>
      </c>
      <c r="Q399" s="33" t="s">
        <v>1796</v>
      </c>
    </row>
    <row r="400" spans="1:17">
      <c r="A400" s="33" t="s">
        <v>3132</v>
      </c>
      <c r="B400" s="33" t="s">
        <v>3252</v>
      </c>
      <c r="C400" s="33" t="s">
        <v>1831</v>
      </c>
      <c r="D400" s="33" t="s">
        <v>41</v>
      </c>
      <c r="E400" s="33" t="s">
        <v>1786</v>
      </c>
      <c r="F400" s="33" t="s">
        <v>1864</v>
      </c>
      <c r="G400" s="33" t="s">
        <v>1861</v>
      </c>
      <c r="H400" s="33" t="s">
        <v>3246</v>
      </c>
      <c r="I400" s="33" t="s">
        <v>3246</v>
      </c>
      <c r="J400" s="33" t="s">
        <v>3253</v>
      </c>
      <c r="K400" s="33" t="s">
        <v>1791</v>
      </c>
      <c r="L400" s="33" t="s">
        <v>3135</v>
      </c>
      <c r="M400" s="33" t="s">
        <v>1838</v>
      </c>
      <c r="N400" s="33" t="s">
        <v>1839</v>
      </c>
      <c r="O400" s="33" t="s">
        <v>3254</v>
      </c>
      <c r="P400" s="33" t="s">
        <v>1804</v>
      </c>
      <c r="Q400" s="33" t="s">
        <v>1796</v>
      </c>
    </row>
    <row r="401" spans="1:17">
      <c r="A401" s="33" t="s">
        <v>3255</v>
      </c>
      <c r="B401" s="33" t="s">
        <v>3256</v>
      </c>
      <c r="C401" s="33" t="s">
        <v>1831</v>
      </c>
      <c r="D401" s="33" t="s">
        <v>41</v>
      </c>
      <c r="E401" s="33" t="s">
        <v>1786</v>
      </c>
      <c r="F401" s="33" t="s">
        <v>1815</v>
      </c>
      <c r="G401" s="33" t="s">
        <v>1861</v>
      </c>
      <c r="H401" s="33" t="s">
        <v>3246</v>
      </c>
      <c r="I401" s="33" t="s">
        <v>3246</v>
      </c>
      <c r="J401" s="33" t="s">
        <v>3257</v>
      </c>
      <c r="K401" s="33" t="s">
        <v>1791</v>
      </c>
      <c r="L401" s="33" t="s">
        <v>3251</v>
      </c>
      <c r="M401" s="33" t="s">
        <v>1863</v>
      </c>
      <c r="N401" s="33" t="s">
        <v>1839</v>
      </c>
      <c r="O401" s="33" t="s">
        <v>2330</v>
      </c>
      <c r="P401" s="33" t="s">
        <v>1804</v>
      </c>
      <c r="Q401" s="33" t="s">
        <v>1796</v>
      </c>
    </row>
    <row r="402" spans="1:17">
      <c r="A402" s="33" t="s">
        <v>3258</v>
      </c>
      <c r="B402" s="33" t="s">
        <v>3259</v>
      </c>
      <c r="C402" s="33" t="s">
        <v>1831</v>
      </c>
      <c r="D402" s="33" t="s">
        <v>41</v>
      </c>
      <c r="E402" s="33" t="s">
        <v>1786</v>
      </c>
      <c r="F402" s="33" t="s">
        <v>1815</v>
      </c>
      <c r="G402" s="33" t="s">
        <v>1861</v>
      </c>
      <c r="H402" s="33" t="s">
        <v>3246</v>
      </c>
      <c r="I402" s="33" t="s">
        <v>3246</v>
      </c>
      <c r="J402" s="33" t="s">
        <v>3260</v>
      </c>
      <c r="K402" s="33" t="s">
        <v>1791</v>
      </c>
      <c r="L402" s="33" t="s">
        <v>3251</v>
      </c>
      <c r="M402" s="33" t="s">
        <v>1863</v>
      </c>
      <c r="N402" s="33" t="s">
        <v>1839</v>
      </c>
      <c r="O402" s="33" t="s">
        <v>1845</v>
      </c>
      <c r="P402" s="33" t="s">
        <v>1804</v>
      </c>
      <c r="Q402" s="33" t="s">
        <v>1796</v>
      </c>
    </row>
    <row r="403" spans="1:17">
      <c r="A403" s="33" t="s">
        <v>3261</v>
      </c>
      <c r="B403" s="33" t="s">
        <v>3262</v>
      </c>
      <c r="C403" s="33" t="s">
        <v>1831</v>
      </c>
      <c r="D403" s="33" t="s">
        <v>41</v>
      </c>
      <c r="E403" s="33" t="s">
        <v>1786</v>
      </c>
      <c r="F403" s="33" t="s">
        <v>1815</v>
      </c>
      <c r="G403" s="33" t="s">
        <v>1861</v>
      </c>
      <c r="H403" s="33" t="s">
        <v>3246</v>
      </c>
      <c r="I403" s="33" t="s">
        <v>3246</v>
      </c>
      <c r="J403" s="33" t="s">
        <v>3263</v>
      </c>
      <c r="K403" s="33" t="s">
        <v>1791</v>
      </c>
      <c r="L403" s="33" t="s">
        <v>3251</v>
      </c>
      <c r="M403" s="33" t="s">
        <v>1811</v>
      </c>
      <c r="N403" s="33" t="s">
        <v>1839</v>
      </c>
      <c r="O403" s="33" t="s">
        <v>2082</v>
      </c>
      <c r="P403" s="33" t="s">
        <v>1804</v>
      </c>
      <c r="Q403" s="33" t="s">
        <v>1796</v>
      </c>
    </row>
    <row r="404" spans="1:17">
      <c r="A404" s="33" t="s">
        <v>3264</v>
      </c>
      <c r="B404" s="33" t="s">
        <v>3265</v>
      </c>
      <c r="C404" s="33" t="s">
        <v>1831</v>
      </c>
      <c r="D404" s="33" t="s">
        <v>41</v>
      </c>
      <c r="E404" s="33" t="s">
        <v>1786</v>
      </c>
      <c r="F404" s="33" t="s">
        <v>1864</v>
      </c>
      <c r="G404" s="33" t="s">
        <v>1861</v>
      </c>
      <c r="H404" s="33" t="s">
        <v>3246</v>
      </c>
      <c r="I404" s="33" t="s">
        <v>3246</v>
      </c>
      <c r="J404" s="33" t="s">
        <v>3266</v>
      </c>
      <c r="K404" s="33" t="s">
        <v>1791</v>
      </c>
      <c r="L404" s="33" t="s">
        <v>3251</v>
      </c>
      <c r="M404" s="33" t="s">
        <v>1863</v>
      </c>
      <c r="N404" s="33" t="s">
        <v>1839</v>
      </c>
      <c r="O404" s="33" t="s">
        <v>2022</v>
      </c>
      <c r="P404" s="33" t="s">
        <v>1804</v>
      </c>
      <c r="Q404" s="33" t="s">
        <v>1796</v>
      </c>
    </row>
    <row r="405" spans="1:17">
      <c r="A405" s="33" t="s">
        <v>3267</v>
      </c>
      <c r="B405" s="33" t="s">
        <v>3268</v>
      </c>
      <c r="C405" s="33" t="s">
        <v>1831</v>
      </c>
      <c r="D405" s="33" t="s">
        <v>41</v>
      </c>
      <c r="E405" s="33" t="s">
        <v>1786</v>
      </c>
      <c r="F405" s="33" t="s">
        <v>1815</v>
      </c>
      <c r="G405" s="33" t="s">
        <v>1872</v>
      </c>
      <c r="H405" s="33" t="s">
        <v>3246</v>
      </c>
      <c r="I405" s="33" t="s">
        <v>3246</v>
      </c>
      <c r="J405" s="33" t="s">
        <v>3269</v>
      </c>
      <c r="K405" s="33" t="s">
        <v>1791</v>
      </c>
      <c r="L405" s="33" t="s">
        <v>3251</v>
      </c>
      <c r="M405" s="33" t="s">
        <v>82</v>
      </c>
      <c r="N405" s="33" t="s">
        <v>1849</v>
      </c>
      <c r="O405" s="33" t="s">
        <v>3270</v>
      </c>
      <c r="P405" s="33" t="s">
        <v>1795</v>
      </c>
      <c r="Q405" s="33" t="s">
        <v>1796</v>
      </c>
    </row>
    <row r="406" spans="1:17">
      <c r="A406" s="33" t="s">
        <v>3271</v>
      </c>
      <c r="B406" s="33" t="s">
        <v>3272</v>
      </c>
      <c r="C406" s="33" t="s">
        <v>1980</v>
      </c>
      <c r="D406" s="33" t="s">
        <v>41</v>
      </c>
      <c r="E406" s="33" t="s">
        <v>1786</v>
      </c>
      <c r="F406" s="33" t="s">
        <v>1815</v>
      </c>
      <c r="G406" s="33" t="s">
        <v>3139</v>
      </c>
      <c r="H406" s="33" t="s">
        <v>3273</v>
      </c>
      <c r="I406" s="33" t="s">
        <v>3273</v>
      </c>
      <c r="J406" s="33" t="s">
        <v>3274</v>
      </c>
      <c r="K406" s="33" t="s">
        <v>1791</v>
      </c>
      <c r="L406" s="33" t="s">
        <v>3251</v>
      </c>
      <c r="M406" s="33" t="s">
        <v>82</v>
      </c>
      <c r="N406" s="33" t="s">
        <v>1849</v>
      </c>
      <c r="O406" s="33" t="s">
        <v>1938</v>
      </c>
      <c r="P406" s="33" t="s">
        <v>1795</v>
      </c>
      <c r="Q406" s="33" t="s">
        <v>1796</v>
      </c>
    </row>
    <row r="407" spans="1:17">
      <c r="A407" s="33" t="s">
        <v>3275</v>
      </c>
      <c r="B407" s="33" t="s">
        <v>3276</v>
      </c>
      <c r="C407" s="33" t="s">
        <v>1980</v>
      </c>
      <c r="D407" s="33" t="s">
        <v>41</v>
      </c>
      <c r="E407" s="33" t="s">
        <v>1786</v>
      </c>
      <c r="F407" s="33" t="s">
        <v>1815</v>
      </c>
      <c r="G407" s="33" t="s">
        <v>3139</v>
      </c>
      <c r="H407" s="33" t="s">
        <v>3273</v>
      </c>
      <c r="I407" s="33" t="s">
        <v>3273</v>
      </c>
      <c r="J407" s="33" t="s">
        <v>3277</v>
      </c>
      <c r="K407" s="33" t="s">
        <v>1791</v>
      </c>
      <c r="L407" s="33" t="s">
        <v>3251</v>
      </c>
      <c r="M407" s="33" t="s">
        <v>82</v>
      </c>
      <c r="N407" s="33" t="s">
        <v>1849</v>
      </c>
      <c r="O407" s="33" t="s">
        <v>1938</v>
      </c>
      <c r="P407" s="33" t="s">
        <v>1795</v>
      </c>
      <c r="Q407" s="33" t="s">
        <v>1796</v>
      </c>
    </row>
    <row r="408" spans="1:17">
      <c r="A408" s="33" t="s">
        <v>2962</v>
      </c>
      <c r="B408" s="33" t="s">
        <v>3278</v>
      </c>
      <c r="C408" s="33" t="s">
        <v>1831</v>
      </c>
      <c r="D408" s="33" t="s">
        <v>41</v>
      </c>
      <c r="E408" s="33" t="s">
        <v>1786</v>
      </c>
      <c r="F408" s="33" t="s">
        <v>1815</v>
      </c>
      <c r="G408" s="33" t="s">
        <v>1861</v>
      </c>
      <c r="H408" s="33" t="s">
        <v>3273</v>
      </c>
      <c r="I408" s="33" t="s">
        <v>3273</v>
      </c>
      <c r="J408" s="33" t="s">
        <v>3279</v>
      </c>
      <c r="K408" s="33" t="s">
        <v>1791</v>
      </c>
      <c r="L408" s="33" t="s">
        <v>3251</v>
      </c>
      <c r="M408" s="33" t="s">
        <v>1863</v>
      </c>
      <c r="N408" s="33" t="s">
        <v>1839</v>
      </c>
      <c r="O408" s="33" t="s">
        <v>2330</v>
      </c>
      <c r="P408" s="33" t="s">
        <v>1804</v>
      </c>
      <c r="Q408" s="33" t="s">
        <v>1796</v>
      </c>
    </row>
    <row r="409" spans="1:17" hidden="1">
      <c r="A409" s="33" t="s">
        <v>3280</v>
      </c>
      <c r="B409" s="33" t="s">
        <v>3281</v>
      </c>
      <c r="C409" s="33" t="s">
        <v>1980</v>
      </c>
      <c r="D409" s="33" t="s">
        <v>41</v>
      </c>
      <c r="E409" s="33" t="s">
        <v>1836</v>
      </c>
      <c r="F409" s="33" t="s">
        <v>1815</v>
      </c>
      <c r="G409" s="33" t="s">
        <v>3139</v>
      </c>
      <c r="H409" s="33" t="s">
        <v>3282</v>
      </c>
      <c r="I409" s="33" t="s">
        <v>3282</v>
      </c>
      <c r="J409" s="33" t="s">
        <v>3283</v>
      </c>
      <c r="K409" s="33" t="s">
        <v>1791</v>
      </c>
      <c r="L409" s="33" t="s">
        <v>3251</v>
      </c>
      <c r="M409" s="33" t="s">
        <v>3284</v>
      </c>
      <c r="N409" s="33" t="s">
        <v>69</v>
      </c>
      <c r="O409" s="33" t="s">
        <v>1938</v>
      </c>
      <c r="P409" s="33" t="s">
        <v>1764</v>
      </c>
      <c r="Q409" s="33" t="s">
        <v>1796</v>
      </c>
    </row>
    <row r="410" spans="1:17">
      <c r="A410" s="33" t="s">
        <v>3285</v>
      </c>
      <c r="B410" s="33" t="s">
        <v>3286</v>
      </c>
      <c r="C410" s="33" t="s">
        <v>1980</v>
      </c>
      <c r="D410" s="33" t="s">
        <v>41</v>
      </c>
      <c r="E410" s="33" t="s">
        <v>1786</v>
      </c>
      <c r="F410" s="33" t="s">
        <v>1815</v>
      </c>
      <c r="G410" s="33" t="s">
        <v>3139</v>
      </c>
      <c r="H410" s="33" t="s">
        <v>3282</v>
      </c>
      <c r="I410" s="33" t="s">
        <v>3282</v>
      </c>
      <c r="J410" s="33" t="s">
        <v>3287</v>
      </c>
      <c r="K410" s="33" t="s">
        <v>1791</v>
      </c>
      <c r="L410" s="33" t="s">
        <v>3251</v>
      </c>
      <c r="M410" s="33" t="s">
        <v>1402</v>
      </c>
      <c r="N410" s="33" t="s">
        <v>69</v>
      </c>
      <c r="O410" s="33" t="s">
        <v>3191</v>
      </c>
      <c r="P410" s="33" t="s">
        <v>1795</v>
      </c>
      <c r="Q410" s="33" t="s">
        <v>1796</v>
      </c>
    </row>
    <row r="411" spans="1:17" hidden="1">
      <c r="A411" s="33" t="s">
        <v>1764</v>
      </c>
      <c r="B411" s="33" t="s">
        <v>3288</v>
      </c>
      <c r="C411" s="33" t="s">
        <v>2205</v>
      </c>
      <c r="D411" s="33" t="s">
        <v>3289</v>
      </c>
      <c r="E411" s="33" t="s">
        <v>2471</v>
      </c>
      <c r="F411" s="33" t="s">
        <v>1787</v>
      </c>
      <c r="G411" s="33" t="s">
        <v>3289</v>
      </c>
      <c r="H411" s="33" t="s">
        <v>3282</v>
      </c>
      <c r="I411" s="33" t="s">
        <v>3282</v>
      </c>
      <c r="J411" s="33" t="s">
        <v>1764</v>
      </c>
      <c r="K411" s="33" t="s">
        <v>2471</v>
      </c>
      <c r="L411" s="33" t="s">
        <v>3282</v>
      </c>
      <c r="M411" s="33" t="str">
        <f>_xlfn.XLOOKUP(Tabela14[[#This Row],[Responsável]],Organograma!H:H,Organograma!G:G,"")</f>
        <v/>
      </c>
      <c r="N411" s="33" t="s">
        <v>1764</v>
      </c>
      <c r="O411" s="33" t="s">
        <v>1764</v>
      </c>
      <c r="P411" s="33" t="s">
        <v>1764</v>
      </c>
      <c r="Q411" s="33" t="s">
        <v>1796</v>
      </c>
    </row>
    <row r="412" spans="1:17">
      <c r="A412" s="33" t="s">
        <v>3290</v>
      </c>
      <c r="B412" s="33" t="s">
        <v>3291</v>
      </c>
      <c r="C412" s="33" t="s">
        <v>1980</v>
      </c>
      <c r="D412" s="33" t="s">
        <v>41</v>
      </c>
      <c r="E412" s="33" t="s">
        <v>1786</v>
      </c>
      <c r="F412" s="33" t="s">
        <v>1815</v>
      </c>
      <c r="G412" s="33" t="s">
        <v>3139</v>
      </c>
      <c r="H412" s="33" t="s">
        <v>3282</v>
      </c>
      <c r="I412" s="33" t="s">
        <v>3282</v>
      </c>
      <c r="J412" s="33" t="s">
        <v>3292</v>
      </c>
      <c r="K412" s="33" t="s">
        <v>1791</v>
      </c>
      <c r="L412" s="33" t="s">
        <v>3251</v>
      </c>
      <c r="M412" s="33" t="s">
        <v>197</v>
      </c>
      <c r="N412" s="33" t="s">
        <v>69</v>
      </c>
      <c r="O412" s="33" t="s">
        <v>1938</v>
      </c>
      <c r="P412" s="33" t="s">
        <v>1795</v>
      </c>
      <c r="Q412" s="33" t="s">
        <v>1796</v>
      </c>
    </row>
    <row r="413" spans="1:17">
      <c r="A413" s="33" t="s">
        <v>3293</v>
      </c>
      <c r="B413" s="33" t="s">
        <v>3294</v>
      </c>
      <c r="C413" s="33" t="s">
        <v>1980</v>
      </c>
      <c r="D413" s="33" t="s">
        <v>41</v>
      </c>
      <c r="E413" s="33" t="s">
        <v>1786</v>
      </c>
      <c r="F413" s="33" t="s">
        <v>1815</v>
      </c>
      <c r="G413" s="33" t="s">
        <v>3139</v>
      </c>
      <c r="H413" s="33" t="s">
        <v>3282</v>
      </c>
      <c r="I413" s="33" t="s">
        <v>3282</v>
      </c>
      <c r="J413" s="33" t="s">
        <v>3295</v>
      </c>
      <c r="K413" s="33" t="s">
        <v>1791</v>
      </c>
      <c r="L413" s="33" t="s">
        <v>3251</v>
      </c>
      <c r="M413" s="33" t="s">
        <v>195</v>
      </c>
      <c r="N413" s="33" t="s">
        <v>69</v>
      </c>
      <c r="O413" s="33" t="s">
        <v>1938</v>
      </c>
      <c r="P413" s="33" t="s">
        <v>1795</v>
      </c>
      <c r="Q413" s="33" t="s">
        <v>1796</v>
      </c>
    </row>
    <row r="414" spans="1:17">
      <c r="A414" s="33" t="s">
        <v>3296</v>
      </c>
      <c r="B414" s="33" t="s">
        <v>3297</v>
      </c>
      <c r="C414" s="33" t="s">
        <v>1980</v>
      </c>
      <c r="D414" s="33" t="s">
        <v>41</v>
      </c>
      <c r="E414" s="33" t="s">
        <v>1786</v>
      </c>
      <c r="F414" s="33" t="s">
        <v>1815</v>
      </c>
      <c r="G414" s="33" t="s">
        <v>3139</v>
      </c>
      <c r="H414" s="33" t="s">
        <v>3282</v>
      </c>
      <c r="I414" s="33" t="s">
        <v>3282</v>
      </c>
      <c r="J414" s="33" t="s">
        <v>3298</v>
      </c>
      <c r="K414" s="33" t="s">
        <v>1791</v>
      </c>
      <c r="L414" s="33" t="s">
        <v>3251</v>
      </c>
      <c r="M414" s="33" t="s">
        <v>197</v>
      </c>
      <c r="N414" s="33" t="s">
        <v>69</v>
      </c>
      <c r="O414" s="33" t="s">
        <v>1938</v>
      </c>
      <c r="P414" s="33" t="s">
        <v>1795</v>
      </c>
      <c r="Q414" s="33" t="s">
        <v>1796</v>
      </c>
    </row>
    <row r="415" spans="1:17">
      <c r="A415" s="33" t="s">
        <v>3299</v>
      </c>
      <c r="B415" s="33" t="s">
        <v>3300</v>
      </c>
      <c r="C415" s="33" t="s">
        <v>1891</v>
      </c>
      <c r="D415" s="33" t="s">
        <v>41</v>
      </c>
      <c r="E415" s="33" t="s">
        <v>1786</v>
      </c>
      <c r="F415" s="33" t="s">
        <v>1787</v>
      </c>
      <c r="G415" s="33" t="s">
        <v>1892</v>
      </c>
      <c r="H415" s="33" t="s">
        <v>3282</v>
      </c>
      <c r="I415" s="33" t="s">
        <v>3282</v>
      </c>
      <c r="J415" s="33" t="s">
        <v>3301</v>
      </c>
      <c r="K415" s="33" t="s">
        <v>1791</v>
      </c>
      <c r="L415" s="33" t="s">
        <v>3251</v>
      </c>
      <c r="M415" s="33" t="s">
        <v>69</v>
      </c>
      <c r="N415" s="33" t="s">
        <v>43</v>
      </c>
      <c r="O415" s="33" t="s">
        <v>190</v>
      </c>
      <c r="P415" s="33" t="s">
        <v>1795</v>
      </c>
      <c r="Q415" s="33" t="s">
        <v>1796</v>
      </c>
    </row>
    <row r="416" spans="1:17">
      <c r="A416" s="33" t="s">
        <v>3302</v>
      </c>
      <c r="B416" s="33" t="s">
        <v>3303</v>
      </c>
      <c r="C416" s="33" t="s">
        <v>1831</v>
      </c>
      <c r="D416" s="33" t="s">
        <v>41</v>
      </c>
      <c r="E416" s="33" t="s">
        <v>1786</v>
      </c>
      <c r="F416" s="33" t="s">
        <v>1787</v>
      </c>
      <c r="G416" s="33" t="s">
        <v>1872</v>
      </c>
      <c r="H416" s="33" t="s">
        <v>3282</v>
      </c>
      <c r="I416" s="33" t="s">
        <v>3282</v>
      </c>
      <c r="J416" s="33" t="s">
        <v>3304</v>
      </c>
      <c r="K416" s="33" t="s">
        <v>1791</v>
      </c>
      <c r="L416" s="33" t="s">
        <v>3251</v>
      </c>
      <c r="M416" s="33" t="s">
        <v>69</v>
      </c>
      <c r="N416" s="33" t="s">
        <v>197</v>
      </c>
      <c r="O416" s="33" t="s">
        <v>3305</v>
      </c>
      <c r="P416" s="33" t="s">
        <v>1795</v>
      </c>
      <c r="Q416" s="33" t="s">
        <v>1796</v>
      </c>
    </row>
    <row r="417" spans="1:17">
      <c r="A417" s="33" t="s">
        <v>3306</v>
      </c>
      <c r="B417" s="33" t="s">
        <v>3307</v>
      </c>
      <c r="C417" s="33" t="s">
        <v>1819</v>
      </c>
      <c r="D417" s="33" t="s">
        <v>41</v>
      </c>
      <c r="E417" s="33" t="s">
        <v>1786</v>
      </c>
      <c r="F417" s="33" t="s">
        <v>1856</v>
      </c>
      <c r="G417" s="33" t="s">
        <v>1954</v>
      </c>
      <c r="H417" s="33" t="s">
        <v>3308</v>
      </c>
      <c r="I417" s="33" t="s">
        <v>3308</v>
      </c>
      <c r="J417" s="33" t="s">
        <v>3309</v>
      </c>
      <c r="K417" s="33" t="s">
        <v>1791</v>
      </c>
      <c r="L417" s="33" t="s">
        <v>3251</v>
      </c>
      <c r="M417" s="33" t="s">
        <v>3310</v>
      </c>
      <c r="N417" s="33" t="s">
        <v>1078</v>
      </c>
      <c r="O417" s="33" t="s">
        <v>2103</v>
      </c>
      <c r="P417" s="33" t="s">
        <v>1795</v>
      </c>
      <c r="Q417" s="33" t="s">
        <v>1796</v>
      </c>
    </row>
    <row r="418" spans="1:17">
      <c r="A418" s="33" t="s">
        <v>3311</v>
      </c>
      <c r="B418" s="33" t="s">
        <v>3312</v>
      </c>
      <c r="C418" s="33" t="s">
        <v>2096</v>
      </c>
      <c r="D418" s="33" t="s">
        <v>41</v>
      </c>
      <c r="E418" s="33" t="s">
        <v>1786</v>
      </c>
      <c r="F418" s="33" t="s">
        <v>1787</v>
      </c>
      <c r="G418" s="33" t="s">
        <v>2097</v>
      </c>
      <c r="H418" s="33" t="s">
        <v>3308</v>
      </c>
      <c r="I418" s="33" t="s">
        <v>3308</v>
      </c>
      <c r="J418" s="33" t="s">
        <v>3313</v>
      </c>
      <c r="K418" s="33" t="s">
        <v>1791</v>
      </c>
      <c r="L418" s="33" t="s">
        <v>3251</v>
      </c>
      <c r="M418" s="33" t="s">
        <v>970</v>
      </c>
      <c r="N418" s="33" t="s">
        <v>3310</v>
      </c>
      <c r="O418" s="33" t="s">
        <v>1845</v>
      </c>
      <c r="P418" s="33" t="s">
        <v>1795</v>
      </c>
      <c r="Q418" s="33" t="s">
        <v>1796</v>
      </c>
    </row>
    <row r="419" spans="1:17">
      <c r="A419" s="33" t="s">
        <v>3314</v>
      </c>
      <c r="B419" s="33" t="s">
        <v>3315</v>
      </c>
      <c r="C419" s="33" t="s">
        <v>3316</v>
      </c>
      <c r="D419" s="33" t="s">
        <v>41</v>
      </c>
      <c r="E419" s="33" t="s">
        <v>1786</v>
      </c>
      <c r="F419" s="33" t="s">
        <v>1787</v>
      </c>
      <c r="G419" s="33" t="s">
        <v>3317</v>
      </c>
      <c r="H419" s="33" t="s">
        <v>3318</v>
      </c>
      <c r="I419" s="33" t="s">
        <v>3308</v>
      </c>
      <c r="J419" s="33" t="s">
        <v>3319</v>
      </c>
      <c r="K419" s="33" t="s">
        <v>1791</v>
      </c>
      <c r="L419" s="33" t="s">
        <v>3251</v>
      </c>
      <c r="M419" s="33" t="s">
        <v>11</v>
      </c>
      <c r="N419" s="33" t="s">
        <v>195</v>
      </c>
      <c r="O419" s="33" t="s">
        <v>3320</v>
      </c>
      <c r="P419" s="33" t="s">
        <v>1795</v>
      </c>
      <c r="Q419" s="33" t="s">
        <v>1796</v>
      </c>
    </row>
    <row r="420" spans="1:17">
      <c r="A420" s="33" t="s">
        <v>3321</v>
      </c>
      <c r="B420" s="33" t="s">
        <v>3322</v>
      </c>
      <c r="C420" s="33" t="s">
        <v>1980</v>
      </c>
      <c r="D420" s="33" t="s">
        <v>41</v>
      </c>
      <c r="E420" s="33" t="s">
        <v>1786</v>
      </c>
      <c r="F420" s="33" t="s">
        <v>1787</v>
      </c>
      <c r="G420" s="33" t="s">
        <v>3323</v>
      </c>
      <c r="H420" s="33" t="s">
        <v>3318</v>
      </c>
      <c r="I420" s="33" t="s">
        <v>3318</v>
      </c>
      <c r="J420" s="33" t="s">
        <v>3324</v>
      </c>
      <c r="K420" s="33" t="s">
        <v>1791</v>
      </c>
      <c r="L420" s="33" t="s">
        <v>3251</v>
      </c>
      <c r="M420" s="33" t="s">
        <v>69</v>
      </c>
      <c r="N420" s="33" t="s">
        <v>69</v>
      </c>
      <c r="O420" s="33" t="s">
        <v>1938</v>
      </c>
      <c r="P420" s="33" t="s">
        <v>1804</v>
      </c>
      <c r="Q420" s="33" t="s">
        <v>1796</v>
      </c>
    </row>
    <row r="421" spans="1:17">
      <c r="A421" s="33" t="s">
        <v>3325</v>
      </c>
      <c r="B421" s="33" t="s">
        <v>3326</v>
      </c>
      <c r="C421" s="33" t="s">
        <v>1891</v>
      </c>
      <c r="D421" s="33" t="s">
        <v>41</v>
      </c>
      <c r="E421" s="33" t="s">
        <v>1786</v>
      </c>
      <c r="F421" s="33" t="s">
        <v>1787</v>
      </c>
      <c r="G421" s="33" t="s">
        <v>2349</v>
      </c>
      <c r="H421" s="33" t="s">
        <v>3318</v>
      </c>
      <c r="I421" s="33" t="s">
        <v>3318</v>
      </c>
      <c r="J421" s="33" t="s">
        <v>3327</v>
      </c>
      <c r="K421" s="33" t="s">
        <v>1791</v>
      </c>
      <c r="L421" s="33" t="s">
        <v>3251</v>
      </c>
      <c r="M421" s="33" t="s">
        <v>3310</v>
      </c>
      <c r="N421" s="33" t="s">
        <v>43</v>
      </c>
      <c r="O421" s="33" t="s">
        <v>3328</v>
      </c>
      <c r="P421" s="33" t="s">
        <v>2023</v>
      </c>
      <c r="Q421" s="33" t="s">
        <v>1796</v>
      </c>
    </row>
    <row r="422" spans="1:17">
      <c r="A422" s="33" t="s">
        <v>3329</v>
      </c>
      <c r="B422" s="33" t="s">
        <v>3330</v>
      </c>
      <c r="C422" s="33" t="s">
        <v>1891</v>
      </c>
      <c r="D422" s="33" t="s">
        <v>41</v>
      </c>
      <c r="E422" s="33" t="s">
        <v>1786</v>
      </c>
      <c r="F422" s="33" t="s">
        <v>1787</v>
      </c>
      <c r="G422" s="33" t="s">
        <v>2349</v>
      </c>
      <c r="H422" s="33" t="s">
        <v>3318</v>
      </c>
      <c r="I422" s="33" t="s">
        <v>3318</v>
      </c>
      <c r="J422" s="33" t="s">
        <v>3331</v>
      </c>
      <c r="K422" s="33" t="s">
        <v>1791</v>
      </c>
      <c r="L422" s="33" t="s">
        <v>3251</v>
      </c>
      <c r="M422" s="33" t="s">
        <v>3310</v>
      </c>
      <c r="N422" s="33" t="s">
        <v>43</v>
      </c>
      <c r="O422" s="33" t="s">
        <v>3332</v>
      </c>
      <c r="P422" s="33" t="s">
        <v>2023</v>
      </c>
      <c r="Q422" s="33" t="s">
        <v>1796</v>
      </c>
    </row>
    <row r="423" spans="1:17">
      <c r="A423" s="33" t="s">
        <v>3333</v>
      </c>
      <c r="B423" s="33" t="s">
        <v>3334</v>
      </c>
      <c r="C423" s="33" t="s">
        <v>1891</v>
      </c>
      <c r="D423" s="33" t="s">
        <v>41</v>
      </c>
      <c r="E423" s="33" t="s">
        <v>1786</v>
      </c>
      <c r="F423" s="33" t="s">
        <v>1787</v>
      </c>
      <c r="G423" s="33" t="s">
        <v>2349</v>
      </c>
      <c r="H423" s="33" t="s">
        <v>3318</v>
      </c>
      <c r="I423" s="33" t="s">
        <v>3318</v>
      </c>
      <c r="J423" s="33" t="s">
        <v>3335</v>
      </c>
      <c r="K423" s="33" t="s">
        <v>1791</v>
      </c>
      <c r="L423" s="33" t="s">
        <v>3251</v>
      </c>
      <c r="M423" s="33" t="s">
        <v>3310</v>
      </c>
      <c r="N423" s="33" t="s">
        <v>43</v>
      </c>
      <c r="O423" s="33" t="s">
        <v>3336</v>
      </c>
      <c r="P423" s="33" t="s">
        <v>2023</v>
      </c>
      <c r="Q423" s="33" t="s">
        <v>1796</v>
      </c>
    </row>
    <row r="424" spans="1:17">
      <c r="A424" s="33" t="s">
        <v>3337</v>
      </c>
      <c r="B424" s="33" t="s">
        <v>3338</v>
      </c>
      <c r="C424" s="33" t="s">
        <v>2096</v>
      </c>
      <c r="D424" s="33" t="s">
        <v>41</v>
      </c>
      <c r="E424" s="33" t="s">
        <v>1786</v>
      </c>
      <c r="F424" s="33" t="s">
        <v>1787</v>
      </c>
      <c r="G424" s="33" t="s">
        <v>2097</v>
      </c>
      <c r="H424" s="33" t="s">
        <v>3318</v>
      </c>
      <c r="I424" s="33" t="s">
        <v>3318</v>
      </c>
      <c r="J424" s="33" t="s">
        <v>3339</v>
      </c>
      <c r="K424" s="33" t="s">
        <v>1791</v>
      </c>
      <c r="L424" s="33" t="s">
        <v>3251</v>
      </c>
      <c r="M424" s="33" t="s">
        <v>970</v>
      </c>
      <c r="N424" s="33" t="s">
        <v>3310</v>
      </c>
      <c r="O424" s="33" t="s">
        <v>1845</v>
      </c>
      <c r="P424" s="33" t="s">
        <v>1795</v>
      </c>
      <c r="Q424" s="33" t="s">
        <v>1796</v>
      </c>
    </row>
    <row r="425" spans="1:17">
      <c r="A425" s="33" t="s">
        <v>3340</v>
      </c>
      <c r="B425" s="33" t="s">
        <v>3341</v>
      </c>
      <c r="C425" s="33" t="s">
        <v>2026</v>
      </c>
      <c r="D425" s="33" t="s">
        <v>41</v>
      </c>
      <c r="E425" s="33" t="s">
        <v>1786</v>
      </c>
      <c r="F425" s="33" t="s">
        <v>1787</v>
      </c>
      <c r="G425" s="33" t="s">
        <v>90</v>
      </c>
      <c r="H425" s="33" t="s">
        <v>3072</v>
      </c>
      <c r="I425" s="33" t="s">
        <v>3072</v>
      </c>
      <c r="J425" s="33" t="s">
        <v>3342</v>
      </c>
      <c r="K425" s="33" t="s">
        <v>1791</v>
      </c>
      <c r="L425" s="33" t="s">
        <v>3251</v>
      </c>
      <c r="M425" s="33" t="s">
        <v>3284</v>
      </c>
      <c r="N425" s="33" t="s">
        <v>1397</v>
      </c>
      <c r="O425" s="33" t="s">
        <v>1895</v>
      </c>
      <c r="P425" s="33" t="s">
        <v>1795</v>
      </c>
      <c r="Q425" s="33" t="s">
        <v>1796</v>
      </c>
    </row>
    <row r="426" spans="1:17">
      <c r="A426" s="33" t="s">
        <v>3343</v>
      </c>
      <c r="B426" s="33" t="s">
        <v>3344</v>
      </c>
      <c r="C426" s="33" t="s">
        <v>2549</v>
      </c>
      <c r="D426" s="33" t="s">
        <v>41</v>
      </c>
      <c r="E426" s="33" t="s">
        <v>1786</v>
      </c>
      <c r="F426" s="33" t="s">
        <v>1815</v>
      </c>
      <c r="G426" s="33" t="s">
        <v>3345</v>
      </c>
      <c r="H426" s="33" t="s">
        <v>3072</v>
      </c>
      <c r="I426" s="33" t="s">
        <v>3072</v>
      </c>
      <c r="J426" s="33" t="s">
        <v>3346</v>
      </c>
      <c r="K426" s="33" t="s">
        <v>1791</v>
      </c>
      <c r="L426" s="33" t="s">
        <v>3251</v>
      </c>
      <c r="M426" s="33" t="s">
        <v>970</v>
      </c>
      <c r="N426" s="33" t="s">
        <v>195</v>
      </c>
      <c r="O426" s="33" t="s">
        <v>1840</v>
      </c>
      <c r="P426" s="33" t="s">
        <v>1869</v>
      </c>
      <c r="Q426" s="33" t="s">
        <v>1796</v>
      </c>
    </row>
    <row r="427" spans="1:17">
      <c r="A427" s="33" t="s">
        <v>3347</v>
      </c>
      <c r="B427" s="33" t="s">
        <v>3348</v>
      </c>
      <c r="C427" s="33" t="s">
        <v>1819</v>
      </c>
      <c r="D427" s="33" t="s">
        <v>41</v>
      </c>
      <c r="E427" s="33" t="s">
        <v>1786</v>
      </c>
      <c r="F427" s="33" t="s">
        <v>1787</v>
      </c>
      <c r="G427" s="33" t="s">
        <v>1954</v>
      </c>
      <c r="H427" s="33" t="s">
        <v>3072</v>
      </c>
      <c r="I427" s="33" t="s">
        <v>3072</v>
      </c>
      <c r="J427" s="33" t="s">
        <v>3349</v>
      </c>
      <c r="K427" s="33" t="s">
        <v>1791</v>
      </c>
      <c r="L427" s="33" t="s">
        <v>3251</v>
      </c>
      <c r="M427" s="33" t="s">
        <v>3310</v>
      </c>
      <c r="N427" s="33" t="s">
        <v>1078</v>
      </c>
      <c r="O427" s="33" t="s">
        <v>1919</v>
      </c>
      <c r="P427" s="33" t="s">
        <v>1804</v>
      </c>
      <c r="Q427" s="33" t="s">
        <v>1796</v>
      </c>
    </row>
    <row r="428" spans="1:17">
      <c r="A428" s="33" t="s">
        <v>3350</v>
      </c>
      <c r="B428" s="33" t="s">
        <v>3351</v>
      </c>
      <c r="C428" s="33" t="s">
        <v>1819</v>
      </c>
      <c r="D428" s="33" t="s">
        <v>41</v>
      </c>
      <c r="E428" s="33" t="s">
        <v>1786</v>
      </c>
      <c r="F428" s="33" t="s">
        <v>1815</v>
      </c>
      <c r="G428" s="33" t="s">
        <v>1954</v>
      </c>
      <c r="H428" s="33" t="s">
        <v>3072</v>
      </c>
      <c r="I428" s="33" t="s">
        <v>3072</v>
      </c>
      <c r="J428" s="33" t="s">
        <v>3352</v>
      </c>
      <c r="K428" s="33" t="s">
        <v>1791</v>
      </c>
      <c r="L428" s="33" t="s">
        <v>3251</v>
      </c>
      <c r="M428" s="33" t="s">
        <v>3310</v>
      </c>
      <c r="N428" s="33" t="s">
        <v>1078</v>
      </c>
      <c r="O428" s="33" t="s">
        <v>1946</v>
      </c>
      <c r="P428" s="33" t="s">
        <v>1795</v>
      </c>
      <c r="Q428" s="33" t="s">
        <v>1796</v>
      </c>
    </row>
    <row r="429" spans="1:17" hidden="1">
      <c r="A429" s="33" t="s">
        <v>3353</v>
      </c>
      <c r="B429" s="33" t="s">
        <v>3354</v>
      </c>
      <c r="C429" s="33" t="s">
        <v>2374</v>
      </c>
      <c r="D429" s="33" t="s">
        <v>41</v>
      </c>
      <c r="E429" s="33" t="s">
        <v>1836</v>
      </c>
      <c r="F429" s="33" t="s">
        <v>1787</v>
      </c>
      <c r="G429" s="33" t="s">
        <v>67</v>
      </c>
      <c r="H429" s="33" t="s">
        <v>3072</v>
      </c>
      <c r="I429" s="33" t="s">
        <v>3072</v>
      </c>
      <c r="J429" s="33" t="s">
        <v>3355</v>
      </c>
      <c r="K429" s="33" t="s">
        <v>1791</v>
      </c>
      <c r="L429" s="33" t="s">
        <v>3251</v>
      </c>
      <c r="M429" s="33" t="s">
        <v>1083</v>
      </c>
      <c r="N429" s="33" t="s">
        <v>69</v>
      </c>
      <c r="O429" s="33" t="s">
        <v>1815</v>
      </c>
      <c r="P429" s="33" t="s">
        <v>1764</v>
      </c>
      <c r="Q429" s="33" t="s">
        <v>1796</v>
      </c>
    </row>
    <row r="430" spans="1:17">
      <c r="A430" s="33" t="s">
        <v>3356</v>
      </c>
      <c r="B430" s="33" t="s">
        <v>3357</v>
      </c>
      <c r="C430" s="33" t="s">
        <v>2273</v>
      </c>
      <c r="D430" s="33" t="s">
        <v>41</v>
      </c>
      <c r="E430" s="33" t="s">
        <v>1786</v>
      </c>
      <c r="F430" s="33" t="s">
        <v>1787</v>
      </c>
      <c r="G430" s="33" t="s">
        <v>89</v>
      </c>
      <c r="H430" s="33" t="s">
        <v>3358</v>
      </c>
      <c r="I430" s="33" t="s">
        <v>3358</v>
      </c>
      <c r="J430" s="33" t="s">
        <v>3359</v>
      </c>
      <c r="K430" s="33" t="s">
        <v>1791</v>
      </c>
      <c r="L430" s="33" t="s">
        <v>3251</v>
      </c>
      <c r="M430" s="33" t="s">
        <v>3310</v>
      </c>
      <c r="N430" s="33" t="s">
        <v>3310</v>
      </c>
      <c r="O430" s="33" t="s">
        <v>2330</v>
      </c>
      <c r="P430" s="33" t="s">
        <v>2321</v>
      </c>
      <c r="Q430" s="33" t="s">
        <v>1796</v>
      </c>
    </row>
    <row r="431" spans="1:17">
      <c r="A431" s="33" t="s">
        <v>3360</v>
      </c>
      <c r="B431" s="33" t="s">
        <v>3361</v>
      </c>
      <c r="C431" s="33" t="s">
        <v>1831</v>
      </c>
      <c r="D431" s="33" t="s">
        <v>41</v>
      </c>
      <c r="E431" s="33" t="s">
        <v>1786</v>
      </c>
      <c r="F431" s="33" t="s">
        <v>1856</v>
      </c>
      <c r="G431" s="33" t="s">
        <v>1872</v>
      </c>
      <c r="H431" s="33" t="s">
        <v>3358</v>
      </c>
      <c r="I431" s="33" t="s">
        <v>3358</v>
      </c>
      <c r="J431" s="33" t="s">
        <v>3362</v>
      </c>
      <c r="K431" s="33" t="s">
        <v>1791</v>
      </c>
      <c r="L431" s="33" t="s">
        <v>3251</v>
      </c>
      <c r="M431" s="33" t="s">
        <v>197</v>
      </c>
      <c r="N431" s="33" t="s">
        <v>69</v>
      </c>
      <c r="O431" s="33" t="s">
        <v>1938</v>
      </c>
      <c r="P431" s="33" t="s">
        <v>1795</v>
      </c>
      <c r="Q431" s="33" t="s">
        <v>1796</v>
      </c>
    </row>
    <row r="432" spans="1:17">
      <c r="A432" s="33" t="s">
        <v>3363</v>
      </c>
      <c r="B432" s="33" t="s">
        <v>3364</v>
      </c>
      <c r="C432" s="33" t="s">
        <v>2026</v>
      </c>
      <c r="D432" s="33" t="s">
        <v>41</v>
      </c>
      <c r="E432" s="33" t="s">
        <v>1786</v>
      </c>
      <c r="F432" s="33" t="s">
        <v>1787</v>
      </c>
      <c r="G432" s="33" t="s">
        <v>90</v>
      </c>
      <c r="H432" s="33" t="s">
        <v>3365</v>
      </c>
      <c r="I432" s="33" t="s">
        <v>3365</v>
      </c>
      <c r="J432" s="33" t="s">
        <v>3366</v>
      </c>
      <c r="K432" s="33" t="s">
        <v>1791</v>
      </c>
      <c r="L432" s="33" t="s">
        <v>3251</v>
      </c>
      <c r="M432" s="33" t="s">
        <v>197</v>
      </c>
      <c r="N432" s="33" t="s">
        <v>1402</v>
      </c>
      <c r="O432" s="33" t="s">
        <v>1845</v>
      </c>
      <c r="P432" s="33" t="s">
        <v>1804</v>
      </c>
      <c r="Q432" s="33" t="s">
        <v>1796</v>
      </c>
    </row>
    <row r="433" spans="1:17">
      <c r="A433" s="33" t="s">
        <v>3367</v>
      </c>
      <c r="B433" s="33" t="s">
        <v>3368</v>
      </c>
      <c r="C433" s="33" t="s">
        <v>2374</v>
      </c>
      <c r="D433" s="33" t="s">
        <v>41</v>
      </c>
      <c r="E433" s="33" t="s">
        <v>1786</v>
      </c>
      <c r="F433" s="33" t="s">
        <v>1787</v>
      </c>
      <c r="G433" s="33" t="s">
        <v>67</v>
      </c>
      <c r="H433" s="33" t="s">
        <v>3365</v>
      </c>
      <c r="I433" s="33" t="s">
        <v>3365</v>
      </c>
      <c r="J433" s="33" t="s">
        <v>3369</v>
      </c>
      <c r="K433" s="33" t="s">
        <v>1791</v>
      </c>
      <c r="L433" s="33" t="s">
        <v>3251</v>
      </c>
      <c r="M433" s="33" t="s">
        <v>69</v>
      </c>
      <c r="N433" s="33" t="s">
        <v>69</v>
      </c>
      <c r="O433" s="33" t="s">
        <v>1787</v>
      </c>
      <c r="P433" s="33" t="s">
        <v>2023</v>
      </c>
      <c r="Q433" s="33" t="s">
        <v>1796</v>
      </c>
    </row>
    <row r="434" spans="1:17">
      <c r="A434" s="33" t="s">
        <v>3370</v>
      </c>
      <c r="B434" s="33" t="s">
        <v>3371</v>
      </c>
      <c r="C434" s="33" t="s">
        <v>1819</v>
      </c>
      <c r="D434" s="33" t="s">
        <v>41</v>
      </c>
      <c r="E434" s="33" t="s">
        <v>1786</v>
      </c>
      <c r="F434" s="33" t="s">
        <v>1815</v>
      </c>
      <c r="G434" s="33" t="s">
        <v>1820</v>
      </c>
      <c r="H434" s="33" t="s">
        <v>3365</v>
      </c>
      <c r="I434" s="33" t="s">
        <v>3365</v>
      </c>
      <c r="J434" s="33" t="s">
        <v>3372</v>
      </c>
      <c r="K434" s="33" t="s">
        <v>1791</v>
      </c>
      <c r="L434" s="33" t="s">
        <v>3251</v>
      </c>
      <c r="M434" s="33" t="s">
        <v>3284</v>
      </c>
      <c r="N434" s="33" t="s">
        <v>1078</v>
      </c>
      <c r="O434" s="33" t="s">
        <v>3373</v>
      </c>
      <c r="P434" s="33" t="s">
        <v>1869</v>
      </c>
      <c r="Q434" s="33" t="s">
        <v>1796</v>
      </c>
    </row>
    <row r="435" spans="1:17">
      <c r="A435" s="33" t="s">
        <v>3374</v>
      </c>
      <c r="B435" s="33" t="s">
        <v>3375</v>
      </c>
      <c r="C435" s="33" t="s">
        <v>1891</v>
      </c>
      <c r="D435" s="33" t="s">
        <v>41</v>
      </c>
      <c r="E435" s="33" t="s">
        <v>1786</v>
      </c>
      <c r="F435" s="33" t="s">
        <v>1787</v>
      </c>
      <c r="G435" s="33" t="s">
        <v>1892</v>
      </c>
      <c r="H435" s="33" t="s">
        <v>3365</v>
      </c>
      <c r="I435" s="33" t="s">
        <v>3365</v>
      </c>
      <c r="J435" s="33" t="s">
        <v>3376</v>
      </c>
      <c r="K435" s="33" t="s">
        <v>1791</v>
      </c>
      <c r="L435" s="33" t="s">
        <v>3251</v>
      </c>
      <c r="M435" s="33" t="s">
        <v>1402</v>
      </c>
      <c r="N435" s="33" t="s">
        <v>43</v>
      </c>
      <c r="O435" s="33" t="s">
        <v>190</v>
      </c>
      <c r="P435" s="33" t="s">
        <v>1795</v>
      </c>
      <c r="Q435" s="33" t="s">
        <v>1796</v>
      </c>
    </row>
    <row r="436" spans="1:17">
      <c r="A436" s="33" t="s">
        <v>3222</v>
      </c>
      <c r="B436" s="33" t="s">
        <v>3377</v>
      </c>
      <c r="C436" s="33" t="s">
        <v>1891</v>
      </c>
      <c r="D436" s="33" t="s">
        <v>41</v>
      </c>
      <c r="E436" s="33" t="s">
        <v>1786</v>
      </c>
      <c r="F436" s="33" t="s">
        <v>1787</v>
      </c>
      <c r="G436" s="33" t="s">
        <v>1892</v>
      </c>
      <c r="H436" s="33" t="s">
        <v>3365</v>
      </c>
      <c r="I436" s="33" t="s">
        <v>3365</v>
      </c>
      <c r="J436" s="33" t="s">
        <v>3378</v>
      </c>
      <c r="K436" s="33" t="s">
        <v>1791</v>
      </c>
      <c r="L436" s="33" t="s">
        <v>3228</v>
      </c>
      <c r="M436" s="33" t="s">
        <v>1083</v>
      </c>
      <c r="N436" s="33" t="s">
        <v>43</v>
      </c>
      <c r="O436" s="33" t="s">
        <v>190</v>
      </c>
      <c r="P436" s="33" t="s">
        <v>1795</v>
      </c>
      <c r="Q436" s="33" t="s">
        <v>1796</v>
      </c>
    </row>
    <row r="437" spans="1:17">
      <c r="A437" s="33" t="s">
        <v>3222</v>
      </c>
      <c r="B437" s="33" t="s">
        <v>3379</v>
      </c>
      <c r="C437" s="33" t="s">
        <v>1891</v>
      </c>
      <c r="D437" s="33" t="s">
        <v>41</v>
      </c>
      <c r="E437" s="33" t="s">
        <v>1786</v>
      </c>
      <c r="F437" s="33" t="s">
        <v>1787</v>
      </c>
      <c r="G437" s="33" t="s">
        <v>1892</v>
      </c>
      <c r="H437" s="33" t="s">
        <v>3365</v>
      </c>
      <c r="I437" s="33" t="s">
        <v>3365</v>
      </c>
      <c r="J437" s="33" t="s">
        <v>3380</v>
      </c>
      <c r="K437" s="33" t="s">
        <v>1791</v>
      </c>
      <c r="L437" s="33" t="s">
        <v>3251</v>
      </c>
      <c r="M437" s="33" t="s">
        <v>195</v>
      </c>
      <c r="N437" s="33" t="s">
        <v>43</v>
      </c>
      <c r="O437" s="33" t="s">
        <v>190</v>
      </c>
      <c r="P437" s="33" t="s">
        <v>1795</v>
      </c>
      <c r="Q437" s="33" t="s">
        <v>1796</v>
      </c>
    </row>
    <row r="438" spans="1:17">
      <c r="A438" s="33" t="s">
        <v>3381</v>
      </c>
      <c r="B438" s="33" t="s">
        <v>3382</v>
      </c>
      <c r="C438" s="33" t="s">
        <v>1891</v>
      </c>
      <c r="D438" s="33" t="s">
        <v>41</v>
      </c>
      <c r="E438" s="33" t="s">
        <v>1786</v>
      </c>
      <c r="F438" s="33" t="s">
        <v>1787</v>
      </c>
      <c r="G438" s="33" t="s">
        <v>1892</v>
      </c>
      <c r="H438" s="33" t="s">
        <v>3365</v>
      </c>
      <c r="I438" s="33" t="s">
        <v>3365</v>
      </c>
      <c r="J438" s="33" t="s">
        <v>3383</v>
      </c>
      <c r="K438" s="33" t="s">
        <v>1791</v>
      </c>
      <c r="L438" s="33" t="s">
        <v>3251</v>
      </c>
      <c r="M438" s="33" t="s">
        <v>1402</v>
      </c>
      <c r="N438" s="33" t="s">
        <v>43</v>
      </c>
      <c r="O438" s="33" t="s">
        <v>190</v>
      </c>
      <c r="P438" s="33" t="s">
        <v>1795</v>
      </c>
      <c r="Q438" s="33" t="s">
        <v>1796</v>
      </c>
    </row>
    <row r="439" spans="1:17" hidden="1">
      <c r="A439" s="33" t="s">
        <v>3384</v>
      </c>
      <c r="B439" s="33" t="s">
        <v>3385</v>
      </c>
      <c r="C439" s="33" t="s">
        <v>1831</v>
      </c>
      <c r="D439" s="33" t="s">
        <v>41</v>
      </c>
      <c r="E439" s="33" t="s">
        <v>1836</v>
      </c>
      <c r="F439" s="33" t="s">
        <v>1787</v>
      </c>
      <c r="G439" s="33" t="s">
        <v>1872</v>
      </c>
      <c r="H439" s="33" t="s">
        <v>3365</v>
      </c>
      <c r="I439" s="33" t="s">
        <v>3365</v>
      </c>
      <c r="J439" s="33" t="s">
        <v>3386</v>
      </c>
      <c r="K439" s="33" t="s">
        <v>1791</v>
      </c>
      <c r="L439" s="33" t="s">
        <v>3251</v>
      </c>
      <c r="M439" s="33" t="s">
        <v>197</v>
      </c>
      <c r="N439" s="33" t="s">
        <v>69</v>
      </c>
      <c r="O439" s="33" t="s">
        <v>3387</v>
      </c>
      <c r="P439" s="33" t="s">
        <v>1764</v>
      </c>
      <c r="Q439" s="33" t="s">
        <v>1796</v>
      </c>
    </row>
    <row r="440" spans="1:17" hidden="1">
      <c r="A440" s="33" t="s">
        <v>2916</v>
      </c>
      <c r="B440" s="33" t="s">
        <v>3388</v>
      </c>
      <c r="C440" s="33" t="s">
        <v>1891</v>
      </c>
      <c r="D440" s="33" t="s">
        <v>1892</v>
      </c>
      <c r="E440" s="33" t="s">
        <v>1836</v>
      </c>
      <c r="F440" s="33" t="s">
        <v>1787</v>
      </c>
      <c r="G440" s="33" t="s">
        <v>1892</v>
      </c>
      <c r="H440" s="33" t="s">
        <v>3365</v>
      </c>
      <c r="I440" s="33" t="s">
        <v>3365</v>
      </c>
      <c r="J440" s="33" t="s">
        <v>3389</v>
      </c>
      <c r="K440" s="33" t="s">
        <v>1791</v>
      </c>
      <c r="L440" s="33" t="s">
        <v>3365</v>
      </c>
      <c r="M440" s="33" t="s">
        <v>197</v>
      </c>
      <c r="N440" s="33" t="s">
        <v>43</v>
      </c>
      <c r="O440" s="33" t="s">
        <v>190</v>
      </c>
      <c r="P440" s="33" t="s">
        <v>1764</v>
      </c>
      <c r="Q440" s="33" t="s">
        <v>1796</v>
      </c>
    </row>
    <row r="441" spans="1:17">
      <c r="A441" s="33" t="s">
        <v>3390</v>
      </c>
      <c r="B441" s="33" t="s">
        <v>3391</v>
      </c>
      <c r="C441" s="33" t="s">
        <v>1819</v>
      </c>
      <c r="D441" s="33" t="s">
        <v>41</v>
      </c>
      <c r="E441" s="33" t="s">
        <v>1786</v>
      </c>
      <c r="F441" s="33" t="s">
        <v>1787</v>
      </c>
      <c r="G441" s="33" t="s">
        <v>1986</v>
      </c>
      <c r="H441" s="33" t="s">
        <v>3365</v>
      </c>
      <c r="I441" s="33" t="s">
        <v>3365</v>
      </c>
      <c r="J441" s="33" t="s">
        <v>3392</v>
      </c>
      <c r="K441" s="33" t="s">
        <v>1791</v>
      </c>
      <c r="L441" s="33" t="s">
        <v>3251</v>
      </c>
      <c r="M441" s="33" t="s">
        <v>194</v>
      </c>
      <c r="N441" s="33" t="s">
        <v>1078</v>
      </c>
      <c r="O441" s="33" t="s">
        <v>189</v>
      </c>
      <c r="P441" s="33" t="s">
        <v>1804</v>
      </c>
      <c r="Q441" s="33" t="s">
        <v>1796</v>
      </c>
    </row>
    <row r="442" spans="1:17">
      <c r="A442" s="33" t="s">
        <v>2916</v>
      </c>
      <c r="B442" s="33" t="s">
        <v>3393</v>
      </c>
      <c r="C442" s="33" t="s">
        <v>1891</v>
      </c>
      <c r="D442" s="33" t="s">
        <v>41</v>
      </c>
      <c r="E442" s="33" t="s">
        <v>1786</v>
      </c>
      <c r="F442" s="33" t="s">
        <v>1787</v>
      </c>
      <c r="G442" s="33" t="s">
        <v>1892</v>
      </c>
      <c r="H442" s="33" t="s">
        <v>3365</v>
      </c>
      <c r="I442" s="33" t="s">
        <v>3365</v>
      </c>
      <c r="J442" s="33" t="s">
        <v>3394</v>
      </c>
      <c r="K442" s="33" t="s">
        <v>1791</v>
      </c>
      <c r="L442" s="33" t="s">
        <v>3251</v>
      </c>
      <c r="M442" s="33" t="s">
        <v>194</v>
      </c>
      <c r="N442" s="33" t="s">
        <v>43</v>
      </c>
      <c r="O442" s="33" t="s">
        <v>190</v>
      </c>
      <c r="P442" s="33" t="s">
        <v>1795</v>
      </c>
      <c r="Q442" s="33" t="s">
        <v>1796</v>
      </c>
    </row>
    <row r="443" spans="1:17">
      <c r="A443" s="33" t="s">
        <v>2916</v>
      </c>
      <c r="B443" s="33" t="s">
        <v>3395</v>
      </c>
      <c r="C443" s="33" t="s">
        <v>1891</v>
      </c>
      <c r="D443" s="33" t="s">
        <v>41</v>
      </c>
      <c r="E443" s="33" t="s">
        <v>1786</v>
      </c>
      <c r="F443" s="33" t="s">
        <v>1787</v>
      </c>
      <c r="G443" s="33" t="s">
        <v>1892</v>
      </c>
      <c r="H443" s="33" t="s">
        <v>3365</v>
      </c>
      <c r="I443" s="33" t="s">
        <v>3365</v>
      </c>
      <c r="J443" s="33" t="s">
        <v>3396</v>
      </c>
      <c r="K443" s="33" t="s">
        <v>1791</v>
      </c>
      <c r="L443" s="33" t="s">
        <v>3251</v>
      </c>
      <c r="M443" s="33" t="s">
        <v>197</v>
      </c>
      <c r="N443" s="33" t="s">
        <v>43</v>
      </c>
      <c r="O443" s="33" t="s">
        <v>190</v>
      </c>
      <c r="P443" s="33" t="s">
        <v>1795</v>
      </c>
      <c r="Q443" s="33" t="s">
        <v>1796</v>
      </c>
    </row>
    <row r="444" spans="1:17">
      <c r="A444" s="33" t="s">
        <v>3397</v>
      </c>
      <c r="B444" s="33" t="s">
        <v>3398</v>
      </c>
      <c r="C444" s="33" t="s">
        <v>1819</v>
      </c>
      <c r="D444" s="33" t="s">
        <v>41</v>
      </c>
      <c r="E444" s="33" t="s">
        <v>1786</v>
      </c>
      <c r="F444" s="33" t="s">
        <v>1787</v>
      </c>
      <c r="G444" s="33" t="s">
        <v>1986</v>
      </c>
      <c r="H444" s="33" t="s">
        <v>3365</v>
      </c>
      <c r="I444" s="33" t="s">
        <v>3365</v>
      </c>
      <c r="J444" s="33" t="s">
        <v>3399</v>
      </c>
      <c r="K444" s="33" t="s">
        <v>1791</v>
      </c>
      <c r="L444" s="33" t="s">
        <v>3251</v>
      </c>
      <c r="M444" s="33" t="s">
        <v>197</v>
      </c>
      <c r="N444" s="33" t="s">
        <v>1078</v>
      </c>
      <c r="O444" s="33" t="s">
        <v>189</v>
      </c>
      <c r="P444" s="33" t="s">
        <v>1804</v>
      </c>
      <c r="Q444" s="33" t="s">
        <v>1796</v>
      </c>
    </row>
    <row r="445" spans="1:17">
      <c r="A445" s="33" t="s">
        <v>3400</v>
      </c>
      <c r="B445" s="33" t="s">
        <v>3401</v>
      </c>
      <c r="C445" s="33" t="s">
        <v>1891</v>
      </c>
      <c r="D445" s="33" t="s">
        <v>41</v>
      </c>
      <c r="E445" s="33" t="s">
        <v>1786</v>
      </c>
      <c r="F445" s="33" t="s">
        <v>1787</v>
      </c>
      <c r="G445" s="33" t="s">
        <v>1892</v>
      </c>
      <c r="H445" s="33" t="s">
        <v>3365</v>
      </c>
      <c r="I445" s="33" t="s">
        <v>3365</v>
      </c>
      <c r="J445" s="33" t="s">
        <v>3402</v>
      </c>
      <c r="K445" s="33" t="s">
        <v>1791</v>
      </c>
      <c r="L445" s="33" t="s">
        <v>3251</v>
      </c>
      <c r="M445" s="33" t="s">
        <v>1402</v>
      </c>
      <c r="N445" s="33" t="s">
        <v>43</v>
      </c>
      <c r="O445" s="33" t="s">
        <v>190</v>
      </c>
      <c r="P445" s="33" t="s">
        <v>1795</v>
      </c>
      <c r="Q445" s="33" t="s">
        <v>1796</v>
      </c>
    </row>
    <row r="446" spans="1:17">
      <c r="A446" s="33" t="s">
        <v>3400</v>
      </c>
      <c r="B446" s="33" t="s">
        <v>3403</v>
      </c>
      <c r="C446" s="33" t="s">
        <v>1891</v>
      </c>
      <c r="D446" s="33" t="s">
        <v>41</v>
      </c>
      <c r="E446" s="33" t="s">
        <v>1786</v>
      </c>
      <c r="F446" s="33" t="s">
        <v>1787</v>
      </c>
      <c r="G446" s="33" t="s">
        <v>1892</v>
      </c>
      <c r="H446" s="33" t="s">
        <v>3365</v>
      </c>
      <c r="I446" s="33" t="s">
        <v>3365</v>
      </c>
      <c r="J446" s="33" t="s">
        <v>3404</v>
      </c>
      <c r="K446" s="33" t="s">
        <v>1791</v>
      </c>
      <c r="L446" s="33" t="s">
        <v>3251</v>
      </c>
      <c r="M446" s="33" t="s">
        <v>197</v>
      </c>
      <c r="N446" s="33" t="s">
        <v>43</v>
      </c>
      <c r="O446" s="33" t="s">
        <v>190</v>
      </c>
      <c r="P446" s="33" t="s">
        <v>1795</v>
      </c>
      <c r="Q446" s="33" t="s">
        <v>1796</v>
      </c>
    </row>
    <row r="447" spans="1:17">
      <c r="A447" s="33" t="s">
        <v>3400</v>
      </c>
      <c r="B447" s="33" t="s">
        <v>3405</v>
      </c>
      <c r="C447" s="33" t="s">
        <v>1891</v>
      </c>
      <c r="D447" s="33" t="s">
        <v>41</v>
      </c>
      <c r="E447" s="33" t="s">
        <v>1786</v>
      </c>
      <c r="F447" s="33" t="s">
        <v>1787</v>
      </c>
      <c r="G447" s="33" t="s">
        <v>1892</v>
      </c>
      <c r="H447" s="33" t="s">
        <v>3365</v>
      </c>
      <c r="I447" s="33" t="s">
        <v>3365</v>
      </c>
      <c r="J447" s="33" t="s">
        <v>3406</v>
      </c>
      <c r="K447" s="33" t="s">
        <v>1791</v>
      </c>
      <c r="L447" s="33" t="s">
        <v>3251</v>
      </c>
      <c r="M447" s="33" t="s">
        <v>1083</v>
      </c>
      <c r="N447" s="33" t="s">
        <v>43</v>
      </c>
      <c r="O447" s="33" t="s">
        <v>190</v>
      </c>
      <c r="P447" s="33" t="s">
        <v>1795</v>
      </c>
      <c r="Q447" s="33" t="s">
        <v>1796</v>
      </c>
    </row>
    <row r="448" spans="1:17">
      <c r="A448" s="33" t="s">
        <v>3400</v>
      </c>
      <c r="B448" s="33" t="s">
        <v>3407</v>
      </c>
      <c r="C448" s="33" t="s">
        <v>1891</v>
      </c>
      <c r="D448" s="33" t="s">
        <v>41</v>
      </c>
      <c r="E448" s="33" t="s">
        <v>1786</v>
      </c>
      <c r="F448" s="33" t="s">
        <v>1787</v>
      </c>
      <c r="G448" s="33" t="s">
        <v>1892</v>
      </c>
      <c r="H448" s="33" t="s">
        <v>3365</v>
      </c>
      <c r="I448" s="33" t="s">
        <v>3365</v>
      </c>
      <c r="J448" s="33" t="s">
        <v>3408</v>
      </c>
      <c r="K448" s="33" t="s">
        <v>1791</v>
      </c>
      <c r="L448" s="33" t="s">
        <v>3251</v>
      </c>
      <c r="M448" s="33" t="s">
        <v>195</v>
      </c>
      <c r="N448" s="33" t="s">
        <v>43</v>
      </c>
      <c r="O448" s="33" t="s">
        <v>190</v>
      </c>
      <c r="P448" s="33" t="s">
        <v>1795</v>
      </c>
      <c r="Q448" s="33" t="s">
        <v>1796</v>
      </c>
    </row>
    <row r="449" spans="1:17">
      <c r="A449" s="33" t="s">
        <v>2910</v>
      </c>
      <c r="B449" s="33" t="s">
        <v>3409</v>
      </c>
      <c r="C449" s="33" t="s">
        <v>1891</v>
      </c>
      <c r="D449" s="33" t="s">
        <v>41</v>
      </c>
      <c r="E449" s="33" t="s">
        <v>1786</v>
      </c>
      <c r="F449" s="33" t="s">
        <v>1787</v>
      </c>
      <c r="G449" s="33" t="s">
        <v>1892</v>
      </c>
      <c r="H449" s="33" t="s">
        <v>3365</v>
      </c>
      <c r="I449" s="33" t="s">
        <v>3365</v>
      </c>
      <c r="J449" s="33" t="s">
        <v>3410</v>
      </c>
      <c r="K449" s="33" t="s">
        <v>1791</v>
      </c>
      <c r="L449" s="33" t="s">
        <v>3251</v>
      </c>
      <c r="M449" s="33" t="s">
        <v>1402</v>
      </c>
      <c r="N449" s="33" t="s">
        <v>43</v>
      </c>
      <c r="O449" s="33" t="s">
        <v>189</v>
      </c>
      <c r="P449" s="33" t="s">
        <v>1795</v>
      </c>
      <c r="Q449" s="33" t="s">
        <v>1796</v>
      </c>
    </row>
    <row r="450" spans="1:17">
      <c r="A450" s="33" t="s">
        <v>3411</v>
      </c>
      <c r="B450" s="33" t="s">
        <v>3412</v>
      </c>
      <c r="C450" s="33" t="s">
        <v>1891</v>
      </c>
      <c r="D450" s="33" t="s">
        <v>41</v>
      </c>
      <c r="E450" s="33" t="s">
        <v>1786</v>
      </c>
      <c r="F450" s="33" t="s">
        <v>1787</v>
      </c>
      <c r="G450" s="33" t="s">
        <v>1892</v>
      </c>
      <c r="H450" s="33" t="s">
        <v>3365</v>
      </c>
      <c r="I450" s="33" t="s">
        <v>3365</v>
      </c>
      <c r="J450" s="33" t="s">
        <v>3413</v>
      </c>
      <c r="K450" s="33" t="s">
        <v>1791</v>
      </c>
      <c r="L450" s="33" t="s">
        <v>3251</v>
      </c>
      <c r="M450" s="33" t="s">
        <v>1402</v>
      </c>
      <c r="N450" s="33" t="s">
        <v>43</v>
      </c>
      <c r="O450" s="33" t="s">
        <v>190</v>
      </c>
      <c r="P450" s="33" t="s">
        <v>1795</v>
      </c>
      <c r="Q450" s="33" t="s">
        <v>1796</v>
      </c>
    </row>
    <row r="451" spans="1:17">
      <c r="A451" s="33" t="s">
        <v>3414</v>
      </c>
      <c r="B451" s="33" t="s">
        <v>3415</v>
      </c>
      <c r="C451" s="33" t="s">
        <v>1891</v>
      </c>
      <c r="D451" s="33" t="s">
        <v>41</v>
      </c>
      <c r="E451" s="33" t="s">
        <v>1786</v>
      </c>
      <c r="F451" s="33" t="s">
        <v>1787</v>
      </c>
      <c r="G451" s="33" t="s">
        <v>1892</v>
      </c>
      <c r="H451" s="33" t="s">
        <v>3365</v>
      </c>
      <c r="I451" s="33" t="s">
        <v>3365</v>
      </c>
      <c r="J451" s="33" t="s">
        <v>3416</v>
      </c>
      <c r="K451" s="33" t="s">
        <v>1791</v>
      </c>
      <c r="L451" s="33" t="s">
        <v>3251</v>
      </c>
      <c r="M451" s="33" t="s">
        <v>1402</v>
      </c>
      <c r="N451" s="33" t="s">
        <v>43</v>
      </c>
      <c r="O451" s="33" t="s">
        <v>1926</v>
      </c>
      <c r="P451" s="33" t="s">
        <v>1795</v>
      </c>
      <c r="Q451" s="33" t="s">
        <v>1796</v>
      </c>
    </row>
    <row r="452" spans="1:17">
      <c r="A452" s="33" t="s">
        <v>3417</v>
      </c>
      <c r="B452" s="33" t="s">
        <v>3418</v>
      </c>
      <c r="C452" s="33" t="s">
        <v>1891</v>
      </c>
      <c r="D452" s="33" t="s">
        <v>41</v>
      </c>
      <c r="E452" s="33" t="s">
        <v>1786</v>
      </c>
      <c r="F452" s="33" t="s">
        <v>1787</v>
      </c>
      <c r="G452" s="33" t="s">
        <v>1892</v>
      </c>
      <c r="H452" s="33" t="s">
        <v>3365</v>
      </c>
      <c r="I452" s="33" t="s">
        <v>3365</v>
      </c>
      <c r="J452" s="33" t="s">
        <v>3419</v>
      </c>
      <c r="K452" s="33" t="s">
        <v>1791</v>
      </c>
      <c r="L452" s="33" t="s">
        <v>3251</v>
      </c>
      <c r="M452" s="33" t="s">
        <v>80</v>
      </c>
      <c r="N452" s="33" t="s">
        <v>43</v>
      </c>
      <c r="O452" s="33" t="s">
        <v>190</v>
      </c>
      <c r="P452" s="33" t="s">
        <v>1795</v>
      </c>
      <c r="Q452" s="33" t="s">
        <v>1796</v>
      </c>
    </row>
    <row r="453" spans="1:17">
      <c r="A453" s="33" t="s">
        <v>3420</v>
      </c>
      <c r="B453" s="33" t="s">
        <v>3421</v>
      </c>
      <c r="C453" s="33" t="s">
        <v>1891</v>
      </c>
      <c r="D453" s="33" t="s">
        <v>41</v>
      </c>
      <c r="E453" s="33" t="s">
        <v>1786</v>
      </c>
      <c r="F453" s="33" t="s">
        <v>1787</v>
      </c>
      <c r="G453" s="33" t="s">
        <v>1892</v>
      </c>
      <c r="H453" s="33" t="s">
        <v>3365</v>
      </c>
      <c r="I453" s="33" t="s">
        <v>3365</v>
      </c>
      <c r="J453" s="33" t="s">
        <v>3422</v>
      </c>
      <c r="K453" s="33" t="s">
        <v>1791</v>
      </c>
      <c r="L453" s="33" t="s">
        <v>3251</v>
      </c>
      <c r="M453" s="33" t="s">
        <v>69</v>
      </c>
      <c r="N453" s="33" t="s">
        <v>43</v>
      </c>
      <c r="O453" s="33" t="s">
        <v>189</v>
      </c>
      <c r="P453" s="33" t="s">
        <v>1795</v>
      </c>
      <c r="Q453" s="33" t="s">
        <v>1796</v>
      </c>
    </row>
    <row r="454" spans="1:17">
      <c r="A454" s="33" t="s">
        <v>3423</v>
      </c>
      <c r="B454" s="33" t="s">
        <v>3424</v>
      </c>
      <c r="C454" s="33" t="s">
        <v>1891</v>
      </c>
      <c r="D454" s="33" t="s">
        <v>41</v>
      </c>
      <c r="E454" s="33" t="s">
        <v>1786</v>
      </c>
      <c r="F454" s="33" t="s">
        <v>1787</v>
      </c>
      <c r="G454" s="33" t="s">
        <v>1892</v>
      </c>
      <c r="H454" s="33" t="s">
        <v>3365</v>
      </c>
      <c r="I454" s="33" t="s">
        <v>3365</v>
      </c>
      <c r="J454" s="33" t="s">
        <v>3425</v>
      </c>
      <c r="K454" s="33" t="s">
        <v>1791</v>
      </c>
      <c r="L454" s="33" t="s">
        <v>3251</v>
      </c>
      <c r="M454" s="33" t="s">
        <v>69</v>
      </c>
      <c r="N454" s="33" t="s">
        <v>43</v>
      </c>
      <c r="O454" s="33" t="s">
        <v>189</v>
      </c>
      <c r="P454" s="33" t="s">
        <v>1795</v>
      </c>
      <c r="Q454" s="33" t="s">
        <v>1796</v>
      </c>
    </row>
    <row r="455" spans="1:17">
      <c r="A455" s="33" t="s">
        <v>3426</v>
      </c>
      <c r="B455" s="33" t="s">
        <v>3427</v>
      </c>
      <c r="C455" s="33" t="s">
        <v>1891</v>
      </c>
      <c r="D455" s="33" t="s">
        <v>41</v>
      </c>
      <c r="E455" s="33" t="s">
        <v>1786</v>
      </c>
      <c r="F455" s="33" t="s">
        <v>1787</v>
      </c>
      <c r="G455" s="33" t="s">
        <v>1892</v>
      </c>
      <c r="H455" s="33" t="s">
        <v>3365</v>
      </c>
      <c r="I455" s="33" t="s">
        <v>3365</v>
      </c>
      <c r="J455" s="33" t="s">
        <v>3428</v>
      </c>
      <c r="K455" s="33" t="s">
        <v>1791</v>
      </c>
      <c r="L455" s="33" t="s">
        <v>3251</v>
      </c>
      <c r="M455" s="33" t="s">
        <v>69</v>
      </c>
      <c r="N455" s="33" t="s">
        <v>43</v>
      </c>
      <c r="O455" s="33" t="s">
        <v>190</v>
      </c>
      <c r="P455" s="33" t="s">
        <v>1795</v>
      </c>
      <c r="Q455" s="33" t="s">
        <v>1796</v>
      </c>
    </row>
    <row r="456" spans="1:17">
      <c r="A456" s="33" t="s">
        <v>3429</v>
      </c>
      <c r="B456" s="33" t="s">
        <v>3430</v>
      </c>
      <c r="C456" s="33" t="s">
        <v>1891</v>
      </c>
      <c r="D456" s="33" t="s">
        <v>41</v>
      </c>
      <c r="E456" s="33" t="s">
        <v>1786</v>
      </c>
      <c r="F456" s="33" t="s">
        <v>1787</v>
      </c>
      <c r="G456" s="33" t="s">
        <v>1892</v>
      </c>
      <c r="H456" s="33" t="s">
        <v>3365</v>
      </c>
      <c r="I456" s="33" t="s">
        <v>3365</v>
      </c>
      <c r="J456" s="33" t="s">
        <v>3431</v>
      </c>
      <c r="K456" s="33" t="s">
        <v>1791</v>
      </c>
      <c r="L456" s="33" t="s">
        <v>3251</v>
      </c>
      <c r="M456" s="33" t="s">
        <v>69</v>
      </c>
      <c r="N456" s="33" t="s">
        <v>43</v>
      </c>
      <c r="O456" s="33" t="s">
        <v>190</v>
      </c>
      <c r="P456" s="33" t="s">
        <v>1795</v>
      </c>
      <c r="Q456" s="33" t="s">
        <v>1796</v>
      </c>
    </row>
    <row r="457" spans="1:17">
      <c r="A457" s="33" t="s">
        <v>3426</v>
      </c>
      <c r="B457" s="33" t="s">
        <v>3432</v>
      </c>
      <c r="C457" s="33" t="s">
        <v>1891</v>
      </c>
      <c r="D457" s="33" t="s">
        <v>41</v>
      </c>
      <c r="E457" s="33" t="s">
        <v>1786</v>
      </c>
      <c r="F457" s="33" t="s">
        <v>1787</v>
      </c>
      <c r="G457" s="33" t="s">
        <v>1892</v>
      </c>
      <c r="H457" s="33" t="s">
        <v>3365</v>
      </c>
      <c r="I457" s="33" t="s">
        <v>3365</v>
      </c>
      <c r="J457" s="33" t="s">
        <v>3433</v>
      </c>
      <c r="K457" s="33" t="s">
        <v>1791</v>
      </c>
      <c r="L457" s="33" t="s">
        <v>3251</v>
      </c>
      <c r="M457" s="33" t="s">
        <v>1083</v>
      </c>
      <c r="N457" s="33" t="s">
        <v>43</v>
      </c>
      <c r="O457" s="33" t="s">
        <v>190</v>
      </c>
      <c r="P457" s="33" t="s">
        <v>1795</v>
      </c>
      <c r="Q457" s="33" t="s">
        <v>1796</v>
      </c>
    </row>
    <row r="458" spans="1:17">
      <c r="A458" s="33" t="s">
        <v>3434</v>
      </c>
      <c r="B458" s="33" t="s">
        <v>3435</v>
      </c>
      <c r="C458" s="33" t="s">
        <v>1831</v>
      </c>
      <c r="D458" s="33" t="s">
        <v>41</v>
      </c>
      <c r="E458" s="33" t="s">
        <v>1786</v>
      </c>
      <c r="F458" s="33" t="s">
        <v>1856</v>
      </c>
      <c r="G458" s="33" t="s">
        <v>68</v>
      </c>
      <c r="H458" s="33" t="s">
        <v>3436</v>
      </c>
      <c r="I458" s="33" t="s">
        <v>3436</v>
      </c>
      <c r="J458" s="33" t="s">
        <v>3437</v>
      </c>
      <c r="K458" s="33" t="s">
        <v>1791</v>
      </c>
      <c r="L458" s="33" t="s">
        <v>3251</v>
      </c>
      <c r="M458" s="33" t="s">
        <v>970</v>
      </c>
      <c r="N458" s="33" t="s">
        <v>197</v>
      </c>
      <c r="O458" s="33" t="s">
        <v>3438</v>
      </c>
      <c r="P458" s="33" t="s">
        <v>1795</v>
      </c>
      <c r="Q458" s="33" t="s">
        <v>1796</v>
      </c>
    </row>
    <row r="459" spans="1:17">
      <c r="A459" s="33" t="s">
        <v>3439</v>
      </c>
      <c r="B459" s="33" t="s">
        <v>3440</v>
      </c>
      <c r="C459" s="33" t="s">
        <v>2096</v>
      </c>
      <c r="D459" s="33" t="s">
        <v>41</v>
      </c>
      <c r="E459" s="33" t="s">
        <v>1786</v>
      </c>
      <c r="F459" s="33" t="s">
        <v>1787</v>
      </c>
      <c r="G459" s="33" t="s">
        <v>2097</v>
      </c>
      <c r="H459" s="33" t="s">
        <v>3436</v>
      </c>
      <c r="I459" s="33" t="s">
        <v>3308</v>
      </c>
      <c r="J459" s="33" t="s">
        <v>3441</v>
      </c>
      <c r="K459" s="33" t="s">
        <v>1791</v>
      </c>
      <c r="L459" s="33" t="s">
        <v>3251</v>
      </c>
      <c r="M459" s="33" t="s">
        <v>61</v>
      </c>
      <c r="N459" s="33" t="s">
        <v>3310</v>
      </c>
      <c r="O459" s="33" t="s">
        <v>1951</v>
      </c>
      <c r="P459" s="33" t="s">
        <v>1795</v>
      </c>
      <c r="Q459" s="33" t="s">
        <v>1796</v>
      </c>
    </row>
    <row r="460" spans="1:17">
      <c r="A460" s="33" t="s">
        <v>3442</v>
      </c>
      <c r="B460" s="33" t="s">
        <v>3443</v>
      </c>
      <c r="C460" s="33" t="s">
        <v>1831</v>
      </c>
      <c r="D460" s="33" t="s">
        <v>41</v>
      </c>
      <c r="E460" s="33" t="s">
        <v>1786</v>
      </c>
      <c r="F460" s="33" t="s">
        <v>1815</v>
      </c>
      <c r="G460" s="33" t="s">
        <v>1872</v>
      </c>
      <c r="H460" s="33" t="s">
        <v>3436</v>
      </c>
      <c r="I460" s="33" t="s">
        <v>3436</v>
      </c>
      <c r="J460" s="33" t="s">
        <v>3444</v>
      </c>
      <c r="K460" s="33" t="s">
        <v>1791</v>
      </c>
      <c r="L460" s="33" t="s">
        <v>3251</v>
      </c>
      <c r="M460" s="33" t="s">
        <v>69</v>
      </c>
      <c r="N460" s="33" t="s">
        <v>197</v>
      </c>
      <c r="O460" s="33" t="s">
        <v>3445</v>
      </c>
      <c r="P460" s="33" t="s">
        <v>1795</v>
      </c>
      <c r="Q460" s="33" t="s">
        <v>1796</v>
      </c>
    </row>
    <row r="461" spans="1:17">
      <c r="A461" s="33" t="s">
        <v>3446</v>
      </c>
      <c r="B461" s="33" t="s">
        <v>3447</v>
      </c>
      <c r="C461" s="33" t="s">
        <v>1831</v>
      </c>
      <c r="D461" s="33" t="s">
        <v>41</v>
      </c>
      <c r="E461" s="33" t="s">
        <v>1786</v>
      </c>
      <c r="F461" s="33" t="s">
        <v>1815</v>
      </c>
      <c r="G461" s="33" t="s">
        <v>1872</v>
      </c>
      <c r="H461" s="33" t="s">
        <v>3436</v>
      </c>
      <c r="I461" s="33" t="s">
        <v>3436</v>
      </c>
      <c r="J461" s="33" t="s">
        <v>3448</v>
      </c>
      <c r="K461" s="33" t="s">
        <v>1791</v>
      </c>
      <c r="L461" s="33" t="s">
        <v>3251</v>
      </c>
      <c r="M461" s="33" t="s">
        <v>3284</v>
      </c>
      <c r="N461" s="33" t="s">
        <v>197</v>
      </c>
      <c r="O461" s="33" t="s">
        <v>3449</v>
      </c>
      <c r="P461" s="33" t="s">
        <v>1795</v>
      </c>
      <c r="Q461" s="33" t="s">
        <v>1796</v>
      </c>
    </row>
    <row r="462" spans="1:17">
      <c r="A462" s="33" t="s">
        <v>3450</v>
      </c>
      <c r="B462" s="33" t="s">
        <v>3451</v>
      </c>
      <c r="C462" s="33" t="s">
        <v>1819</v>
      </c>
      <c r="D462" s="33" t="s">
        <v>41</v>
      </c>
      <c r="E462" s="33" t="s">
        <v>1786</v>
      </c>
      <c r="F462" s="33" t="s">
        <v>1815</v>
      </c>
      <c r="G462" s="33" t="s">
        <v>1954</v>
      </c>
      <c r="H462" s="33" t="s">
        <v>3452</v>
      </c>
      <c r="I462" s="33" t="s">
        <v>3452</v>
      </c>
      <c r="J462" s="33" t="s">
        <v>3453</v>
      </c>
      <c r="K462" s="33" t="s">
        <v>1791</v>
      </c>
      <c r="L462" s="33" t="s">
        <v>3251</v>
      </c>
      <c r="M462" s="33" t="s">
        <v>3310</v>
      </c>
      <c r="N462" s="33" t="s">
        <v>1078</v>
      </c>
      <c r="O462" s="33" t="s">
        <v>1895</v>
      </c>
      <c r="P462" s="33" t="s">
        <v>1795</v>
      </c>
      <c r="Q462" s="33" t="s">
        <v>1796</v>
      </c>
    </row>
    <row r="463" spans="1:17">
      <c r="A463" s="33" t="s">
        <v>3454</v>
      </c>
      <c r="B463" s="33" t="s">
        <v>3455</v>
      </c>
      <c r="C463" s="33" t="s">
        <v>1819</v>
      </c>
      <c r="D463" s="33" t="s">
        <v>41</v>
      </c>
      <c r="E463" s="33" t="s">
        <v>1786</v>
      </c>
      <c r="F463" s="33" t="s">
        <v>1815</v>
      </c>
      <c r="G463" s="33" t="s">
        <v>1954</v>
      </c>
      <c r="H463" s="33" t="s">
        <v>3452</v>
      </c>
      <c r="I463" s="33" t="s">
        <v>3452</v>
      </c>
      <c r="J463" s="33" t="s">
        <v>3456</v>
      </c>
      <c r="K463" s="33" t="s">
        <v>1791</v>
      </c>
      <c r="L463" s="33" t="s">
        <v>3251</v>
      </c>
      <c r="M463" s="33" t="s">
        <v>3310</v>
      </c>
      <c r="N463" s="33" t="s">
        <v>1078</v>
      </c>
      <c r="O463" s="33" t="s">
        <v>1919</v>
      </c>
      <c r="P463" s="33" t="s">
        <v>1804</v>
      </c>
      <c r="Q463" s="33" t="s">
        <v>1796</v>
      </c>
    </row>
    <row r="464" spans="1:17">
      <c r="A464" s="33" t="s">
        <v>3137</v>
      </c>
      <c r="B464" s="33" t="s">
        <v>3457</v>
      </c>
      <c r="C464" s="33" t="s">
        <v>1980</v>
      </c>
      <c r="D464" s="33" t="s">
        <v>41</v>
      </c>
      <c r="E464" s="33" t="s">
        <v>1786</v>
      </c>
      <c r="F464" s="33" t="s">
        <v>1787</v>
      </c>
      <c r="G464" s="33" t="s">
        <v>3139</v>
      </c>
      <c r="H464" s="33" t="s">
        <v>3458</v>
      </c>
      <c r="I464" s="33" t="s">
        <v>3458</v>
      </c>
      <c r="J464" s="33" t="s">
        <v>3459</v>
      </c>
      <c r="K464" s="33" t="s">
        <v>1791</v>
      </c>
      <c r="L464" s="33" t="s">
        <v>3251</v>
      </c>
      <c r="M464" s="33" t="s">
        <v>82</v>
      </c>
      <c r="N464" s="33" t="s">
        <v>69</v>
      </c>
      <c r="O464" s="33" t="s">
        <v>1938</v>
      </c>
      <c r="P464" s="33" t="s">
        <v>1795</v>
      </c>
      <c r="Q464" s="33" t="s">
        <v>1796</v>
      </c>
    </row>
    <row r="465" spans="1:17">
      <c r="A465" s="33" t="s">
        <v>3460</v>
      </c>
      <c r="B465" s="33" t="s">
        <v>3461</v>
      </c>
      <c r="C465" s="33" t="s">
        <v>2020</v>
      </c>
      <c r="D465" s="33" t="s">
        <v>41</v>
      </c>
      <c r="E465" s="33" t="s">
        <v>1786</v>
      </c>
      <c r="F465" s="33" t="s">
        <v>1787</v>
      </c>
      <c r="G465" s="33" t="s">
        <v>3462</v>
      </c>
      <c r="H465" s="33" t="s">
        <v>3463</v>
      </c>
      <c r="I465" s="33" t="s">
        <v>3463</v>
      </c>
      <c r="J465" s="33" t="s">
        <v>3464</v>
      </c>
      <c r="K465" s="33" t="s">
        <v>1791</v>
      </c>
      <c r="L465" s="33" t="s">
        <v>2647</v>
      </c>
      <c r="M465" s="33" t="s">
        <v>80</v>
      </c>
      <c r="N465" s="33" t="s">
        <v>196</v>
      </c>
      <c r="O465" s="33" t="s">
        <v>1926</v>
      </c>
      <c r="P465" s="33" t="s">
        <v>1795</v>
      </c>
      <c r="Q465" s="33" t="s">
        <v>1796</v>
      </c>
    </row>
    <row r="466" spans="1:17">
      <c r="A466" s="33" t="s">
        <v>3465</v>
      </c>
      <c r="B466" s="33" t="s">
        <v>3466</v>
      </c>
      <c r="C466" s="33" t="s">
        <v>1831</v>
      </c>
      <c r="D466" s="33" t="s">
        <v>41</v>
      </c>
      <c r="E466" s="33" t="s">
        <v>1786</v>
      </c>
      <c r="F466" s="33" t="s">
        <v>1787</v>
      </c>
      <c r="G466" s="33" t="s">
        <v>3467</v>
      </c>
      <c r="H466" s="33" t="s">
        <v>3228</v>
      </c>
      <c r="I466" s="33" t="s">
        <v>3365</v>
      </c>
      <c r="J466" s="33" t="s">
        <v>3468</v>
      </c>
      <c r="K466" s="33" t="s">
        <v>1791</v>
      </c>
      <c r="L466" s="33" t="s">
        <v>3251</v>
      </c>
      <c r="M466" s="33" t="s">
        <v>197</v>
      </c>
      <c r="N466" s="33" t="s">
        <v>197</v>
      </c>
      <c r="O466" s="33" t="s">
        <v>3469</v>
      </c>
      <c r="P466" s="33" t="s">
        <v>1804</v>
      </c>
      <c r="Q466" s="33" t="s">
        <v>1796</v>
      </c>
    </row>
    <row r="467" spans="1:17">
      <c r="A467" s="33" t="s">
        <v>3470</v>
      </c>
      <c r="B467" s="33" t="s">
        <v>3471</v>
      </c>
      <c r="C467" s="33" t="s">
        <v>1949</v>
      </c>
      <c r="D467" s="33" t="s">
        <v>41</v>
      </c>
      <c r="E467" s="33" t="s">
        <v>1786</v>
      </c>
      <c r="F467" s="33" t="s">
        <v>1815</v>
      </c>
      <c r="G467" s="33" t="s">
        <v>3472</v>
      </c>
      <c r="H467" s="33" t="s">
        <v>3228</v>
      </c>
      <c r="I467" s="33" t="s">
        <v>3228</v>
      </c>
      <c r="J467" s="33" t="s">
        <v>3473</v>
      </c>
      <c r="K467" s="33" t="s">
        <v>1791</v>
      </c>
      <c r="L467" s="33" t="s">
        <v>2647</v>
      </c>
      <c r="M467" s="33" t="s">
        <v>1402</v>
      </c>
      <c r="N467" s="33" t="s">
        <v>55</v>
      </c>
      <c r="O467" s="33" t="s">
        <v>2406</v>
      </c>
      <c r="P467" s="33" t="s">
        <v>1795</v>
      </c>
      <c r="Q467" s="33" t="s">
        <v>1796</v>
      </c>
    </row>
    <row r="468" spans="1:17">
      <c r="A468" s="33" t="s">
        <v>3290</v>
      </c>
      <c r="B468" s="33" t="s">
        <v>3474</v>
      </c>
      <c r="C468" s="33" t="s">
        <v>1980</v>
      </c>
      <c r="D468" s="33" t="s">
        <v>41</v>
      </c>
      <c r="E468" s="33" t="s">
        <v>1786</v>
      </c>
      <c r="F468" s="33" t="s">
        <v>1787</v>
      </c>
      <c r="G468" s="33" t="s">
        <v>3139</v>
      </c>
      <c r="H468" s="33" t="s">
        <v>3475</v>
      </c>
      <c r="I468" s="33" t="s">
        <v>3475</v>
      </c>
      <c r="J468" s="33" t="s">
        <v>3476</v>
      </c>
      <c r="K468" s="33" t="s">
        <v>1791</v>
      </c>
      <c r="L468" s="33" t="s">
        <v>2647</v>
      </c>
      <c r="M468" s="33" t="s">
        <v>82</v>
      </c>
      <c r="N468" s="33" t="s">
        <v>69</v>
      </c>
      <c r="O468" s="33" t="s">
        <v>3191</v>
      </c>
      <c r="P468" s="33" t="s">
        <v>1795</v>
      </c>
      <c r="Q468" s="33" t="s">
        <v>1796</v>
      </c>
    </row>
    <row r="469" spans="1:17">
      <c r="A469" s="33" t="s">
        <v>3477</v>
      </c>
      <c r="B469" s="33" t="s">
        <v>3478</v>
      </c>
      <c r="C469" s="33" t="s">
        <v>3316</v>
      </c>
      <c r="D469" s="33" t="s">
        <v>41</v>
      </c>
      <c r="E469" s="33" t="s">
        <v>1786</v>
      </c>
      <c r="F469" s="33" t="s">
        <v>1864</v>
      </c>
      <c r="G469" s="33" t="s">
        <v>2550</v>
      </c>
      <c r="H469" s="33" t="s">
        <v>3475</v>
      </c>
      <c r="I469" s="33" t="s">
        <v>3475</v>
      </c>
      <c r="J469" s="33" t="s">
        <v>3479</v>
      </c>
      <c r="K469" s="33" t="s">
        <v>1791</v>
      </c>
      <c r="L469" s="33" t="s">
        <v>2647</v>
      </c>
      <c r="M469" s="33" t="s">
        <v>195</v>
      </c>
      <c r="N469" s="33" t="s">
        <v>195</v>
      </c>
      <c r="O469" s="33" t="s">
        <v>1923</v>
      </c>
      <c r="P469" s="33" t="s">
        <v>1795</v>
      </c>
      <c r="Q469" s="33" t="s">
        <v>1796</v>
      </c>
    </row>
    <row r="470" spans="1:17">
      <c r="A470" s="33" t="s">
        <v>3480</v>
      </c>
      <c r="B470" s="33" t="s">
        <v>3481</v>
      </c>
      <c r="C470" s="33" t="s">
        <v>2273</v>
      </c>
      <c r="D470" s="33" t="s">
        <v>41</v>
      </c>
      <c r="E470" s="33" t="s">
        <v>1786</v>
      </c>
      <c r="F470" s="33" t="s">
        <v>1815</v>
      </c>
      <c r="G470" s="33" t="s">
        <v>89</v>
      </c>
      <c r="H470" s="33" t="s">
        <v>3475</v>
      </c>
      <c r="I470" s="33" t="s">
        <v>3475</v>
      </c>
      <c r="J470" s="33" t="s">
        <v>3482</v>
      </c>
      <c r="K470" s="33" t="s">
        <v>1791</v>
      </c>
      <c r="L470" s="33" t="s">
        <v>2647</v>
      </c>
      <c r="M470" s="33" t="s">
        <v>3310</v>
      </c>
      <c r="N470" s="33" t="s">
        <v>3310</v>
      </c>
      <c r="O470" s="33" t="s">
        <v>1856</v>
      </c>
      <c r="P470" s="33" t="s">
        <v>1795</v>
      </c>
      <c r="Q470" s="33" t="s">
        <v>1796</v>
      </c>
    </row>
    <row r="471" spans="1:17">
      <c r="A471" s="33" t="s">
        <v>3483</v>
      </c>
      <c r="B471" s="33" t="s">
        <v>3484</v>
      </c>
      <c r="C471" s="33" t="s">
        <v>1831</v>
      </c>
      <c r="D471" s="33" t="s">
        <v>41</v>
      </c>
      <c r="E471" s="33" t="s">
        <v>1786</v>
      </c>
      <c r="F471" s="33" t="s">
        <v>1815</v>
      </c>
      <c r="G471" s="33" t="s">
        <v>1872</v>
      </c>
      <c r="H471" s="33" t="s">
        <v>3475</v>
      </c>
      <c r="I471" s="33" t="s">
        <v>3475</v>
      </c>
      <c r="J471" s="33" t="s">
        <v>3485</v>
      </c>
      <c r="K471" s="33" t="s">
        <v>1791</v>
      </c>
      <c r="L471" s="33" t="s">
        <v>2647</v>
      </c>
      <c r="M471" s="33" t="s">
        <v>197</v>
      </c>
      <c r="N471" s="33" t="s">
        <v>197</v>
      </c>
      <c r="O471" s="33" t="s">
        <v>3486</v>
      </c>
      <c r="P471" s="33" t="s">
        <v>1804</v>
      </c>
      <c r="Q471" s="33" t="s">
        <v>1796</v>
      </c>
    </row>
    <row r="472" spans="1:17">
      <c r="A472" s="33" t="s">
        <v>3487</v>
      </c>
      <c r="B472" s="33" t="s">
        <v>3488</v>
      </c>
      <c r="C472" s="33" t="s">
        <v>1819</v>
      </c>
      <c r="D472" s="33" t="s">
        <v>41</v>
      </c>
      <c r="E472" s="33" t="s">
        <v>1786</v>
      </c>
      <c r="F472" s="33" t="s">
        <v>1856</v>
      </c>
      <c r="G472" s="33" t="s">
        <v>1954</v>
      </c>
      <c r="H472" s="33" t="s">
        <v>3251</v>
      </c>
      <c r="I472" s="33" t="s">
        <v>3251</v>
      </c>
      <c r="J472" s="33" t="s">
        <v>3489</v>
      </c>
      <c r="K472" s="33" t="s">
        <v>1791</v>
      </c>
      <c r="L472" s="33" t="s">
        <v>2647</v>
      </c>
      <c r="M472" s="33" t="s">
        <v>3310</v>
      </c>
      <c r="N472" s="33" t="s">
        <v>1078</v>
      </c>
      <c r="O472" s="33" t="s">
        <v>2103</v>
      </c>
      <c r="P472" s="33" t="s">
        <v>1804</v>
      </c>
      <c r="Q472" s="33" t="s">
        <v>1796</v>
      </c>
    </row>
    <row r="473" spans="1:17">
      <c r="A473" s="33" t="s">
        <v>3487</v>
      </c>
      <c r="B473" s="33" t="s">
        <v>3490</v>
      </c>
      <c r="C473" s="33" t="s">
        <v>1819</v>
      </c>
      <c r="D473" s="33" t="s">
        <v>41</v>
      </c>
      <c r="E473" s="33" t="s">
        <v>1786</v>
      </c>
      <c r="F473" s="33" t="s">
        <v>1815</v>
      </c>
      <c r="G473" s="33" t="s">
        <v>1954</v>
      </c>
      <c r="H473" s="33" t="s">
        <v>3251</v>
      </c>
      <c r="I473" s="33" t="s">
        <v>3251</v>
      </c>
      <c r="J473" s="33" t="s">
        <v>3491</v>
      </c>
      <c r="K473" s="33" t="s">
        <v>1791</v>
      </c>
      <c r="L473" s="33" t="s">
        <v>2647</v>
      </c>
      <c r="M473" s="33" t="s">
        <v>3310</v>
      </c>
      <c r="N473" s="33" t="s">
        <v>1078</v>
      </c>
      <c r="O473" s="33" t="s">
        <v>2065</v>
      </c>
      <c r="P473" s="33" t="s">
        <v>1804</v>
      </c>
      <c r="Q473" s="33" t="s">
        <v>1796</v>
      </c>
    </row>
    <row r="474" spans="1:17">
      <c r="A474" s="33" t="s">
        <v>3492</v>
      </c>
      <c r="B474" s="33" t="s">
        <v>3493</v>
      </c>
      <c r="C474" s="33" t="s">
        <v>1819</v>
      </c>
      <c r="D474" s="33" t="s">
        <v>41</v>
      </c>
      <c r="E474" s="33" t="s">
        <v>1786</v>
      </c>
      <c r="F474" s="33" t="s">
        <v>1787</v>
      </c>
      <c r="G474" s="33" t="s">
        <v>1954</v>
      </c>
      <c r="H474" s="33" t="s">
        <v>3251</v>
      </c>
      <c r="I474" s="33" t="s">
        <v>3251</v>
      </c>
      <c r="J474" s="33" t="s">
        <v>3494</v>
      </c>
      <c r="K474" s="33" t="s">
        <v>1791</v>
      </c>
      <c r="L474" s="33" t="s">
        <v>2647</v>
      </c>
      <c r="M474" s="33" t="s">
        <v>3310</v>
      </c>
      <c r="N474" s="33" t="s">
        <v>1078</v>
      </c>
      <c r="O474" s="33" t="s">
        <v>1919</v>
      </c>
      <c r="P474" s="33" t="s">
        <v>2263</v>
      </c>
      <c r="Q474" s="33" t="s">
        <v>1796</v>
      </c>
    </row>
    <row r="475" spans="1:17">
      <c r="A475" s="33" t="s">
        <v>3495</v>
      </c>
      <c r="B475" s="33" t="s">
        <v>3496</v>
      </c>
      <c r="C475" s="33" t="s">
        <v>1891</v>
      </c>
      <c r="D475" s="33" t="s">
        <v>41</v>
      </c>
      <c r="E475" s="33" t="s">
        <v>1786</v>
      </c>
      <c r="F475" s="33" t="s">
        <v>1787</v>
      </c>
      <c r="G475" s="33" t="s">
        <v>2349</v>
      </c>
      <c r="H475" s="33" t="s">
        <v>3251</v>
      </c>
      <c r="I475" s="33" t="s">
        <v>3251</v>
      </c>
      <c r="J475" s="33" t="s">
        <v>3497</v>
      </c>
      <c r="K475" s="33" t="s">
        <v>1791</v>
      </c>
      <c r="L475" s="33" t="s">
        <v>3251</v>
      </c>
      <c r="M475" s="33" t="s">
        <v>3284</v>
      </c>
      <c r="N475" s="33" t="s">
        <v>43</v>
      </c>
      <c r="O475" s="33" t="s">
        <v>2760</v>
      </c>
      <c r="P475" s="33" t="s">
        <v>2023</v>
      </c>
      <c r="Q475" s="33" t="s">
        <v>1796</v>
      </c>
    </row>
    <row r="476" spans="1:17">
      <c r="A476" s="33" t="s">
        <v>3498</v>
      </c>
      <c r="B476" s="33" t="s">
        <v>3499</v>
      </c>
      <c r="C476" s="33" t="s">
        <v>1807</v>
      </c>
      <c r="D476" s="33" t="s">
        <v>41</v>
      </c>
      <c r="E476" s="33" t="s">
        <v>1786</v>
      </c>
      <c r="F476" s="33" t="s">
        <v>1856</v>
      </c>
      <c r="G476" s="33" t="s">
        <v>94</v>
      </c>
      <c r="H476" s="33" t="s">
        <v>3500</v>
      </c>
      <c r="I476" s="33" t="s">
        <v>3500</v>
      </c>
      <c r="J476" s="33" t="s">
        <v>3501</v>
      </c>
      <c r="K476" s="33" t="s">
        <v>1791</v>
      </c>
      <c r="L476" s="33" t="s">
        <v>2647</v>
      </c>
      <c r="M476" s="33" t="s">
        <v>3284</v>
      </c>
      <c r="N476" s="33" t="s">
        <v>1355</v>
      </c>
      <c r="O476" s="33" t="s">
        <v>1858</v>
      </c>
      <c r="P476" s="33" t="s">
        <v>1795</v>
      </c>
      <c r="Q476" s="33" t="s">
        <v>1796</v>
      </c>
    </row>
    <row r="477" spans="1:17">
      <c r="A477" s="33" t="s">
        <v>3502</v>
      </c>
      <c r="B477" s="33" t="s">
        <v>3503</v>
      </c>
      <c r="C477" s="33" t="s">
        <v>2514</v>
      </c>
      <c r="D477" s="33" t="s">
        <v>41</v>
      </c>
      <c r="E477" s="33" t="s">
        <v>1786</v>
      </c>
      <c r="F477" s="33" t="s">
        <v>1815</v>
      </c>
      <c r="G477" s="33" t="s">
        <v>81</v>
      </c>
      <c r="H477" s="33" t="s">
        <v>3500</v>
      </c>
      <c r="I477" s="33" t="s">
        <v>3500</v>
      </c>
      <c r="J477" s="33" t="s">
        <v>3504</v>
      </c>
      <c r="K477" s="33" t="s">
        <v>1791</v>
      </c>
      <c r="L477" s="33" t="s">
        <v>2647</v>
      </c>
      <c r="M477" s="33" t="s">
        <v>82</v>
      </c>
      <c r="N477" s="33" t="s">
        <v>69</v>
      </c>
      <c r="O477" s="33" t="s">
        <v>3505</v>
      </c>
      <c r="P477" s="33" t="s">
        <v>1795</v>
      </c>
      <c r="Q477" s="33" t="s">
        <v>1796</v>
      </c>
    </row>
    <row r="478" spans="1:17">
      <c r="A478" s="33" t="s">
        <v>3506</v>
      </c>
      <c r="B478" s="33" t="s">
        <v>3507</v>
      </c>
      <c r="C478" s="33" t="s">
        <v>3508</v>
      </c>
      <c r="D478" s="33" t="s">
        <v>41</v>
      </c>
      <c r="E478" s="33" t="s">
        <v>1786</v>
      </c>
      <c r="F478" s="33" t="s">
        <v>1787</v>
      </c>
      <c r="G478" s="33" t="s">
        <v>81</v>
      </c>
      <c r="H478" s="33" t="s">
        <v>3500</v>
      </c>
      <c r="I478" s="33" t="s">
        <v>3500</v>
      </c>
      <c r="J478" s="33" t="s">
        <v>3509</v>
      </c>
      <c r="K478" s="33" t="s">
        <v>1791</v>
      </c>
      <c r="L478" s="33" t="s">
        <v>2647</v>
      </c>
      <c r="M478" s="33" t="s">
        <v>80</v>
      </c>
      <c r="N478" s="33" t="s">
        <v>80</v>
      </c>
      <c r="O478" s="33" t="s">
        <v>3510</v>
      </c>
      <c r="P478" s="33" t="s">
        <v>2263</v>
      </c>
      <c r="Q478" s="33" t="s">
        <v>1796</v>
      </c>
    </row>
    <row r="479" spans="1:17">
      <c r="A479" s="33" t="s">
        <v>3511</v>
      </c>
      <c r="B479" s="33" t="s">
        <v>3512</v>
      </c>
      <c r="C479" s="33" t="s">
        <v>1807</v>
      </c>
      <c r="D479" s="33" t="s">
        <v>41</v>
      </c>
      <c r="E479" s="33" t="s">
        <v>1786</v>
      </c>
      <c r="F479" s="33" t="s">
        <v>1815</v>
      </c>
      <c r="G479" s="33" t="s">
        <v>94</v>
      </c>
      <c r="H479" s="33" t="s">
        <v>3500</v>
      </c>
      <c r="I479" s="33" t="s">
        <v>3500</v>
      </c>
      <c r="J479" s="33" t="s">
        <v>3513</v>
      </c>
      <c r="K479" s="33" t="s">
        <v>1791</v>
      </c>
      <c r="L479" s="33" t="s">
        <v>2647</v>
      </c>
      <c r="M479" s="33" t="s">
        <v>3284</v>
      </c>
      <c r="N479" s="33" t="s">
        <v>1355</v>
      </c>
      <c r="O479" s="33" t="s">
        <v>3514</v>
      </c>
      <c r="P479" s="33" t="s">
        <v>1795</v>
      </c>
      <c r="Q479" s="33" t="s">
        <v>1796</v>
      </c>
    </row>
    <row r="480" spans="1:17">
      <c r="A480" s="33" t="s">
        <v>3515</v>
      </c>
      <c r="B480" s="33" t="s">
        <v>3516</v>
      </c>
      <c r="C480" s="33" t="s">
        <v>1819</v>
      </c>
      <c r="D480" s="33" t="s">
        <v>41</v>
      </c>
      <c r="E480" s="33" t="s">
        <v>1786</v>
      </c>
      <c r="F480" s="33" t="s">
        <v>1856</v>
      </c>
      <c r="G480" s="33" t="s">
        <v>1954</v>
      </c>
      <c r="H480" s="33" t="s">
        <v>3500</v>
      </c>
      <c r="I480" s="33" t="s">
        <v>3500</v>
      </c>
      <c r="J480" s="33" t="s">
        <v>3517</v>
      </c>
      <c r="K480" s="33" t="s">
        <v>1791</v>
      </c>
      <c r="L480" s="33" t="s">
        <v>2647</v>
      </c>
      <c r="M480" s="33" t="s">
        <v>3310</v>
      </c>
      <c r="N480" s="33" t="s">
        <v>1078</v>
      </c>
      <c r="O480" s="33" t="s">
        <v>1919</v>
      </c>
      <c r="P480" s="33" t="s">
        <v>1795</v>
      </c>
      <c r="Q480" s="33" t="s">
        <v>1796</v>
      </c>
    </row>
    <row r="481" spans="1:17">
      <c r="A481" s="33" t="s">
        <v>3518</v>
      </c>
      <c r="B481" s="33" t="s">
        <v>3519</v>
      </c>
      <c r="C481" s="33" t="s">
        <v>1980</v>
      </c>
      <c r="D481" s="33" t="s">
        <v>41</v>
      </c>
      <c r="E481" s="33" t="s">
        <v>1786</v>
      </c>
      <c r="F481" s="33" t="s">
        <v>1787</v>
      </c>
      <c r="G481" s="33" t="s">
        <v>1981</v>
      </c>
      <c r="H481" s="33" t="s">
        <v>3500</v>
      </c>
      <c r="I481" s="33" t="s">
        <v>3500</v>
      </c>
      <c r="J481" s="33" t="s">
        <v>3520</v>
      </c>
      <c r="K481" s="33" t="s">
        <v>1791</v>
      </c>
      <c r="L481" s="33" t="s">
        <v>2647</v>
      </c>
      <c r="M481" s="33" t="s">
        <v>69</v>
      </c>
      <c r="N481" s="33" t="s">
        <v>69</v>
      </c>
      <c r="O481" s="33" t="s">
        <v>3521</v>
      </c>
      <c r="P481" s="33" t="s">
        <v>1795</v>
      </c>
      <c r="Q481" s="33" t="s">
        <v>1796</v>
      </c>
    </row>
    <row r="482" spans="1:17">
      <c r="A482" s="33" t="s">
        <v>3290</v>
      </c>
      <c r="B482" s="33" t="s">
        <v>3522</v>
      </c>
      <c r="C482" s="33" t="s">
        <v>1980</v>
      </c>
      <c r="D482" s="33" t="s">
        <v>41</v>
      </c>
      <c r="E482" s="33" t="s">
        <v>1786</v>
      </c>
      <c r="F482" s="33" t="s">
        <v>1787</v>
      </c>
      <c r="G482" s="33" t="s">
        <v>3139</v>
      </c>
      <c r="H482" s="33" t="s">
        <v>3500</v>
      </c>
      <c r="I482" s="33" t="s">
        <v>3500</v>
      </c>
      <c r="J482" s="33" t="s">
        <v>3523</v>
      </c>
      <c r="K482" s="33" t="s">
        <v>1791</v>
      </c>
      <c r="L482" s="33" t="s">
        <v>2647</v>
      </c>
      <c r="M482" s="33" t="s">
        <v>82</v>
      </c>
      <c r="N482" s="33" t="s">
        <v>69</v>
      </c>
      <c r="O482" s="33" t="s">
        <v>1938</v>
      </c>
      <c r="P482" s="33" t="s">
        <v>1795</v>
      </c>
      <c r="Q482" s="33" t="s">
        <v>1796</v>
      </c>
    </row>
    <row r="483" spans="1:17" hidden="1">
      <c r="A483" s="33" t="s">
        <v>3524</v>
      </c>
      <c r="B483" s="33" t="s">
        <v>3525</v>
      </c>
      <c r="C483" s="33" t="s">
        <v>2026</v>
      </c>
      <c r="D483" s="33" t="s">
        <v>3526</v>
      </c>
      <c r="E483" s="33" t="s">
        <v>2471</v>
      </c>
      <c r="F483" s="33" t="s">
        <v>1787</v>
      </c>
      <c r="G483" s="33" t="s">
        <v>3526</v>
      </c>
      <c r="H483" s="33" t="s">
        <v>3527</v>
      </c>
      <c r="I483" s="33" t="s">
        <v>3527</v>
      </c>
      <c r="J483" s="33" t="s">
        <v>3528</v>
      </c>
      <c r="K483" s="33" t="s">
        <v>2471</v>
      </c>
      <c r="L483" s="33" t="s">
        <v>3527</v>
      </c>
      <c r="M483" s="33" t="str">
        <f>_xlfn.XLOOKUP(Tabela14[[#This Row],[Responsável]],Organograma!H:H,Organograma!G:G,"")</f>
        <v/>
      </c>
      <c r="N483" s="33" t="s">
        <v>1764</v>
      </c>
      <c r="O483" s="33" t="s">
        <v>1764</v>
      </c>
      <c r="P483" s="33" t="s">
        <v>1764</v>
      </c>
      <c r="Q483" s="33" t="s">
        <v>1796</v>
      </c>
    </row>
    <row r="484" spans="1:17">
      <c r="A484" s="33" t="s">
        <v>3529</v>
      </c>
      <c r="B484" s="33" t="s">
        <v>3530</v>
      </c>
      <c r="C484" s="33" t="s">
        <v>2205</v>
      </c>
      <c r="D484" s="33" t="s">
        <v>41</v>
      </c>
      <c r="E484" s="33" t="s">
        <v>1786</v>
      </c>
      <c r="F484" s="33" t="s">
        <v>1787</v>
      </c>
      <c r="G484" s="33" t="s">
        <v>3531</v>
      </c>
      <c r="H484" s="33" t="s">
        <v>3527</v>
      </c>
      <c r="I484" s="33" t="s">
        <v>3527</v>
      </c>
      <c r="J484" s="33" t="s">
        <v>3532</v>
      </c>
      <c r="K484" s="33" t="s">
        <v>1791</v>
      </c>
      <c r="L484" s="33" t="s">
        <v>2647</v>
      </c>
      <c r="M484" s="33" t="s">
        <v>1083</v>
      </c>
      <c r="N484" s="33" t="s">
        <v>77</v>
      </c>
      <c r="O484" s="33" t="s">
        <v>3533</v>
      </c>
      <c r="P484" s="33" t="s">
        <v>1795</v>
      </c>
      <c r="Q484" s="33" t="s">
        <v>1796</v>
      </c>
    </row>
    <row r="485" spans="1:17">
      <c r="A485" s="33" t="s">
        <v>3534</v>
      </c>
      <c r="B485" s="33" t="s">
        <v>3535</v>
      </c>
      <c r="C485" s="33" t="s">
        <v>1980</v>
      </c>
      <c r="D485" s="33" t="s">
        <v>41</v>
      </c>
      <c r="E485" s="33" t="s">
        <v>1786</v>
      </c>
      <c r="F485" s="33" t="s">
        <v>1815</v>
      </c>
      <c r="G485" s="33" t="s">
        <v>3139</v>
      </c>
      <c r="H485" s="33" t="s">
        <v>3135</v>
      </c>
      <c r="I485" s="33" t="s">
        <v>3135</v>
      </c>
      <c r="J485" s="33" t="s">
        <v>3536</v>
      </c>
      <c r="K485" s="33" t="s">
        <v>1791</v>
      </c>
      <c r="L485" s="33" t="s">
        <v>2647</v>
      </c>
      <c r="M485" s="33" t="s">
        <v>3310</v>
      </c>
      <c r="N485" s="33" t="s">
        <v>69</v>
      </c>
      <c r="O485" s="33" t="s">
        <v>1938</v>
      </c>
      <c r="P485" s="33" t="s">
        <v>1795</v>
      </c>
      <c r="Q485" s="33" t="s">
        <v>1796</v>
      </c>
    </row>
    <row r="486" spans="1:17">
      <c r="A486" s="33" t="s">
        <v>3537</v>
      </c>
      <c r="B486" s="33" t="s">
        <v>3538</v>
      </c>
      <c r="C486" s="33" t="s">
        <v>3539</v>
      </c>
      <c r="D486" s="33" t="s">
        <v>41</v>
      </c>
      <c r="E486" s="33" t="s">
        <v>1786</v>
      </c>
      <c r="F486" s="33" t="s">
        <v>1815</v>
      </c>
      <c r="G486" s="33" t="s">
        <v>3540</v>
      </c>
      <c r="H486" s="33" t="s">
        <v>3135</v>
      </c>
      <c r="I486" s="33" t="s">
        <v>3135</v>
      </c>
      <c r="J486" s="33" t="s">
        <v>3541</v>
      </c>
      <c r="K486" s="33" t="s">
        <v>1791</v>
      </c>
      <c r="L486" s="33" t="s">
        <v>2647</v>
      </c>
      <c r="M486" s="33" t="s">
        <v>78</v>
      </c>
      <c r="N486" s="33" t="s">
        <v>23</v>
      </c>
      <c r="O486" s="33" t="s">
        <v>2491</v>
      </c>
      <c r="P486" s="33" t="s">
        <v>1795</v>
      </c>
      <c r="Q486" s="33" t="s">
        <v>1796</v>
      </c>
    </row>
    <row r="487" spans="1:17">
      <c r="A487" s="33" t="s">
        <v>3542</v>
      </c>
      <c r="B487" s="33" t="s">
        <v>3543</v>
      </c>
      <c r="C487" s="33" t="s">
        <v>2273</v>
      </c>
      <c r="D487" s="33" t="s">
        <v>41</v>
      </c>
      <c r="E487" s="33" t="s">
        <v>1786</v>
      </c>
      <c r="F487" s="33" t="s">
        <v>1787</v>
      </c>
      <c r="G487" s="33" t="s">
        <v>89</v>
      </c>
      <c r="H487" s="33" t="s">
        <v>3544</v>
      </c>
      <c r="I487" s="33" t="s">
        <v>3544</v>
      </c>
      <c r="J487" s="33" t="s">
        <v>3545</v>
      </c>
      <c r="K487" s="33" t="s">
        <v>1791</v>
      </c>
      <c r="L487" s="33" t="s">
        <v>2647</v>
      </c>
      <c r="M487" s="33" t="s">
        <v>1402</v>
      </c>
      <c r="N487" s="33" t="s">
        <v>1402</v>
      </c>
      <c r="O487" s="33" t="s">
        <v>3546</v>
      </c>
      <c r="P487" s="33" t="s">
        <v>1795</v>
      </c>
      <c r="Q487" s="33" t="s">
        <v>1796</v>
      </c>
    </row>
    <row r="488" spans="1:17" hidden="1">
      <c r="A488" s="33" t="s">
        <v>3547</v>
      </c>
      <c r="B488" s="33" t="s">
        <v>3548</v>
      </c>
      <c r="C488" s="33" t="s">
        <v>3549</v>
      </c>
      <c r="D488" s="33" t="s">
        <v>41</v>
      </c>
      <c r="E488" s="33" t="s">
        <v>1808</v>
      </c>
      <c r="F488" s="33" t="s">
        <v>1787</v>
      </c>
      <c r="G488" s="33" t="s">
        <v>3550</v>
      </c>
      <c r="H488" s="33" t="s">
        <v>3551</v>
      </c>
      <c r="I488" s="33" t="s">
        <v>3551</v>
      </c>
      <c r="J488" s="33" t="s">
        <v>3552</v>
      </c>
      <c r="K488" s="33" t="s">
        <v>1791</v>
      </c>
      <c r="L488" s="33" t="s">
        <v>3551</v>
      </c>
      <c r="M488" s="33" t="s">
        <v>43</v>
      </c>
      <c r="N488" s="33" t="s">
        <v>69</v>
      </c>
      <c r="O488" s="33" t="s">
        <v>3553</v>
      </c>
      <c r="P488" s="33" t="s">
        <v>1764</v>
      </c>
      <c r="Q488" s="33" t="s">
        <v>1796</v>
      </c>
    </row>
    <row r="489" spans="1:17">
      <c r="A489" s="33" t="s">
        <v>3554</v>
      </c>
      <c r="B489" s="33" t="s">
        <v>3555</v>
      </c>
      <c r="C489" s="33" t="s">
        <v>1980</v>
      </c>
      <c r="D489" s="33" t="s">
        <v>41</v>
      </c>
      <c r="E489" s="33" t="s">
        <v>1786</v>
      </c>
      <c r="F489" s="33" t="s">
        <v>1787</v>
      </c>
      <c r="G489" s="33" t="s">
        <v>1981</v>
      </c>
      <c r="H489" s="33" t="s">
        <v>3551</v>
      </c>
      <c r="I489" s="33" t="s">
        <v>3551</v>
      </c>
      <c r="J489" s="33" t="s">
        <v>3556</v>
      </c>
      <c r="K489" s="33" t="s">
        <v>1791</v>
      </c>
      <c r="L489" s="33" t="s">
        <v>2647</v>
      </c>
      <c r="M489" s="33" t="s">
        <v>82</v>
      </c>
      <c r="N489" s="33" t="s">
        <v>69</v>
      </c>
      <c r="O489" s="33" t="s">
        <v>3505</v>
      </c>
      <c r="P489" s="33" t="s">
        <v>1795</v>
      </c>
      <c r="Q489" s="33" t="s">
        <v>1796</v>
      </c>
    </row>
    <row r="490" spans="1:17">
      <c r="A490" s="33" t="s">
        <v>3557</v>
      </c>
      <c r="B490" s="33" t="s">
        <v>3558</v>
      </c>
      <c r="C490" s="33" t="s">
        <v>2096</v>
      </c>
      <c r="D490" s="33" t="s">
        <v>41</v>
      </c>
      <c r="E490" s="33" t="s">
        <v>1786</v>
      </c>
      <c r="F490" s="33" t="s">
        <v>1787</v>
      </c>
      <c r="G490" s="33" t="s">
        <v>2716</v>
      </c>
      <c r="H490" s="33" t="s">
        <v>3551</v>
      </c>
      <c r="I490" s="33" t="s">
        <v>3551</v>
      </c>
      <c r="J490" s="33" t="s">
        <v>3559</v>
      </c>
      <c r="K490" s="33" t="s">
        <v>1791</v>
      </c>
      <c r="L490" s="33" t="s">
        <v>2647</v>
      </c>
      <c r="M490" s="33" t="s">
        <v>3310</v>
      </c>
      <c r="N490" s="33" t="s">
        <v>3310</v>
      </c>
      <c r="O490" s="33" t="s">
        <v>2406</v>
      </c>
      <c r="P490" s="33" t="s">
        <v>1869</v>
      </c>
      <c r="Q490" s="33" t="s">
        <v>1796</v>
      </c>
    </row>
    <row r="491" spans="1:17">
      <c r="A491" s="33" t="s">
        <v>3560</v>
      </c>
      <c r="B491" s="33" t="s">
        <v>3561</v>
      </c>
      <c r="C491" s="33" t="s">
        <v>1831</v>
      </c>
      <c r="D491" s="33" t="s">
        <v>41</v>
      </c>
      <c r="E491" s="33" t="s">
        <v>1786</v>
      </c>
      <c r="F491" s="33" t="s">
        <v>1815</v>
      </c>
      <c r="G491" s="33" t="s">
        <v>1861</v>
      </c>
      <c r="H491" s="33" t="s">
        <v>3562</v>
      </c>
      <c r="I491" s="33" t="s">
        <v>3562</v>
      </c>
      <c r="J491" s="33" t="s">
        <v>3563</v>
      </c>
      <c r="K491" s="33" t="s">
        <v>1791</v>
      </c>
      <c r="L491" s="33" t="s">
        <v>3564</v>
      </c>
      <c r="M491" s="33" t="s">
        <v>1402</v>
      </c>
      <c r="N491" s="33" t="s">
        <v>3565</v>
      </c>
      <c r="O491" s="33" t="s">
        <v>2526</v>
      </c>
      <c r="P491" s="33" t="s">
        <v>1804</v>
      </c>
      <c r="Q491" s="33" t="s">
        <v>1796</v>
      </c>
    </row>
    <row r="492" spans="1:17">
      <c r="A492" s="33" t="s">
        <v>3248</v>
      </c>
      <c r="B492" s="33" t="s">
        <v>3566</v>
      </c>
      <c r="C492" s="33" t="s">
        <v>1831</v>
      </c>
      <c r="D492" s="33" t="s">
        <v>41</v>
      </c>
      <c r="E492" s="33" t="s">
        <v>1786</v>
      </c>
      <c r="F492" s="33" t="s">
        <v>1815</v>
      </c>
      <c r="G492" s="33" t="s">
        <v>1861</v>
      </c>
      <c r="H492" s="33" t="s">
        <v>3562</v>
      </c>
      <c r="I492" s="33" t="s">
        <v>3562</v>
      </c>
      <c r="J492" s="33" t="s">
        <v>3567</v>
      </c>
      <c r="K492" s="33" t="s">
        <v>1791</v>
      </c>
      <c r="L492" s="33" t="s">
        <v>3564</v>
      </c>
      <c r="M492" s="33" t="s">
        <v>1402</v>
      </c>
      <c r="N492" s="33" t="s">
        <v>3565</v>
      </c>
      <c r="O492" s="33" t="s">
        <v>3568</v>
      </c>
      <c r="P492" s="33" t="s">
        <v>1804</v>
      </c>
      <c r="Q492" s="33" t="s">
        <v>1796</v>
      </c>
    </row>
    <row r="493" spans="1:17">
      <c r="A493" s="33" t="s">
        <v>3569</v>
      </c>
      <c r="B493" s="33" t="s">
        <v>3570</v>
      </c>
      <c r="C493" s="33" t="s">
        <v>1831</v>
      </c>
      <c r="D493" s="33" t="s">
        <v>41</v>
      </c>
      <c r="E493" s="33" t="s">
        <v>1786</v>
      </c>
      <c r="F493" s="33" t="s">
        <v>1815</v>
      </c>
      <c r="G493" s="33" t="s">
        <v>1861</v>
      </c>
      <c r="H493" s="33" t="s">
        <v>3562</v>
      </c>
      <c r="I493" s="33" t="s">
        <v>3562</v>
      </c>
      <c r="J493" s="33" t="s">
        <v>3571</v>
      </c>
      <c r="K493" s="33" t="s">
        <v>1791</v>
      </c>
      <c r="L493" s="33" t="s">
        <v>3564</v>
      </c>
      <c r="M493" s="33" t="s">
        <v>197</v>
      </c>
      <c r="N493" s="33" t="s">
        <v>3565</v>
      </c>
      <c r="O493" s="33" t="s">
        <v>2579</v>
      </c>
      <c r="P493" s="33" t="s">
        <v>1804</v>
      </c>
      <c r="Q493" s="33" t="s">
        <v>1796</v>
      </c>
    </row>
    <row r="494" spans="1:17">
      <c r="A494" s="33" t="s">
        <v>3572</v>
      </c>
      <c r="B494" s="33" t="s">
        <v>3573</v>
      </c>
      <c r="C494" s="33" t="s">
        <v>1831</v>
      </c>
      <c r="D494" s="33" t="s">
        <v>41</v>
      </c>
      <c r="E494" s="33" t="s">
        <v>1786</v>
      </c>
      <c r="F494" s="33" t="s">
        <v>1815</v>
      </c>
      <c r="G494" s="33" t="s">
        <v>1861</v>
      </c>
      <c r="H494" s="33" t="s">
        <v>3562</v>
      </c>
      <c r="I494" s="33" t="s">
        <v>3562</v>
      </c>
      <c r="J494" s="33" t="s">
        <v>3574</v>
      </c>
      <c r="K494" s="33" t="s">
        <v>1791</v>
      </c>
      <c r="L494" s="33" t="s">
        <v>3564</v>
      </c>
      <c r="M494" s="33" t="s">
        <v>3310</v>
      </c>
      <c r="N494" s="33" t="s">
        <v>3565</v>
      </c>
      <c r="O494" s="33" t="s">
        <v>1888</v>
      </c>
      <c r="P494" s="33" t="s">
        <v>1804</v>
      </c>
      <c r="Q494" s="33" t="s">
        <v>1796</v>
      </c>
    </row>
    <row r="495" spans="1:17">
      <c r="A495" s="33" t="s">
        <v>3572</v>
      </c>
      <c r="B495" s="33" t="s">
        <v>3575</v>
      </c>
      <c r="C495" s="33" t="s">
        <v>1831</v>
      </c>
      <c r="D495" s="33" t="s">
        <v>41</v>
      </c>
      <c r="E495" s="33" t="s">
        <v>1786</v>
      </c>
      <c r="F495" s="33" t="s">
        <v>1815</v>
      </c>
      <c r="G495" s="33" t="s">
        <v>1861</v>
      </c>
      <c r="H495" s="33" t="s">
        <v>3562</v>
      </c>
      <c r="I495" s="33" t="s">
        <v>3562</v>
      </c>
      <c r="J495" s="33" t="s">
        <v>3576</v>
      </c>
      <c r="K495" s="33" t="s">
        <v>1791</v>
      </c>
      <c r="L495" s="33" t="s">
        <v>3564</v>
      </c>
      <c r="M495" s="33" t="s">
        <v>3310</v>
      </c>
      <c r="N495" s="33" t="s">
        <v>3565</v>
      </c>
      <c r="O495" s="33" t="s">
        <v>2022</v>
      </c>
      <c r="P495" s="33" t="s">
        <v>1804</v>
      </c>
      <c r="Q495" s="33" t="s">
        <v>1796</v>
      </c>
    </row>
    <row r="496" spans="1:17">
      <c r="A496" s="33" t="s">
        <v>3261</v>
      </c>
      <c r="B496" s="33" t="s">
        <v>3577</v>
      </c>
      <c r="C496" s="33" t="s">
        <v>1831</v>
      </c>
      <c r="D496" s="33" t="s">
        <v>41</v>
      </c>
      <c r="E496" s="33" t="s">
        <v>1786</v>
      </c>
      <c r="F496" s="33" t="s">
        <v>1815</v>
      </c>
      <c r="G496" s="33" t="s">
        <v>1861</v>
      </c>
      <c r="H496" s="33" t="s">
        <v>3562</v>
      </c>
      <c r="I496" s="33" t="s">
        <v>3562</v>
      </c>
      <c r="J496" s="33" t="s">
        <v>3578</v>
      </c>
      <c r="K496" s="33" t="s">
        <v>1791</v>
      </c>
      <c r="L496" s="33" t="s">
        <v>3564</v>
      </c>
      <c r="M496" s="33" t="s">
        <v>3284</v>
      </c>
      <c r="N496" s="33" t="s">
        <v>3565</v>
      </c>
      <c r="O496" s="33" t="s">
        <v>1845</v>
      </c>
      <c r="P496" s="33" t="s">
        <v>1804</v>
      </c>
      <c r="Q496" s="33" t="s">
        <v>1796</v>
      </c>
    </row>
    <row r="497" spans="1:17">
      <c r="A497" s="33" t="s">
        <v>3579</v>
      </c>
      <c r="B497" s="33" t="s">
        <v>3580</v>
      </c>
      <c r="C497" s="33" t="s">
        <v>1831</v>
      </c>
      <c r="D497" s="33" t="s">
        <v>41</v>
      </c>
      <c r="E497" s="33" t="s">
        <v>1786</v>
      </c>
      <c r="F497" s="33" t="s">
        <v>1856</v>
      </c>
      <c r="G497" s="33" t="s">
        <v>1861</v>
      </c>
      <c r="H497" s="33" t="s">
        <v>3562</v>
      </c>
      <c r="I497" s="33" t="s">
        <v>3562</v>
      </c>
      <c r="J497" s="33" t="s">
        <v>3581</v>
      </c>
      <c r="K497" s="33" t="s">
        <v>1791</v>
      </c>
      <c r="L497" s="33" t="s">
        <v>3564</v>
      </c>
      <c r="M497" s="33" t="s">
        <v>3310</v>
      </c>
      <c r="N497" s="33" t="s">
        <v>3565</v>
      </c>
      <c r="O497" s="33" t="s">
        <v>1815</v>
      </c>
      <c r="P497" s="33" t="s">
        <v>1804</v>
      </c>
      <c r="Q497" s="33" t="s">
        <v>1796</v>
      </c>
    </row>
    <row r="498" spans="1:17">
      <c r="A498" s="33" t="s">
        <v>3582</v>
      </c>
      <c r="B498" s="33" t="s">
        <v>3583</v>
      </c>
      <c r="C498" s="33" t="s">
        <v>1831</v>
      </c>
      <c r="D498" s="33" t="s">
        <v>41</v>
      </c>
      <c r="E498" s="33" t="s">
        <v>1786</v>
      </c>
      <c r="F498" s="33" t="s">
        <v>1864</v>
      </c>
      <c r="G498" s="33" t="s">
        <v>1861</v>
      </c>
      <c r="H498" s="33" t="s">
        <v>3562</v>
      </c>
      <c r="I498" s="33" t="s">
        <v>3562</v>
      </c>
      <c r="J498" s="33" t="s">
        <v>3584</v>
      </c>
      <c r="K498" s="33" t="s">
        <v>1791</v>
      </c>
      <c r="L498" s="33" t="s">
        <v>3564</v>
      </c>
      <c r="M498" s="33" t="s">
        <v>3310</v>
      </c>
      <c r="N498" s="33" t="s">
        <v>3565</v>
      </c>
      <c r="O498" s="33" t="s">
        <v>2022</v>
      </c>
      <c r="P498" s="33" t="s">
        <v>1804</v>
      </c>
      <c r="Q498" s="33" t="s">
        <v>1796</v>
      </c>
    </row>
    <row r="499" spans="1:17">
      <c r="A499" s="33" t="s">
        <v>3572</v>
      </c>
      <c r="B499" s="33" t="s">
        <v>3585</v>
      </c>
      <c r="C499" s="33" t="s">
        <v>1831</v>
      </c>
      <c r="D499" s="33" t="s">
        <v>41</v>
      </c>
      <c r="E499" s="33" t="s">
        <v>1786</v>
      </c>
      <c r="F499" s="33" t="s">
        <v>1815</v>
      </c>
      <c r="G499" s="33" t="s">
        <v>1861</v>
      </c>
      <c r="H499" s="33" t="s">
        <v>3562</v>
      </c>
      <c r="I499" s="33" t="s">
        <v>3562</v>
      </c>
      <c r="J499" s="33" t="s">
        <v>3586</v>
      </c>
      <c r="K499" s="33" t="s">
        <v>1791</v>
      </c>
      <c r="L499" s="33" t="s">
        <v>3564</v>
      </c>
      <c r="M499" s="33" t="s">
        <v>3310</v>
      </c>
      <c r="N499" s="33" t="s">
        <v>3565</v>
      </c>
      <c r="O499" s="33" t="s">
        <v>2330</v>
      </c>
      <c r="P499" s="33" t="s">
        <v>1804</v>
      </c>
      <c r="Q499" s="33" t="s">
        <v>1796</v>
      </c>
    </row>
    <row r="500" spans="1:17">
      <c r="A500" s="33" t="s">
        <v>3587</v>
      </c>
      <c r="B500" s="33" t="s">
        <v>3588</v>
      </c>
      <c r="C500" s="33" t="s">
        <v>3011</v>
      </c>
      <c r="D500" s="33" t="s">
        <v>41</v>
      </c>
      <c r="E500" s="33" t="s">
        <v>1786</v>
      </c>
      <c r="F500" s="33" t="s">
        <v>1787</v>
      </c>
      <c r="G500" s="33" t="s">
        <v>3589</v>
      </c>
      <c r="H500" s="33" t="s">
        <v>3562</v>
      </c>
      <c r="I500" s="33" t="s">
        <v>3562</v>
      </c>
      <c r="J500" s="33" t="s">
        <v>3590</v>
      </c>
      <c r="K500" s="33" t="s">
        <v>1791</v>
      </c>
      <c r="L500" s="33" t="s">
        <v>3564</v>
      </c>
      <c r="M500" s="33" t="s">
        <v>75</v>
      </c>
      <c r="N500" s="33" t="s">
        <v>1397</v>
      </c>
      <c r="O500" s="33" t="s">
        <v>3591</v>
      </c>
      <c r="P500" s="33" t="s">
        <v>1795</v>
      </c>
      <c r="Q500" s="33" t="s">
        <v>1796</v>
      </c>
    </row>
    <row r="501" spans="1:17">
      <c r="A501" s="33" t="s">
        <v>3592</v>
      </c>
      <c r="B501" s="33" t="s">
        <v>3593</v>
      </c>
      <c r="C501" s="33" t="s">
        <v>3011</v>
      </c>
      <c r="D501" s="33" t="s">
        <v>41</v>
      </c>
      <c r="E501" s="33" t="s">
        <v>1786</v>
      </c>
      <c r="F501" s="33" t="s">
        <v>1787</v>
      </c>
      <c r="G501" s="33" t="s">
        <v>3589</v>
      </c>
      <c r="H501" s="33" t="s">
        <v>3562</v>
      </c>
      <c r="I501" s="33" t="s">
        <v>3562</v>
      </c>
      <c r="J501" s="33" t="s">
        <v>3594</v>
      </c>
      <c r="K501" s="33" t="s">
        <v>1791</v>
      </c>
      <c r="L501" s="33" t="s">
        <v>3564</v>
      </c>
      <c r="M501" s="33" t="s">
        <v>75</v>
      </c>
      <c r="N501" s="33" t="s">
        <v>1397</v>
      </c>
      <c r="O501" s="33" t="s">
        <v>3595</v>
      </c>
      <c r="P501" s="33" t="s">
        <v>1795</v>
      </c>
      <c r="Q501" s="33" t="s">
        <v>1796</v>
      </c>
    </row>
    <row r="502" spans="1:17">
      <c r="A502" s="33" t="s">
        <v>3185</v>
      </c>
      <c r="B502" s="33" t="s">
        <v>3596</v>
      </c>
      <c r="C502" s="33" t="s">
        <v>1980</v>
      </c>
      <c r="D502" s="33" t="s">
        <v>41</v>
      </c>
      <c r="E502" s="33" t="s">
        <v>1786</v>
      </c>
      <c r="F502" s="33" t="s">
        <v>1864</v>
      </c>
      <c r="G502" s="33" t="s">
        <v>3139</v>
      </c>
      <c r="H502" s="33" t="s">
        <v>3597</v>
      </c>
      <c r="I502" s="33" t="s">
        <v>3597</v>
      </c>
      <c r="J502" s="33" t="s">
        <v>3598</v>
      </c>
      <c r="K502" s="33" t="s">
        <v>1791</v>
      </c>
      <c r="L502" s="33" t="s">
        <v>3564</v>
      </c>
      <c r="M502" s="33" t="s">
        <v>3284</v>
      </c>
      <c r="N502" s="33" t="s">
        <v>69</v>
      </c>
      <c r="O502" s="33" t="s">
        <v>1938</v>
      </c>
      <c r="P502" s="33" t="s">
        <v>1795</v>
      </c>
      <c r="Q502" s="33" t="s">
        <v>1796</v>
      </c>
    </row>
    <row r="503" spans="1:17">
      <c r="A503" s="33" t="s">
        <v>3599</v>
      </c>
      <c r="B503" s="33" t="s">
        <v>3600</v>
      </c>
      <c r="C503" s="33" t="s">
        <v>2020</v>
      </c>
      <c r="D503" s="33" t="s">
        <v>41</v>
      </c>
      <c r="E503" s="33" t="s">
        <v>1786</v>
      </c>
      <c r="F503" s="33" t="s">
        <v>1787</v>
      </c>
      <c r="G503" s="33" t="s">
        <v>65</v>
      </c>
      <c r="H503" s="33" t="s">
        <v>3597</v>
      </c>
      <c r="I503" s="33" t="s">
        <v>3597</v>
      </c>
      <c r="J503" s="33" t="s">
        <v>3601</v>
      </c>
      <c r="K503" s="33" t="s">
        <v>1791</v>
      </c>
      <c r="L503" s="33" t="s">
        <v>3564</v>
      </c>
      <c r="M503" s="33" t="s">
        <v>1083</v>
      </c>
      <c r="N503" s="33" t="s">
        <v>1083</v>
      </c>
      <c r="O503" s="33" t="s">
        <v>3602</v>
      </c>
      <c r="P503" s="33" t="s">
        <v>1804</v>
      </c>
      <c r="Q503" s="33" t="s">
        <v>1796</v>
      </c>
    </row>
    <row r="504" spans="1:17" hidden="1">
      <c r="A504" s="33" t="s">
        <v>3603</v>
      </c>
      <c r="B504" s="33" t="s">
        <v>3604</v>
      </c>
      <c r="C504" s="33" t="s">
        <v>2205</v>
      </c>
      <c r="D504" s="33" t="s">
        <v>41</v>
      </c>
      <c r="E504" s="33" t="s">
        <v>1836</v>
      </c>
      <c r="F504" s="33" t="s">
        <v>1787</v>
      </c>
      <c r="G504" s="33" t="s">
        <v>3531</v>
      </c>
      <c r="H504" s="33" t="s">
        <v>3597</v>
      </c>
      <c r="I504" s="33" t="s">
        <v>3597</v>
      </c>
      <c r="J504" s="33" t="s">
        <v>3605</v>
      </c>
      <c r="K504" s="33" t="s">
        <v>1791</v>
      </c>
      <c r="L504" s="33" t="s">
        <v>3564</v>
      </c>
      <c r="M504" s="33" t="s">
        <v>77</v>
      </c>
      <c r="N504" s="33" t="s">
        <v>77</v>
      </c>
      <c r="O504" s="33" t="s">
        <v>2406</v>
      </c>
      <c r="P504" s="33" t="s">
        <v>1764</v>
      </c>
      <c r="Q504" s="33" t="s">
        <v>1796</v>
      </c>
    </row>
    <row r="505" spans="1:17" hidden="1">
      <c r="A505" s="33" t="s">
        <v>3606</v>
      </c>
      <c r="B505" s="33" t="s">
        <v>3607</v>
      </c>
      <c r="C505" s="33" t="s">
        <v>1831</v>
      </c>
      <c r="D505" s="33" t="s">
        <v>41</v>
      </c>
      <c r="E505" s="33" t="s">
        <v>1836</v>
      </c>
      <c r="F505" s="33" t="s">
        <v>1787</v>
      </c>
      <c r="G505" s="33" t="s">
        <v>3608</v>
      </c>
      <c r="H505" s="33" t="s">
        <v>3597</v>
      </c>
      <c r="I505" s="33" t="s">
        <v>3551</v>
      </c>
      <c r="J505" s="33" t="s">
        <v>3609</v>
      </c>
      <c r="K505" s="33" t="s">
        <v>1791</v>
      </c>
      <c r="L505" s="33" t="s">
        <v>3564</v>
      </c>
      <c r="M505" s="33" t="s">
        <v>3284</v>
      </c>
      <c r="N505" s="33" t="s">
        <v>69</v>
      </c>
      <c r="O505" s="33" t="s">
        <v>2099</v>
      </c>
      <c r="P505" s="33" t="s">
        <v>1764</v>
      </c>
      <c r="Q505" s="33" t="s">
        <v>1796</v>
      </c>
    </row>
    <row r="506" spans="1:17">
      <c r="A506" s="33" t="s">
        <v>3610</v>
      </c>
      <c r="B506" s="33" t="s">
        <v>3611</v>
      </c>
      <c r="C506" s="33" t="s">
        <v>1980</v>
      </c>
      <c r="D506" s="33" t="s">
        <v>41</v>
      </c>
      <c r="E506" s="33" t="s">
        <v>1786</v>
      </c>
      <c r="F506" s="33" t="s">
        <v>1787</v>
      </c>
      <c r="G506" s="33" t="s">
        <v>3139</v>
      </c>
      <c r="H506" s="33" t="s">
        <v>3612</v>
      </c>
      <c r="I506" s="33" t="s">
        <v>3612</v>
      </c>
      <c r="J506" s="33" t="s">
        <v>3613</v>
      </c>
      <c r="K506" s="33" t="s">
        <v>1791</v>
      </c>
      <c r="L506" s="33" t="s">
        <v>3564</v>
      </c>
      <c r="M506" s="33" t="s">
        <v>1083</v>
      </c>
      <c r="N506" s="33" t="s">
        <v>69</v>
      </c>
      <c r="O506" s="33" t="s">
        <v>1938</v>
      </c>
      <c r="P506" s="33" t="s">
        <v>1795</v>
      </c>
      <c r="Q506" s="33" t="s">
        <v>1796</v>
      </c>
    </row>
    <row r="507" spans="1:17">
      <c r="A507" s="33" t="s">
        <v>3614</v>
      </c>
      <c r="B507" s="33" t="s">
        <v>3615</v>
      </c>
      <c r="C507" s="33" t="s">
        <v>2026</v>
      </c>
      <c r="D507" s="33" t="s">
        <v>41</v>
      </c>
      <c r="E507" s="33" t="s">
        <v>1786</v>
      </c>
      <c r="F507" s="33" t="s">
        <v>1787</v>
      </c>
      <c r="G507" s="33" t="s">
        <v>90</v>
      </c>
      <c r="H507" s="33" t="s">
        <v>3616</v>
      </c>
      <c r="I507" s="33" t="s">
        <v>3616</v>
      </c>
      <c r="J507" s="33" t="s">
        <v>3617</v>
      </c>
      <c r="K507" s="33" t="s">
        <v>1791</v>
      </c>
      <c r="L507" s="33" t="s">
        <v>3564</v>
      </c>
      <c r="M507" s="33" t="s">
        <v>52</v>
      </c>
      <c r="N507" s="33" t="s">
        <v>1402</v>
      </c>
      <c r="O507" s="33" t="s">
        <v>3618</v>
      </c>
      <c r="P507" s="33" t="s">
        <v>1795</v>
      </c>
      <c r="Q507" s="33" t="s">
        <v>1796</v>
      </c>
    </row>
    <row r="508" spans="1:17">
      <c r="A508" s="33" t="s">
        <v>3619</v>
      </c>
      <c r="B508" s="33" t="s">
        <v>3620</v>
      </c>
      <c r="C508" s="33" t="s">
        <v>1980</v>
      </c>
      <c r="D508" s="33" t="s">
        <v>41</v>
      </c>
      <c r="E508" s="33" t="s">
        <v>1786</v>
      </c>
      <c r="F508" s="33" t="s">
        <v>1815</v>
      </c>
      <c r="G508" s="33" t="s">
        <v>1981</v>
      </c>
      <c r="H508" s="33" t="s">
        <v>3616</v>
      </c>
      <c r="I508" s="33" t="s">
        <v>3616</v>
      </c>
      <c r="J508" s="33" t="s">
        <v>3621</v>
      </c>
      <c r="K508" s="33" t="s">
        <v>1791</v>
      </c>
      <c r="L508" s="33" t="s">
        <v>3564</v>
      </c>
      <c r="M508" s="33" t="s">
        <v>197</v>
      </c>
      <c r="N508" s="33" t="s">
        <v>69</v>
      </c>
      <c r="O508" s="33" t="s">
        <v>2597</v>
      </c>
      <c r="P508" s="33" t="s">
        <v>1795</v>
      </c>
      <c r="Q508" s="33" t="s">
        <v>1796</v>
      </c>
    </row>
    <row r="509" spans="1:17">
      <c r="A509" s="33" t="s">
        <v>3622</v>
      </c>
      <c r="B509" s="33" t="s">
        <v>3623</v>
      </c>
      <c r="C509" s="33" t="s">
        <v>2443</v>
      </c>
      <c r="D509" s="33" t="s">
        <v>41</v>
      </c>
      <c r="E509" s="33" t="s">
        <v>1786</v>
      </c>
      <c r="F509" s="33" t="s">
        <v>1864</v>
      </c>
      <c r="G509" s="33" t="s">
        <v>2444</v>
      </c>
      <c r="H509" s="33" t="s">
        <v>3616</v>
      </c>
      <c r="I509" s="33" t="s">
        <v>3616</v>
      </c>
      <c r="J509" s="33" t="s">
        <v>3624</v>
      </c>
      <c r="K509" s="33" t="s">
        <v>1791</v>
      </c>
      <c r="L509" s="33" t="s">
        <v>3564</v>
      </c>
      <c r="M509" s="33" t="s">
        <v>197</v>
      </c>
      <c r="N509" s="33" t="s">
        <v>970</v>
      </c>
      <c r="O509" s="33" t="s">
        <v>3625</v>
      </c>
      <c r="P509" s="33" t="s">
        <v>1869</v>
      </c>
      <c r="Q509" s="33" t="s">
        <v>1796</v>
      </c>
    </row>
    <row r="510" spans="1:17">
      <c r="A510" s="33" t="s">
        <v>3626</v>
      </c>
      <c r="B510" s="33" t="s">
        <v>3627</v>
      </c>
      <c r="C510" s="33" t="s">
        <v>1831</v>
      </c>
      <c r="D510" s="33" t="s">
        <v>41</v>
      </c>
      <c r="E510" s="33" t="s">
        <v>1786</v>
      </c>
      <c r="F510" s="33" t="s">
        <v>1864</v>
      </c>
      <c r="G510" s="33" t="s">
        <v>1872</v>
      </c>
      <c r="H510" s="33" t="s">
        <v>3628</v>
      </c>
      <c r="I510" s="33" t="s">
        <v>3628</v>
      </c>
      <c r="J510" s="33" t="s">
        <v>3629</v>
      </c>
      <c r="K510" s="33" t="s">
        <v>1791</v>
      </c>
      <c r="L510" s="33" t="s">
        <v>3564</v>
      </c>
      <c r="M510" s="33" t="s">
        <v>197</v>
      </c>
      <c r="N510" s="33" t="s">
        <v>69</v>
      </c>
      <c r="O510" s="33" t="s">
        <v>3630</v>
      </c>
      <c r="P510" s="33" t="s">
        <v>1795</v>
      </c>
      <c r="Q510" s="33" t="s">
        <v>1796</v>
      </c>
    </row>
    <row r="511" spans="1:17">
      <c r="A511" s="33" t="s">
        <v>3631</v>
      </c>
      <c r="B511" s="33" t="s">
        <v>3632</v>
      </c>
      <c r="C511" s="33" t="s">
        <v>2096</v>
      </c>
      <c r="D511" s="33" t="s">
        <v>41</v>
      </c>
      <c r="E511" s="33" t="s">
        <v>1786</v>
      </c>
      <c r="F511" s="33" t="s">
        <v>1787</v>
      </c>
      <c r="G511" s="33" t="s">
        <v>2716</v>
      </c>
      <c r="H511" s="33" t="s">
        <v>3633</v>
      </c>
      <c r="I511" s="33" t="s">
        <v>3633</v>
      </c>
      <c r="J511" s="33" t="s">
        <v>3634</v>
      </c>
      <c r="K511" s="33" t="s">
        <v>1791</v>
      </c>
      <c r="L511" s="33" t="s">
        <v>3564</v>
      </c>
      <c r="M511" s="33" t="s">
        <v>3310</v>
      </c>
      <c r="N511" s="33" t="s">
        <v>3310</v>
      </c>
      <c r="O511" s="33" t="s">
        <v>2103</v>
      </c>
      <c r="P511" s="33" t="s">
        <v>1869</v>
      </c>
      <c r="Q511" s="33" t="s">
        <v>1796</v>
      </c>
    </row>
    <row r="512" spans="1:17">
      <c r="A512" s="33" t="s">
        <v>3635</v>
      </c>
      <c r="B512" s="33" t="s">
        <v>3636</v>
      </c>
      <c r="C512" s="33" t="s">
        <v>1831</v>
      </c>
      <c r="D512" s="33" t="s">
        <v>41</v>
      </c>
      <c r="E512" s="33" t="s">
        <v>1786</v>
      </c>
      <c r="F512" s="33" t="s">
        <v>1787</v>
      </c>
      <c r="G512" s="33" t="s">
        <v>68</v>
      </c>
      <c r="H512" s="33" t="s">
        <v>3633</v>
      </c>
      <c r="I512" s="33" t="s">
        <v>3633</v>
      </c>
      <c r="J512" s="33" t="s">
        <v>3637</v>
      </c>
      <c r="K512" s="33" t="s">
        <v>1791</v>
      </c>
      <c r="L512" s="33" t="s">
        <v>3564</v>
      </c>
      <c r="M512" s="33" t="s">
        <v>197</v>
      </c>
      <c r="N512" s="33" t="s">
        <v>197</v>
      </c>
      <c r="O512" s="33" t="s">
        <v>3625</v>
      </c>
      <c r="P512" s="33" t="s">
        <v>1869</v>
      </c>
      <c r="Q512" s="33" t="s">
        <v>1796</v>
      </c>
    </row>
    <row r="513" spans="1:17">
      <c r="A513" s="33" t="s">
        <v>3638</v>
      </c>
      <c r="B513" s="33" t="s">
        <v>3639</v>
      </c>
      <c r="C513" s="33" t="s">
        <v>1831</v>
      </c>
      <c r="D513" s="33" t="s">
        <v>41</v>
      </c>
      <c r="E513" s="33" t="s">
        <v>1786</v>
      </c>
      <c r="F513" s="33" t="s">
        <v>1787</v>
      </c>
      <c r="G513" s="33" t="s">
        <v>68</v>
      </c>
      <c r="H513" s="33" t="s">
        <v>3633</v>
      </c>
      <c r="I513" s="33" t="s">
        <v>3633</v>
      </c>
      <c r="J513" s="33" t="s">
        <v>3640</v>
      </c>
      <c r="K513" s="33" t="s">
        <v>1791</v>
      </c>
      <c r="L513" s="33" t="s">
        <v>3564</v>
      </c>
      <c r="M513" s="33" t="s">
        <v>78</v>
      </c>
      <c r="N513" s="33" t="s">
        <v>197</v>
      </c>
      <c r="O513" s="33" t="s">
        <v>3641</v>
      </c>
      <c r="P513" s="33" t="s">
        <v>1795</v>
      </c>
      <c r="Q513" s="33" t="s">
        <v>1796</v>
      </c>
    </row>
    <row r="514" spans="1:17">
      <c r="A514" s="33" t="s">
        <v>3642</v>
      </c>
      <c r="B514" s="33" t="s">
        <v>3643</v>
      </c>
      <c r="C514" s="33" t="s">
        <v>1831</v>
      </c>
      <c r="D514" s="33" t="s">
        <v>41</v>
      </c>
      <c r="E514" s="33" t="s">
        <v>1786</v>
      </c>
      <c r="F514" s="33" t="s">
        <v>1787</v>
      </c>
      <c r="G514" s="33" t="s">
        <v>68</v>
      </c>
      <c r="H514" s="33" t="s">
        <v>3633</v>
      </c>
      <c r="I514" s="33" t="s">
        <v>3633</v>
      </c>
      <c r="J514" s="33" t="s">
        <v>3644</v>
      </c>
      <c r="K514" s="33" t="s">
        <v>1791</v>
      </c>
      <c r="L514" s="33" t="s">
        <v>3564</v>
      </c>
      <c r="M514" s="33" t="s">
        <v>78</v>
      </c>
      <c r="N514" s="33" t="s">
        <v>197</v>
      </c>
      <c r="O514" s="33" t="s">
        <v>3645</v>
      </c>
      <c r="P514" s="33" t="s">
        <v>1795</v>
      </c>
      <c r="Q514" s="33" t="s">
        <v>1796</v>
      </c>
    </row>
    <row r="515" spans="1:17">
      <c r="A515" s="33" t="s">
        <v>3646</v>
      </c>
      <c r="B515" s="33" t="s">
        <v>3647</v>
      </c>
      <c r="C515" s="33" t="s">
        <v>3024</v>
      </c>
      <c r="D515" s="33" t="s">
        <v>41</v>
      </c>
      <c r="E515" s="33" t="s">
        <v>1786</v>
      </c>
      <c r="F515" s="33" t="s">
        <v>1787</v>
      </c>
      <c r="G515" s="33" t="s">
        <v>3025</v>
      </c>
      <c r="H515" s="33" t="s">
        <v>3633</v>
      </c>
      <c r="I515" s="33" t="s">
        <v>3633</v>
      </c>
      <c r="J515" s="33" t="s">
        <v>3648</v>
      </c>
      <c r="K515" s="33" t="s">
        <v>1791</v>
      </c>
      <c r="L515" s="33" t="s">
        <v>3564</v>
      </c>
      <c r="M515" s="33" t="s">
        <v>3284</v>
      </c>
      <c r="N515" s="33" t="s">
        <v>58</v>
      </c>
      <c r="O515" s="33" t="s">
        <v>3027</v>
      </c>
      <c r="P515" s="33" t="s">
        <v>1795</v>
      </c>
      <c r="Q515" s="33" t="s">
        <v>1796</v>
      </c>
    </row>
    <row r="516" spans="1:17">
      <c r="A516" s="33" t="s">
        <v>3649</v>
      </c>
      <c r="B516" s="33" t="s">
        <v>3650</v>
      </c>
      <c r="C516" s="33" t="s">
        <v>2026</v>
      </c>
      <c r="D516" s="33" t="s">
        <v>41</v>
      </c>
      <c r="E516" s="33" t="s">
        <v>1786</v>
      </c>
      <c r="F516" s="33" t="s">
        <v>1787</v>
      </c>
      <c r="G516" s="33" t="s">
        <v>90</v>
      </c>
      <c r="H516" s="33" t="s">
        <v>3651</v>
      </c>
      <c r="I516" s="33" t="s">
        <v>3651</v>
      </c>
      <c r="J516" s="33" t="s">
        <v>3652</v>
      </c>
      <c r="K516" s="33" t="s">
        <v>1791</v>
      </c>
      <c r="L516" s="33" t="s">
        <v>3564</v>
      </c>
      <c r="M516" s="33" t="s">
        <v>3310</v>
      </c>
      <c r="N516" s="33" t="s">
        <v>1402</v>
      </c>
      <c r="O516" s="33" t="s">
        <v>3199</v>
      </c>
      <c r="P516" s="33" t="s">
        <v>1795</v>
      </c>
      <c r="Q516" s="33" t="s">
        <v>1796</v>
      </c>
    </row>
    <row r="517" spans="1:17">
      <c r="A517" s="33" t="s">
        <v>3653</v>
      </c>
      <c r="B517" s="33" t="s">
        <v>3654</v>
      </c>
      <c r="C517" s="33" t="s">
        <v>2026</v>
      </c>
      <c r="D517" s="33" t="s">
        <v>41</v>
      </c>
      <c r="E517" s="33" t="s">
        <v>1786</v>
      </c>
      <c r="F517" s="33" t="s">
        <v>1856</v>
      </c>
      <c r="G517" s="33" t="s">
        <v>90</v>
      </c>
      <c r="H517" s="33" t="s">
        <v>3651</v>
      </c>
      <c r="I517" s="33" t="s">
        <v>3651</v>
      </c>
      <c r="J517" s="33" t="s">
        <v>3655</v>
      </c>
      <c r="K517" s="33" t="s">
        <v>1791</v>
      </c>
      <c r="L517" s="33" t="s">
        <v>3564</v>
      </c>
      <c r="M517" s="33" t="s">
        <v>3310</v>
      </c>
      <c r="N517" s="33" t="s">
        <v>1402</v>
      </c>
      <c r="O517" s="33" t="s">
        <v>3199</v>
      </c>
      <c r="P517" s="33" t="s">
        <v>1804</v>
      </c>
      <c r="Q517" s="33" t="s">
        <v>1796</v>
      </c>
    </row>
    <row r="518" spans="1:17">
      <c r="A518" s="33" t="s">
        <v>3656</v>
      </c>
      <c r="B518" s="33" t="s">
        <v>3657</v>
      </c>
      <c r="C518" s="33" t="s">
        <v>1785</v>
      </c>
      <c r="D518" s="33" t="s">
        <v>41</v>
      </c>
      <c r="E518" s="33" t="s">
        <v>1786</v>
      </c>
      <c r="F518" s="33" t="s">
        <v>2069</v>
      </c>
      <c r="G518" s="33" t="s">
        <v>65</v>
      </c>
      <c r="H518" s="33" t="s">
        <v>3651</v>
      </c>
      <c r="I518" s="33" t="s">
        <v>3651</v>
      </c>
      <c r="J518" s="33" t="s">
        <v>3658</v>
      </c>
      <c r="K518" s="33" t="s">
        <v>1791</v>
      </c>
      <c r="L518" s="33" t="s">
        <v>3564</v>
      </c>
      <c r="M518" s="33" t="s">
        <v>1083</v>
      </c>
      <c r="N518" s="33" t="s">
        <v>1083</v>
      </c>
      <c r="O518" s="33" t="s">
        <v>1919</v>
      </c>
      <c r="P518" s="33" t="s">
        <v>1795</v>
      </c>
      <c r="Q518" s="33" t="s">
        <v>1796</v>
      </c>
    </row>
    <row r="519" spans="1:17">
      <c r="A519" s="33" t="s">
        <v>3659</v>
      </c>
      <c r="B519" s="33" t="s">
        <v>3660</v>
      </c>
      <c r="C519" s="33" t="s">
        <v>1785</v>
      </c>
      <c r="D519" s="33" t="s">
        <v>41</v>
      </c>
      <c r="E519" s="33" t="s">
        <v>1786</v>
      </c>
      <c r="F519" s="33" t="s">
        <v>1856</v>
      </c>
      <c r="G519" s="33" t="s">
        <v>65</v>
      </c>
      <c r="H519" s="33" t="s">
        <v>3651</v>
      </c>
      <c r="I519" s="33" t="s">
        <v>3651</v>
      </c>
      <c r="J519" s="33" t="s">
        <v>3661</v>
      </c>
      <c r="K519" s="33" t="s">
        <v>1791</v>
      </c>
      <c r="L519" s="33" t="s">
        <v>3564</v>
      </c>
      <c r="M519" s="33" t="s">
        <v>69</v>
      </c>
      <c r="N519" s="33" t="s">
        <v>1083</v>
      </c>
      <c r="O519" s="33" t="s">
        <v>1840</v>
      </c>
      <c r="P519" s="33" t="s">
        <v>1795</v>
      </c>
      <c r="Q519" s="33" t="s">
        <v>1796</v>
      </c>
    </row>
    <row r="520" spans="1:17">
      <c r="A520" s="33" t="s">
        <v>3662</v>
      </c>
      <c r="B520" s="33" t="s">
        <v>3663</v>
      </c>
      <c r="C520" s="33" t="s">
        <v>1831</v>
      </c>
      <c r="D520" s="33" t="s">
        <v>41</v>
      </c>
      <c r="E520" s="33" t="s">
        <v>1786</v>
      </c>
      <c r="F520" s="33" t="s">
        <v>1815</v>
      </c>
      <c r="G520" s="33" t="s">
        <v>1872</v>
      </c>
      <c r="H520" s="33" t="s">
        <v>3651</v>
      </c>
      <c r="I520" s="33" t="s">
        <v>3651</v>
      </c>
      <c r="J520" s="33" t="s">
        <v>3664</v>
      </c>
      <c r="K520" s="33" t="s">
        <v>1791</v>
      </c>
      <c r="L520" s="33" t="s">
        <v>3564</v>
      </c>
      <c r="M520" s="33" t="s">
        <v>69</v>
      </c>
      <c r="N520" s="33" t="s">
        <v>197</v>
      </c>
      <c r="O520" s="33" t="s">
        <v>3665</v>
      </c>
      <c r="P520" s="33" t="s">
        <v>1795</v>
      </c>
      <c r="Q520" s="33" t="s">
        <v>1796</v>
      </c>
    </row>
    <row r="521" spans="1:17">
      <c r="A521" s="33" t="s">
        <v>3666</v>
      </c>
      <c r="B521" s="33" t="s">
        <v>3667</v>
      </c>
      <c r="C521" s="33" t="s">
        <v>2096</v>
      </c>
      <c r="D521" s="33" t="s">
        <v>41</v>
      </c>
      <c r="E521" s="33" t="s">
        <v>1786</v>
      </c>
      <c r="F521" s="33" t="s">
        <v>1787</v>
      </c>
      <c r="G521" s="33" t="s">
        <v>2716</v>
      </c>
      <c r="H521" s="33" t="s">
        <v>3651</v>
      </c>
      <c r="I521" s="33" t="s">
        <v>3651</v>
      </c>
      <c r="J521" s="33" t="s">
        <v>3668</v>
      </c>
      <c r="K521" s="33" t="s">
        <v>1791</v>
      </c>
      <c r="L521" s="33" t="s">
        <v>3564</v>
      </c>
      <c r="M521" s="33" t="s">
        <v>197</v>
      </c>
      <c r="N521" s="33" t="s">
        <v>3310</v>
      </c>
      <c r="O521" s="33" t="s">
        <v>2330</v>
      </c>
      <c r="P521" s="33" t="s">
        <v>2321</v>
      </c>
      <c r="Q521" s="33" t="s">
        <v>1796</v>
      </c>
    </row>
    <row r="522" spans="1:17">
      <c r="A522" s="33" t="s">
        <v>3669</v>
      </c>
      <c r="B522" s="33" t="s">
        <v>3670</v>
      </c>
      <c r="C522" s="33" t="s">
        <v>2026</v>
      </c>
      <c r="D522" s="33" t="s">
        <v>41</v>
      </c>
      <c r="E522" s="33" t="s">
        <v>1786</v>
      </c>
      <c r="F522" s="33" t="s">
        <v>2069</v>
      </c>
      <c r="G522" s="33" t="s">
        <v>3671</v>
      </c>
      <c r="H522" s="33" t="s">
        <v>3672</v>
      </c>
      <c r="I522" s="33" t="s">
        <v>3672</v>
      </c>
      <c r="J522" s="33" t="s">
        <v>3673</v>
      </c>
      <c r="K522" s="33" t="s">
        <v>1791</v>
      </c>
      <c r="L522" s="33" t="s">
        <v>3564</v>
      </c>
      <c r="M522" s="33" t="s">
        <v>3284</v>
      </c>
      <c r="N522" s="33" t="s">
        <v>3284</v>
      </c>
      <c r="O522" s="33" t="s">
        <v>3674</v>
      </c>
      <c r="P522" s="33" t="s">
        <v>2312</v>
      </c>
      <c r="Q522" s="33" t="s">
        <v>1796</v>
      </c>
    </row>
    <row r="523" spans="1:17">
      <c r="A523" s="33" t="s">
        <v>3675</v>
      </c>
      <c r="B523" s="33" t="s">
        <v>3676</v>
      </c>
      <c r="C523" s="33" t="s">
        <v>1819</v>
      </c>
      <c r="D523" s="33" t="s">
        <v>41</v>
      </c>
      <c r="E523" s="33" t="s">
        <v>1786</v>
      </c>
      <c r="F523" s="33" t="s">
        <v>1815</v>
      </c>
      <c r="G523" s="33" t="s">
        <v>1954</v>
      </c>
      <c r="H523" s="33" t="s">
        <v>3672</v>
      </c>
      <c r="I523" s="33" t="s">
        <v>3672</v>
      </c>
      <c r="J523" s="33" t="s">
        <v>3677</v>
      </c>
      <c r="K523" s="33" t="s">
        <v>1791</v>
      </c>
      <c r="L523" s="33" t="s">
        <v>3564</v>
      </c>
      <c r="M523" s="33" t="s">
        <v>3310</v>
      </c>
      <c r="N523" s="33" t="s">
        <v>1078</v>
      </c>
      <c r="O523" s="33" t="s">
        <v>1946</v>
      </c>
      <c r="P523" s="33" t="s">
        <v>1804</v>
      </c>
      <c r="Q523" s="33" t="s">
        <v>1796</v>
      </c>
    </row>
    <row r="524" spans="1:17">
      <c r="A524" s="33" t="s">
        <v>3678</v>
      </c>
      <c r="B524" s="33" t="s">
        <v>3679</v>
      </c>
      <c r="C524" s="33" t="s">
        <v>2514</v>
      </c>
      <c r="D524" s="33" t="s">
        <v>41</v>
      </c>
      <c r="E524" s="33" t="s">
        <v>1786</v>
      </c>
      <c r="F524" s="33" t="s">
        <v>1787</v>
      </c>
      <c r="G524" s="33" t="s">
        <v>3680</v>
      </c>
      <c r="H524" s="33" t="s">
        <v>3672</v>
      </c>
      <c r="I524" s="33" t="s">
        <v>3672</v>
      </c>
      <c r="J524" s="33" t="s">
        <v>3681</v>
      </c>
      <c r="K524" s="33" t="s">
        <v>1791</v>
      </c>
      <c r="L524" s="33" t="s">
        <v>3564</v>
      </c>
      <c r="M524" s="33" t="s">
        <v>61</v>
      </c>
      <c r="N524" s="33" t="s">
        <v>82</v>
      </c>
      <c r="O524" s="33" t="s">
        <v>3682</v>
      </c>
      <c r="P524" s="33" t="s">
        <v>1869</v>
      </c>
      <c r="Q524" s="33" t="s">
        <v>1796</v>
      </c>
    </row>
    <row r="525" spans="1:17">
      <c r="A525" s="33" t="s">
        <v>3683</v>
      </c>
      <c r="B525" s="33" t="s">
        <v>3684</v>
      </c>
      <c r="C525" s="33" t="s">
        <v>1891</v>
      </c>
      <c r="D525" s="33" t="s">
        <v>41</v>
      </c>
      <c r="E525" s="33" t="s">
        <v>1786</v>
      </c>
      <c r="F525" s="33" t="s">
        <v>1787</v>
      </c>
      <c r="G525" s="33" t="s">
        <v>2349</v>
      </c>
      <c r="H525" s="33" t="s">
        <v>3685</v>
      </c>
      <c r="I525" s="33" t="s">
        <v>3685</v>
      </c>
      <c r="J525" s="33" t="s">
        <v>3686</v>
      </c>
      <c r="K525" s="33" t="s">
        <v>1791</v>
      </c>
      <c r="L525" s="33" t="s">
        <v>3564</v>
      </c>
      <c r="M525" s="33" t="s">
        <v>3284</v>
      </c>
      <c r="N525" s="33" t="s">
        <v>43</v>
      </c>
      <c r="O525" s="33" t="s">
        <v>3191</v>
      </c>
      <c r="P525" s="33" t="s">
        <v>2023</v>
      </c>
      <c r="Q525" s="33" t="s">
        <v>1796</v>
      </c>
    </row>
    <row r="526" spans="1:17">
      <c r="A526" s="33" t="s">
        <v>3687</v>
      </c>
      <c r="B526" s="33" t="s">
        <v>3688</v>
      </c>
      <c r="C526" s="33" t="s">
        <v>1831</v>
      </c>
      <c r="D526" s="33" t="s">
        <v>41</v>
      </c>
      <c r="E526" s="33" t="s">
        <v>1786</v>
      </c>
      <c r="F526" s="33" t="s">
        <v>1815</v>
      </c>
      <c r="G526" s="33" t="s">
        <v>1861</v>
      </c>
      <c r="H526" s="33" t="s">
        <v>3685</v>
      </c>
      <c r="I526" s="33" t="s">
        <v>3685</v>
      </c>
      <c r="J526" s="33" t="s">
        <v>3689</v>
      </c>
      <c r="K526" s="33" t="s">
        <v>1791</v>
      </c>
      <c r="L526" s="33" t="s">
        <v>3564</v>
      </c>
      <c r="M526" s="33" t="s">
        <v>69</v>
      </c>
      <c r="N526" s="33" t="s">
        <v>3565</v>
      </c>
      <c r="O526" s="33" t="s">
        <v>1815</v>
      </c>
      <c r="P526" s="33" t="s">
        <v>1795</v>
      </c>
      <c r="Q526" s="33" t="s">
        <v>1796</v>
      </c>
    </row>
    <row r="527" spans="1:17">
      <c r="A527" s="33" t="s">
        <v>3690</v>
      </c>
      <c r="B527" s="33" t="s">
        <v>3691</v>
      </c>
      <c r="C527" s="33" t="s">
        <v>1891</v>
      </c>
      <c r="D527" s="33" t="s">
        <v>41</v>
      </c>
      <c r="E527" s="33" t="s">
        <v>1786</v>
      </c>
      <c r="F527" s="33" t="s">
        <v>1787</v>
      </c>
      <c r="G527" s="33" t="s">
        <v>2349</v>
      </c>
      <c r="H527" s="33" t="s">
        <v>3685</v>
      </c>
      <c r="I527" s="33" t="s">
        <v>3685</v>
      </c>
      <c r="J527" s="33" t="s">
        <v>3692</v>
      </c>
      <c r="K527" s="33" t="s">
        <v>1791</v>
      </c>
      <c r="L527" s="33" t="s">
        <v>3564</v>
      </c>
      <c r="M527" s="33" t="s">
        <v>3310</v>
      </c>
      <c r="N527" s="33" t="s">
        <v>43</v>
      </c>
      <c r="O527" s="33" t="s">
        <v>1951</v>
      </c>
      <c r="P527" s="33" t="s">
        <v>2023</v>
      </c>
      <c r="Q527" s="33" t="s">
        <v>1796</v>
      </c>
    </row>
    <row r="528" spans="1:17" hidden="1">
      <c r="A528" s="33" t="s">
        <v>3693</v>
      </c>
      <c r="B528" s="33" t="s">
        <v>3694</v>
      </c>
      <c r="C528" s="33" t="s">
        <v>1891</v>
      </c>
      <c r="D528" s="33" t="s">
        <v>41</v>
      </c>
      <c r="E528" s="33" t="s">
        <v>1836</v>
      </c>
      <c r="F528" s="33" t="s">
        <v>1787</v>
      </c>
      <c r="G528" s="33" t="s">
        <v>2349</v>
      </c>
      <c r="H528" s="33" t="s">
        <v>3685</v>
      </c>
      <c r="I528" s="33" t="s">
        <v>3685</v>
      </c>
      <c r="J528" s="33" t="s">
        <v>3695</v>
      </c>
      <c r="K528" s="33" t="s">
        <v>1791</v>
      </c>
      <c r="L528" s="33" t="s">
        <v>3696</v>
      </c>
      <c r="M528" s="33" t="s">
        <v>69</v>
      </c>
      <c r="N528" s="33" t="s">
        <v>43</v>
      </c>
      <c r="O528" s="33" t="s">
        <v>3553</v>
      </c>
      <c r="P528" s="33" t="s">
        <v>2023</v>
      </c>
      <c r="Q528" s="33" t="s">
        <v>1796</v>
      </c>
    </row>
    <row r="529" spans="1:17">
      <c r="A529" s="33" t="s">
        <v>3697</v>
      </c>
      <c r="B529" s="33" t="s">
        <v>3698</v>
      </c>
      <c r="C529" s="33" t="s">
        <v>1891</v>
      </c>
      <c r="D529" s="33" t="s">
        <v>41</v>
      </c>
      <c r="E529" s="33" t="s">
        <v>1786</v>
      </c>
      <c r="F529" s="33" t="s">
        <v>1787</v>
      </c>
      <c r="G529" s="33" t="s">
        <v>2349</v>
      </c>
      <c r="H529" s="33" t="s">
        <v>3685</v>
      </c>
      <c r="I529" s="33" t="s">
        <v>3685</v>
      </c>
      <c r="J529" s="33" t="s">
        <v>3699</v>
      </c>
      <c r="K529" s="33" t="s">
        <v>1791</v>
      </c>
      <c r="L529" s="33" t="s">
        <v>3564</v>
      </c>
      <c r="M529" s="33" t="s">
        <v>3310</v>
      </c>
      <c r="N529" s="33" t="s">
        <v>43</v>
      </c>
      <c r="O529" s="33" t="s">
        <v>1951</v>
      </c>
      <c r="P529" s="33" t="s">
        <v>2023</v>
      </c>
      <c r="Q529" s="33" t="s">
        <v>1796</v>
      </c>
    </row>
    <row r="530" spans="1:17">
      <c r="A530" s="33" t="s">
        <v>3700</v>
      </c>
      <c r="B530" s="33" t="s">
        <v>3701</v>
      </c>
      <c r="C530" s="33" t="s">
        <v>1891</v>
      </c>
      <c r="D530" s="33" t="s">
        <v>41</v>
      </c>
      <c r="E530" s="33" t="s">
        <v>1786</v>
      </c>
      <c r="F530" s="33" t="s">
        <v>1787</v>
      </c>
      <c r="G530" s="33" t="s">
        <v>2349</v>
      </c>
      <c r="H530" s="33" t="s">
        <v>3685</v>
      </c>
      <c r="I530" s="33" t="s">
        <v>3685</v>
      </c>
      <c r="J530" s="33" t="s">
        <v>3702</v>
      </c>
      <c r="K530" s="33" t="s">
        <v>1791</v>
      </c>
      <c r="L530" s="33" t="s">
        <v>3564</v>
      </c>
      <c r="M530" s="33" t="s">
        <v>3310</v>
      </c>
      <c r="N530" s="33" t="s">
        <v>43</v>
      </c>
      <c r="O530" s="33" t="s">
        <v>1951</v>
      </c>
      <c r="P530" s="33" t="s">
        <v>2023</v>
      </c>
      <c r="Q530" s="33" t="s">
        <v>1796</v>
      </c>
    </row>
    <row r="531" spans="1:17">
      <c r="A531" s="33" t="s">
        <v>3703</v>
      </c>
      <c r="B531" s="33" t="s">
        <v>3704</v>
      </c>
      <c r="C531" s="33" t="s">
        <v>1891</v>
      </c>
      <c r="D531" s="33" t="s">
        <v>41</v>
      </c>
      <c r="E531" s="33" t="s">
        <v>1786</v>
      </c>
      <c r="F531" s="33" t="s">
        <v>1787</v>
      </c>
      <c r="G531" s="33" t="s">
        <v>2349</v>
      </c>
      <c r="H531" s="33" t="s">
        <v>3685</v>
      </c>
      <c r="I531" s="33" t="s">
        <v>3685</v>
      </c>
      <c r="J531" s="33" t="s">
        <v>3705</v>
      </c>
      <c r="K531" s="33" t="s">
        <v>1791</v>
      </c>
      <c r="L531" s="33" t="s">
        <v>945</v>
      </c>
      <c r="M531" s="33" t="s">
        <v>195</v>
      </c>
      <c r="N531" s="33" t="s">
        <v>43</v>
      </c>
      <c r="O531" s="33" t="s">
        <v>3045</v>
      </c>
      <c r="P531" s="33" t="s">
        <v>1795</v>
      </c>
      <c r="Q531" s="33" t="s">
        <v>1796</v>
      </c>
    </row>
    <row r="532" spans="1:17">
      <c r="A532" s="33" t="s">
        <v>3703</v>
      </c>
      <c r="B532" s="33" t="s">
        <v>3706</v>
      </c>
      <c r="C532" s="33" t="s">
        <v>1891</v>
      </c>
      <c r="D532" s="33" t="s">
        <v>41</v>
      </c>
      <c r="E532" s="33" t="s">
        <v>1786</v>
      </c>
      <c r="F532" s="33" t="s">
        <v>1787</v>
      </c>
      <c r="G532" s="33" t="s">
        <v>2349</v>
      </c>
      <c r="H532" s="33" t="s">
        <v>3685</v>
      </c>
      <c r="I532" s="33" t="s">
        <v>3685</v>
      </c>
      <c r="J532" s="33" t="s">
        <v>3707</v>
      </c>
      <c r="K532" s="33" t="s">
        <v>1791</v>
      </c>
      <c r="L532" s="33" t="s">
        <v>945</v>
      </c>
      <c r="M532" s="33" t="s">
        <v>1402</v>
      </c>
      <c r="N532" s="33" t="s">
        <v>43</v>
      </c>
      <c r="O532" s="33" t="s">
        <v>3708</v>
      </c>
      <c r="P532" s="33" t="s">
        <v>1795</v>
      </c>
      <c r="Q532" s="33" t="s">
        <v>1796</v>
      </c>
    </row>
    <row r="533" spans="1:17">
      <c r="A533" s="33" t="s">
        <v>3709</v>
      </c>
      <c r="B533" s="33" t="s">
        <v>3710</v>
      </c>
      <c r="C533" s="33" t="s">
        <v>1891</v>
      </c>
      <c r="D533" s="33" t="s">
        <v>41</v>
      </c>
      <c r="E533" s="33" t="s">
        <v>1786</v>
      </c>
      <c r="F533" s="33" t="s">
        <v>1787</v>
      </c>
      <c r="G533" s="33" t="s">
        <v>2349</v>
      </c>
      <c r="H533" s="33" t="s">
        <v>3685</v>
      </c>
      <c r="I533" s="33" t="s">
        <v>3685</v>
      </c>
      <c r="J533" s="33" t="s">
        <v>3711</v>
      </c>
      <c r="K533" s="33" t="s">
        <v>1791</v>
      </c>
      <c r="L533" s="33" t="s">
        <v>945</v>
      </c>
      <c r="M533" s="33" t="s">
        <v>80</v>
      </c>
      <c r="N533" s="33" t="s">
        <v>43</v>
      </c>
      <c r="O533" s="33" t="s">
        <v>2613</v>
      </c>
      <c r="P533" s="33" t="s">
        <v>1795</v>
      </c>
      <c r="Q533" s="33" t="s">
        <v>1796</v>
      </c>
    </row>
    <row r="534" spans="1:17">
      <c r="A534" s="33" t="s">
        <v>3712</v>
      </c>
      <c r="B534" s="33" t="s">
        <v>3713</v>
      </c>
      <c r="C534" s="33" t="s">
        <v>1891</v>
      </c>
      <c r="D534" s="33" t="s">
        <v>41</v>
      </c>
      <c r="E534" s="33" t="s">
        <v>1786</v>
      </c>
      <c r="F534" s="33" t="s">
        <v>1787</v>
      </c>
      <c r="G534" s="33" t="s">
        <v>2349</v>
      </c>
      <c r="H534" s="33" t="s">
        <v>3685</v>
      </c>
      <c r="I534" s="33" t="s">
        <v>3685</v>
      </c>
      <c r="J534" s="33" t="s">
        <v>3714</v>
      </c>
      <c r="K534" s="33" t="s">
        <v>1791</v>
      </c>
      <c r="L534" s="33" t="s">
        <v>945</v>
      </c>
      <c r="M534" s="33" t="s">
        <v>69</v>
      </c>
      <c r="N534" s="33" t="s">
        <v>43</v>
      </c>
      <c r="O534" s="33" t="s">
        <v>2671</v>
      </c>
      <c r="P534" s="33" t="s">
        <v>1795</v>
      </c>
      <c r="Q534" s="33" t="s">
        <v>1796</v>
      </c>
    </row>
    <row r="535" spans="1:17">
      <c r="A535" s="33" t="s">
        <v>3715</v>
      </c>
      <c r="B535" s="33" t="s">
        <v>3716</v>
      </c>
      <c r="C535" s="33" t="s">
        <v>1891</v>
      </c>
      <c r="D535" s="33" t="s">
        <v>41</v>
      </c>
      <c r="E535" s="33" t="s">
        <v>1786</v>
      </c>
      <c r="F535" s="33" t="s">
        <v>1787</v>
      </c>
      <c r="G535" s="33" t="s">
        <v>2349</v>
      </c>
      <c r="H535" s="33" t="s">
        <v>2647</v>
      </c>
      <c r="I535" s="33" t="s">
        <v>2647</v>
      </c>
      <c r="J535" s="33" t="s">
        <v>3717</v>
      </c>
      <c r="K535" s="33" t="s">
        <v>1791</v>
      </c>
      <c r="L535" s="33" t="s">
        <v>945</v>
      </c>
      <c r="M535" s="33" t="s">
        <v>1402</v>
      </c>
      <c r="N535" s="33" t="s">
        <v>43</v>
      </c>
      <c r="O535" s="33" t="s">
        <v>3718</v>
      </c>
      <c r="P535" s="33" t="s">
        <v>1795</v>
      </c>
      <c r="Q535" s="33" t="s">
        <v>1796</v>
      </c>
    </row>
    <row r="536" spans="1:17">
      <c r="A536" s="33" t="s">
        <v>3715</v>
      </c>
      <c r="B536" s="33" t="s">
        <v>3719</v>
      </c>
      <c r="C536" s="33" t="s">
        <v>1891</v>
      </c>
      <c r="D536" s="33" t="s">
        <v>41</v>
      </c>
      <c r="E536" s="33" t="s">
        <v>1786</v>
      </c>
      <c r="F536" s="33" t="s">
        <v>1787</v>
      </c>
      <c r="G536" s="33" t="s">
        <v>2349</v>
      </c>
      <c r="H536" s="33" t="s">
        <v>2647</v>
      </c>
      <c r="I536" s="33" t="s">
        <v>2647</v>
      </c>
      <c r="J536" s="33" t="s">
        <v>3720</v>
      </c>
      <c r="K536" s="33" t="s">
        <v>1791</v>
      </c>
      <c r="L536" s="33" t="s">
        <v>945</v>
      </c>
      <c r="M536" s="33" t="s">
        <v>195</v>
      </c>
      <c r="N536" s="33" t="s">
        <v>43</v>
      </c>
      <c r="O536" s="33" t="s">
        <v>3045</v>
      </c>
      <c r="P536" s="33" t="s">
        <v>1795</v>
      </c>
      <c r="Q536" s="33" t="s">
        <v>1796</v>
      </c>
    </row>
    <row r="537" spans="1:17">
      <c r="A537" s="33" t="s">
        <v>3721</v>
      </c>
      <c r="B537" s="33" t="s">
        <v>3722</v>
      </c>
      <c r="C537" s="33" t="s">
        <v>1891</v>
      </c>
      <c r="D537" s="33" t="s">
        <v>41</v>
      </c>
      <c r="E537" s="33" t="s">
        <v>1786</v>
      </c>
      <c r="F537" s="33" t="s">
        <v>1787</v>
      </c>
      <c r="G537" s="33" t="s">
        <v>2349</v>
      </c>
      <c r="H537" s="33" t="s">
        <v>2647</v>
      </c>
      <c r="I537" s="33" t="s">
        <v>2647</v>
      </c>
      <c r="J537" s="33" t="s">
        <v>3723</v>
      </c>
      <c r="K537" s="33" t="s">
        <v>1791</v>
      </c>
      <c r="L537" s="33" t="s">
        <v>1152</v>
      </c>
      <c r="M537" s="33" t="s">
        <v>1402</v>
      </c>
      <c r="N537" s="33" t="s">
        <v>43</v>
      </c>
      <c r="O537" s="33" t="s">
        <v>3718</v>
      </c>
      <c r="P537" s="33" t="s">
        <v>1795</v>
      </c>
      <c r="Q537" s="33" t="s">
        <v>1796</v>
      </c>
    </row>
    <row r="538" spans="1:17">
      <c r="A538" s="33" t="s">
        <v>3721</v>
      </c>
      <c r="B538" s="33" t="s">
        <v>3724</v>
      </c>
      <c r="C538" s="33" t="s">
        <v>1891</v>
      </c>
      <c r="D538" s="33" t="s">
        <v>41</v>
      </c>
      <c r="E538" s="33" t="s">
        <v>1786</v>
      </c>
      <c r="F538" s="33" t="s">
        <v>1787</v>
      </c>
      <c r="G538" s="33" t="s">
        <v>2349</v>
      </c>
      <c r="H538" s="33" t="s">
        <v>2647</v>
      </c>
      <c r="I538" s="33" t="s">
        <v>2647</v>
      </c>
      <c r="J538" s="33" t="s">
        <v>3725</v>
      </c>
      <c r="K538" s="33" t="s">
        <v>1791</v>
      </c>
      <c r="L538" s="33" t="s">
        <v>1152</v>
      </c>
      <c r="M538" s="33" t="s">
        <v>195</v>
      </c>
      <c r="N538" s="33" t="s">
        <v>43</v>
      </c>
      <c r="O538" s="33" t="s">
        <v>3045</v>
      </c>
      <c r="P538" s="33" t="s">
        <v>1795</v>
      </c>
      <c r="Q538" s="33" t="s">
        <v>1796</v>
      </c>
    </row>
    <row r="539" spans="1:17">
      <c r="A539" s="33" t="s">
        <v>3726</v>
      </c>
      <c r="B539" s="33" t="s">
        <v>3727</v>
      </c>
      <c r="C539" s="33" t="s">
        <v>1891</v>
      </c>
      <c r="D539" s="33" t="s">
        <v>41</v>
      </c>
      <c r="E539" s="33" t="s">
        <v>1786</v>
      </c>
      <c r="F539" s="33" t="s">
        <v>1787</v>
      </c>
      <c r="G539" s="33" t="s">
        <v>2349</v>
      </c>
      <c r="H539" s="33" t="s">
        <v>2647</v>
      </c>
      <c r="I539" s="33" t="s">
        <v>2647</v>
      </c>
      <c r="J539" s="33" t="s">
        <v>3728</v>
      </c>
      <c r="K539" s="33" t="s">
        <v>1791</v>
      </c>
      <c r="L539" s="33" t="s">
        <v>1152</v>
      </c>
      <c r="M539" s="33" t="s">
        <v>1402</v>
      </c>
      <c r="N539" s="33" t="s">
        <v>43</v>
      </c>
      <c r="O539" s="33" t="s">
        <v>3729</v>
      </c>
      <c r="P539" s="33" t="s">
        <v>1795</v>
      </c>
      <c r="Q539" s="33" t="s">
        <v>1796</v>
      </c>
    </row>
    <row r="540" spans="1:17">
      <c r="A540" s="33" t="s">
        <v>3730</v>
      </c>
      <c r="B540" s="33" t="s">
        <v>3731</v>
      </c>
      <c r="C540" s="33" t="s">
        <v>1891</v>
      </c>
      <c r="D540" s="33" t="s">
        <v>41</v>
      </c>
      <c r="E540" s="33" t="s">
        <v>1786</v>
      </c>
      <c r="F540" s="33" t="s">
        <v>1787</v>
      </c>
      <c r="G540" s="33" t="s">
        <v>2349</v>
      </c>
      <c r="H540" s="33" t="s">
        <v>2647</v>
      </c>
      <c r="I540" s="33" t="s">
        <v>2647</v>
      </c>
      <c r="J540" s="33" t="s">
        <v>3732</v>
      </c>
      <c r="K540" s="33" t="s">
        <v>1791</v>
      </c>
      <c r="L540" s="33" t="s">
        <v>1152</v>
      </c>
      <c r="M540" s="33" t="s">
        <v>195</v>
      </c>
      <c r="N540" s="33" t="s">
        <v>43</v>
      </c>
      <c r="O540" s="33" t="s">
        <v>3045</v>
      </c>
      <c r="P540" s="33" t="s">
        <v>1795</v>
      </c>
      <c r="Q540" s="33" t="s">
        <v>1796</v>
      </c>
    </row>
    <row r="541" spans="1:17">
      <c r="A541" s="33" t="s">
        <v>3733</v>
      </c>
      <c r="B541" s="33" t="s">
        <v>3734</v>
      </c>
      <c r="C541" s="33" t="s">
        <v>2514</v>
      </c>
      <c r="D541" s="33" t="s">
        <v>41</v>
      </c>
      <c r="E541" s="33" t="s">
        <v>1786</v>
      </c>
      <c r="F541" s="33" t="s">
        <v>1815</v>
      </c>
      <c r="G541" s="33" t="s">
        <v>3735</v>
      </c>
      <c r="H541" s="33" t="s">
        <v>2647</v>
      </c>
      <c r="I541" s="33" t="s">
        <v>2647</v>
      </c>
      <c r="J541" s="33" t="s">
        <v>3736</v>
      </c>
      <c r="K541" s="33" t="s">
        <v>1791</v>
      </c>
      <c r="L541" s="33" t="s">
        <v>3564</v>
      </c>
      <c r="M541" s="33" t="s">
        <v>970</v>
      </c>
      <c r="N541" s="33" t="s">
        <v>82</v>
      </c>
      <c r="O541" s="33" t="s">
        <v>3737</v>
      </c>
      <c r="P541" s="33" t="s">
        <v>1795</v>
      </c>
      <c r="Q541" s="33" t="s">
        <v>1796</v>
      </c>
    </row>
    <row r="542" spans="1:17">
      <c r="A542" s="33" t="s">
        <v>3738</v>
      </c>
      <c r="B542" s="33" t="s">
        <v>3739</v>
      </c>
      <c r="C542" s="33" t="s">
        <v>1891</v>
      </c>
      <c r="D542" s="33" t="s">
        <v>41</v>
      </c>
      <c r="E542" s="33" t="s">
        <v>1786</v>
      </c>
      <c r="F542" s="33" t="s">
        <v>1787</v>
      </c>
      <c r="G542" s="33" t="s">
        <v>2349</v>
      </c>
      <c r="H542" s="33" t="s">
        <v>2647</v>
      </c>
      <c r="I542" s="33" t="s">
        <v>2647</v>
      </c>
      <c r="J542" s="33" t="s">
        <v>3740</v>
      </c>
      <c r="K542" s="33" t="s">
        <v>1791</v>
      </c>
      <c r="L542" s="33" t="s">
        <v>1152</v>
      </c>
      <c r="M542" s="33" t="s">
        <v>1402</v>
      </c>
      <c r="N542" s="33" t="s">
        <v>43</v>
      </c>
      <c r="O542" s="33" t="s">
        <v>3718</v>
      </c>
      <c r="P542" s="33" t="s">
        <v>1795</v>
      </c>
      <c r="Q542" s="33" t="s">
        <v>1796</v>
      </c>
    </row>
    <row r="543" spans="1:17">
      <c r="A543" s="33" t="s">
        <v>3741</v>
      </c>
      <c r="B543" s="33" t="s">
        <v>3742</v>
      </c>
      <c r="C543" s="33" t="s">
        <v>1891</v>
      </c>
      <c r="D543" s="33" t="s">
        <v>41</v>
      </c>
      <c r="E543" s="33" t="s">
        <v>1786</v>
      </c>
      <c r="F543" s="33" t="s">
        <v>1787</v>
      </c>
      <c r="G543" s="33" t="s">
        <v>2349</v>
      </c>
      <c r="H543" s="33" t="s">
        <v>2647</v>
      </c>
      <c r="I543" s="33" t="s">
        <v>2647</v>
      </c>
      <c r="J543" s="33" t="s">
        <v>3743</v>
      </c>
      <c r="K543" s="33" t="s">
        <v>1791</v>
      </c>
      <c r="L543" s="33" t="s">
        <v>1152</v>
      </c>
      <c r="M543" s="33" t="s">
        <v>195</v>
      </c>
      <c r="N543" s="33" t="s">
        <v>43</v>
      </c>
      <c r="O543" s="33" t="s">
        <v>3045</v>
      </c>
      <c r="P543" s="33" t="s">
        <v>1795</v>
      </c>
      <c r="Q543" s="33" t="s">
        <v>1796</v>
      </c>
    </row>
    <row r="544" spans="1:17">
      <c r="A544" s="33" t="s">
        <v>3744</v>
      </c>
      <c r="B544" s="33" t="s">
        <v>3745</v>
      </c>
      <c r="C544" s="33" t="s">
        <v>1819</v>
      </c>
      <c r="D544" s="33" t="s">
        <v>41</v>
      </c>
      <c r="E544" s="33" t="s">
        <v>1786</v>
      </c>
      <c r="F544" s="33" t="s">
        <v>1787</v>
      </c>
      <c r="G544" s="33" t="s">
        <v>1986</v>
      </c>
      <c r="H544" s="33" t="s">
        <v>2647</v>
      </c>
      <c r="I544" s="33" t="s">
        <v>2647</v>
      </c>
      <c r="J544" s="33" t="s">
        <v>3746</v>
      </c>
      <c r="K544" s="33" t="s">
        <v>1791</v>
      </c>
      <c r="L544" s="33" t="s">
        <v>3564</v>
      </c>
      <c r="M544" s="33" t="s">
        <v>197</v>
      </c>
      <c r="N544" s="33" t="s">
        <v>1078</v>
      </c>
      <c r="O544" s="33" t="s">
        <v>190</v>
      </c>
      <c r="P544" s="33" t="s">
        <v>1804</v>
      </c>
      <c r="Q544" s="33" t="s">
        <v>1796</v>
      </c>
    </row>
    <row r="545" spans="1:17">
      <c r="A545" s="33" t="s">
        <v>3744</v>
      </c>
      <c r="B545" s="33" t="s">
        <v>3747</v>
      </c>
      <c r="C545" s="33" t="s">
        <v>1819</v>
      </c>
      <c r="D545" s="33" t="s">
        <v>41</v>
      </c>
      <c r="E545" s="33" t="s">
        <v>1786</v>
      </c>
      <c r="F545" s="33" t="s">
        <v>1787</v>
      </c>
      <c r="G545" s="33" t="s">
        <v>1986</v>
      </c>
      <c r="H545" s="33" t="s">
        <v>2647</v>
      </c>
      <c r="I545" s="33" t="s">
        <v>2647</v>
      </c>
      <c r="J545" s="33" t="s">
        <v>3748</v>
      </c>
      <c r="K545" s="33" t="s">
        <v>1791</v>
      </c>
      <c r="L545" s="33" t="s">
        <v>3564</v>
      </c>
      <c r="M545" s="33" t="s">
        <v>1402</v>
      </c>
      <c r="N545" s="33" t="s">
        <v>1078</v>
      </c>
      <c r="O545" s="33" t="s">
        <v>3749</v>
      </c>
      <c r="P545" s="33" t="s">
        <v>1804</v>
      </c>
      <c r="Q545" s="33" t="s">
        <v>1796</v>
      </c>
    </row>
    <row r="546" spans="1:17">
      <c r="A546" s="33" t="s">
        <v>3750</v>
      </c>
      <c r="B546" s="33" t="s">
        <v>3751</v>
      </c>
      <c r="C546" s="33" t="s">
        <v>1819</v>
      </c>
      <c r="D546" s="33" t="s">
        <v>41</v>
      </c>
      <c r="E546" s="33" t="s">
        <v>1786</v>
      </c>
      <c r="F546" s="33" t="s">
        <v>1787</v>
      </c>
      <c r="G546" s="33" t="s">
        <v>1986</v>
      </c>
      <c r="H546" s="33" t="s">
        <v>2647</v>
      </c>
      <c r="I546" s="33" t="s">
        <v>2647</v>
      </c>
      <c r="J546" s="33" t="s">
        <v>3752</v>
      </c>
      <c r="K546" s="33" t="s">
        <v>1791</v>
      </c>
      <c r="L546" s="33" t="s">
        <v>3564</v>
      </c>
      <c r="M546" s="33" t="s">
        <v>82</v>
      </c>
      <c r="N546" s="33" t="s">
        <v>1078</v>
      </c>
      <c r="O546" s="33" t="s">
        <v>190</v>
      </c>
      <c r="P546" s="33" t="s">
        <v>1804</v>
      </c>
      <c r="Q546" s="33" t="s">
        <v>1796</v>
      </c>
    </row>
    <row r="547" spans="1:17">
      <c r="A547" s="33" t="s">
        <v>3744</v>
      </c>
      <c r="B547" s="33" t="s">
        <v>3753</v>
      </c>
      <c r="C547" s="33" t="s">
        <v>1819</v>
      </c>
      <c r="D547" s="33" t="s">
        <v>41</v>
      </c>
      <c r="E547" s="33" t="s">
        <v>1786</v>
      </c>
      <c r="F547" s="33" t="s">
        <v>1787</v>
      </c>
      <c r="G547" s="33" t="s">
        <v>1986</v>
      </c>
      <c r="H547" s="33" t="s">
        <v>2647</v>
      </c>
      <c r="I547" s="33" t="s">
        <v>2647</v>
      </c>
      <c r="J547" s="33" t="s">
        <v>3754</v>
      </c>
      <c r="K547" s="33" t="s">
        <v>1791</v>
      </c>
      <c r="L547" s="33" t="s">
        <v>3564</v>
      </c>
      <c r="M547" s="33" t="s">
        <v>197</v>
      </c>
      <c r="N547" s="33" t="s">
        <v>1078</v>
      </c>
      <c r="O547" s="33" t="s">
        <v>190</v>
      </c>
      <c r="P547" s="33" t="s">
        <v>1804</v>
      </c>
      <c r="Q547" s="33" t="s">
        <v>1796</v>
      </c>
    </row>
    <row r="548" spans="1:17">
      <c r="A548" s="33" t="s">
        <v>3222</v>
      </c>
      <c r="B548" s="33" t="s">
        <v>3755</v>
      </c>
      <c r="C548" s="33" t="s">
        <v>1891</v>
      </c>
      <c r="D548" s="33" t="s">
        <v>41</v>
      </c>
      <c r="E548" s="33" t="s">
        <v>1786</v>
      </c>
      <c r="F548" s="33" t="s">
        <v>1787</v>
      </c>
      <c r="G548" s="33" t="s">
        <v>2349</v>
      </c>
      <c r="H548" s="33" t="s">
        <v>2647</v>
      </c>
      <c r="I548" s="33" t="s">
        <v>2647</v>
      </c>
      <c r="J548" s="33" t="s">
        <v>3756</v>
      </c>
      <c r="K548" s="33" t="s">
        <v>1791</v>
      </c>
      <c r="L548" s="33" t="s">
        <v>1152</v>
      </c>
      <c r="M548" s="33" t="s">
        <v>197</v>
      </c>
      <c r="N548" s="33" t="s">
        <v>43</v>
      </c>
      <c r="O548" s="33" t="s">
        <v>1787</v>
      </c>
      <c r="P548" s="33" t="s">
        <v>1795</v>
      </c>
      <c r="Q548" s="33" t="s">
        <v>1796</v>
      </c>
    </row>
    <row r="549" spans="1:17">
      <c r="A549" s="33" t="s">
        <v>3222</v>
      </c>
      <c r="B549" s="33" t="s">
        <v>3757</v>
      </c>
      <c r="C549" s="33" t="s">
        <v>1891</v>
      </c>
      <c r="D549" s="33" t="s">
        <v>41</v>
      </c>
      <c r="E549" s="33" t="s">
        <v>1786</v>
      </c>
      <c r="F549" s="33" t="s">
        <v>1787</v>
      </c>
      <c r="G549" s="33" t="s">
        <v>2349</v>
      </c>
      <c r="H549" s="33" t="s">
        <v>2647</v>
      </c>
      <c r="I549" s="33" t="s">
        <v>2647</v>
      </c>
      <c r="J549" s="33" t="s">
        <v>3758</v>
      </c>
      <c r="K549" s="33" t="s">
        <v>1791</v>
      </c>
      <c r="L549" s="33" t="s">
        <v>1152</v>
      </c>
      <c r="M549" s="33" t="s">
        <v>1083</v>
      </c>
      <c r="N549" s="33" t="s">
        <v>43</v>
      </c>
      <c r="O549" s="33" t="s">
        <v>1787</v>
      </c>
      <c r="P549" s="33" t="s">
        <v>1795</v>
      </c>
      <c r="Q549" s="33" t="s">
        <v>1796</v>
      </c>
    </row>
    <row r="550" spans="1:17">
      <c r="A550" s="33" t="s">
        <v>3222</v>
      </c>
      <c r="B550" s="33" t="s">
        <v>3759</v>
      </c>
      <c r="C550" s="33" t="s">
        <v>1891</v>
      </c>
      <c r="D550" s="33" t="s">
        <v>41</v>
      </c>
      <c r="E550" s="33" t="s">
        <v>1786</v>
      </c>
      <c r="F550" s="33" t="s">
        <v>1787</v>
      </c>
      <c r="G550" s="33" t="s">
        <v>2349</v>
      </c>
      <c r="H550" s="33" t="s">
        <v>2647</v>
      </c>
      <c r="I550" s="33" t="s">
        <v>2647</v>
      </c>
      <c r="J550" s="33" t="s">
        <v>3760</v>
      </c>
      <c r="K550" s="33" t="s">
        <v>1791</v>
      </c>
      <c r="L550" s="33" t="s">
        <v>1152</v>
      </c>
      <c r="M550" s="33" t="s">
        <v>3310</v>
      </c>
      <c r="N550" s="33" t="s">
        <v>43</v>
      </c>
      <c r="O550" s="33" t="s">
        <v>1787</v>
      </c>
      <c r="P550" s="33" t="s">
        <v>1795</v>
      </c>
      <c r="Q550" s="33" t="s">
        <v>1796</v>
      </c>
    </row>
    <row r="551" spans="1:17">
      <c r="A551" s="33" t="s">
        <v>3761</v>
      </c>
      <c r="B551" s="33" t="s">
        <v>3762</v>
      </c>
      <c r="C551" s="33" t="s">
        <v>1891</v>
      </c>
      <c r="D551" s="33" t="s">
        <v>41</v>
      </c>
      <c r="E551" s="33" t="s">
        <v>1786</v>
      </c>
      <c r="F551" s="33" t="s">
        <v>1787</v>
      </c>
      <c r="G551" s="33" t="s">
        <v>2349</v>
      </c>
      <c r="H551" s="33" t="s">
        <v>2647</v>
      </c>
      <c r="I551" s="33" t="s">
        <v>2647</v>
      </c>
      <c r="J551" s="33" t="s">
        <v>3763</v>
      </c>
      <c r="K551" s="33" t="s">
        <v>1791</v>
      </c>
      <c r="L551" s="33" t="s">
        <v>1152</v>
      </c>
      <c r="M551" s="33" t="s">
        <v>194</v>
      </c>
      <c r="N551" s="33" t="s">
        <v>43</v>
      </c>
      <c r="O551" s="33" t="s">
        <v>1787</v>
      </c>
      <c r="P551" s="33" t="s">
        <v>1795</v>
      </c>
      <c r="Q551" s="33" t="s">
        <v>1796</v>
      </c>
    </row>
    <row r="552" spans="1:17">
      <c r="A552" s="33" t="s">
        <v>3761</v>
      </c>
      <c r="B552" s="33" t="s">
        <v>3764</v>
      </c>
      <c r="C552" s="33" t="s">
        <v>1891</v>
      </c>
      <c r="D552" s="33" t="s">
        <v>41</v>
      </c>
      <c r="E552" s="33" t="s">
        <v>1786</v>
      </c>
      <c r="F552" s="33" t="s">
        <v>1787</v>
      </c>
      <c r="G552" s="33" t="s">
        <v>2349</v>
      </c>
      <c r="H552" s="33" t="s">
        <v>2647</v>
      </c>
      <c r="I552" s="33" t="s">
        <v>2647</v>
      </c>
      <c r="J552" s="33" t="s">
        <v>3765</v>
      </c>
      <c r="K552" s="33" t="s">
        <v>1791</v>
      </c>
      <c r="L552" s="33" t="s">
        <v>1152</v>
      </c>
      <c r="M552" s="33" t="s">
        <v>3284</v>
      </c>
      <c r="N552" s="33" t="s">
        <v>43</v>
      </c>
      <c r="O552" s="33" t="s">
        <v>1787</v>
      </c>
      <c r="P552" s="33" t="s">
        <v>1795</v>
      </c>
      <c r="Q552" s="33" t="s">
        <v>1796</v>
      </c>
    </row>
    <row r="553" spans="1:17">
      <c r="A553" s="33" t="s">
        <v>3222</v>
      </c>
      <c r="B553" s="33" t="s">
        <v>3766</v>
      </c>
      <c r="C553" s="33" t="s">
        <v>1891</v>
      </c>
      <c r="D553" s="33" t="s">
        <v>41</v>
      </c>
      <c r="E553" s="33" t="s">
        <v>1786</v>
      </c>
      <c r="F553" s="33" t="s">
        <v>1787</v>
      </c>
      <c r="G553" s="33" t="s">
        <v>2349</v>
      </c>
      <c r="H553" s="33" t="s">
        <v>2647</v>
      </c>
      <c r="I553" s="33" t="s">
        <v>2647</v>
      </c>
      <c r="J553" s="33" t="s">
        <v>3767</v>
      </c>
      <c r="K553" s="33" t="s">
        <v>1791</v>
      </c>
      <c r="L553" s="33" t="s">
        <v>3564</v>
      </c>
      <c r="M553" s="33" t="s">
        <v>196</v>
      </c>
      <c r="N553" s="33" t="s">
        <v>43</v>
      </c>
      <c r="O553" s="33" t="s">
        <v>1787</v>
      </c>
      <c r="P553" s="33" t="s">
        <v>1795</v>
      </c>
      <c r="Q553" s="33" t="s">
        <v>1796</v>
      </c>
    </row>
    <row r="554" spans="1:17">
      <c r="A554" s="33" t="s">
        <v>3744</v>
      </c>
      <c r="B554" s="33" t="s">
        <v>3768</v>
      </c>
      <c r="C554" s="33" t="s">
        <v>1819</v>
      </c>
      <c r="D554" s="33" t="s">
        <v>41</v>
      </c>
      <c r="E554" s="33" t="s">
        <v>1786</v>
      </c>
      <c r="F554" s="33" t="s">
        <v>1787</v>
      </c>
      <c r="G554" s="33" t="s">
        <v>1986</v>
      </c>
      <c r="H554" s="33" t="s">
        <v>2647</v>
      </c>
      <c r="I554" s="33" t="s">
        <v>2647</v>
      </c>
      <c r="J554" s="33" t="s">
        <v>3769</v>
      </c>
      <c r="K554" s="33" t="s">
        <v>1791</v>
      </c>
      <c r="L554" s="33" t="s">
        <v>3564</v>
      </c>
      <c r="M554" s="33" t="s">
        <v>1083</v>
      </c>
      <c r="N554" s="33" t="s">
        <v>1078</v>
      </c>
      <c r="O554" s="33" t="s">
        <v>190</v>
      </c>
      <c r="P554" s="33" t="s">
        <v>1804</v>
      </c>
      <c r="Q554" s="33" t="s">
        <v>1796</v>
      </c>
    </row>
    <row r="555" spans="1:17">
      <c r="A555" s="33" t="s">
        <v>3744</v>
      </c>
      <c r="B555" s="33" t="s">
        <v>3770</v>
      </c>
      <c r="C555" s="33" t="s">
        <v>1819</v>
      </c>
      <c r="D555" s="33" t="s">
        <v>41</v>
      </c>
      <c r="E555" s="33" t="s">
        <v>1786</v>
      </c>
      <c r="F555" s="33" t="s">
        <v>1787</v>
      </c>
      <c r="G555" s="33" t="s">
        <v>1986</v>
      </c>
      <c r="H555" s="33" t="s">
        <v>2647</v>
      </c>
      <c r="I555" s="33" t="s">
        <v>2647</v>
      </c>
      <c r="J555" s="33" t="s">
        <v>3771</v>
      </c>
      <c r="K555" s="33" t="s">
        <v>1791</v>
      </c>
      <c r="L555" s="33" t="s">
        <v>3564</v>
      </c>
      <c r="M555" s="33" t="s">
        <v>194</v>
      </c>
      <c r="N555" s="33" t="s">
        <v>1078</v>
      </c>
      <c r="O555" s="33" t="s">
        <v>190</v>
      </c>
      <c r="P555" s="33" t="s">
        <v>1804</v>
      </c>
      <c r="Q555" s="33" t="s">
        <v>1796</v>
      </c>
    </row>
    <row r="556" spans="1:17">
      <c r="A556" s="33" t="s">
        <v>3772</v>
      </c>
      <c r="B556" s="33" t="s">
        <v>3773</v>
      </c>
      <c r="C556" s="33" t="s">
        <v>2026</v>
      </c>
      <c r="D556" s="33" t="s">
        <v>41</v>
      </c>
      <c r="E556" s="33" t="s">
        <v>1786</v>
      </c>
      <c r="F556" s="33" t="s">
        <v>1787</v>
      </c>
      <c r="G556" s="33" t="s">
        <v>90</v>
      </c>
      <c r="H556" s="33" t="s">
        <v>2647</v>
      </c>
      <c r="I556" s="33" t="s">
        <v>2647</v>
      </c>
      <c r="J556" s="33" t="s">
        <v>3774</v>
      </c>
      <c r="K556" s="33" t="s">
        <v>1791</v>
      </c>
      <c r="L556" s="33" t="s">
        <v>3564</v>
      </c>
      <c r="M556" s="33" t="s">
        <v>3284</v>
      </c>
      <c r="N556" s="33" t="s">
        <v>1402</v>
      </c>
      <c r="O556" s="33" t="s">
        <v>1923</v>
      </c>
      <c r="P556" s="33" t="s">
        <v>1795</v>
      </c>
      <c r="Q556" s="33" t="s">
        <v>1796</v>
      </c>
    </row>
    <row r="557" spans="1:17">
      <c r="A557" s="33" t="s">
        <v>3775</v>
      </c>
      <c r="B557" s="33" t="s">
        <v>3776</v>
      </c>
      <c r="C557" s="33" t="s">
        <v>1819</v>
      </c>
      <c r="D557" s="33" t="s">
        <v>41</v>
      </c>
      <c r="E557" s="33" t="s">
        <v>1786</v>
      </c>
      <c r="F557" s="33" t="s">
        <v>1815</v>
      </c>
      <c r="G557" s="33" t="s">
        <v>1954</v>
      </c>
      <c r="H557" s="33" t="s">
        <v>2647</v>
      </c>
      <c r="I557" s="33" t="s">
        <v>2647</v>
      </c>
      <c r="J557" s="33" t="s">
        <v>3777</v>
      </c>
      <c r="K557" s="33" t="s">
        <v>1791</v>
      </c>
      <c r="L557" s="33" t="s">
        <v>3564</v>
      </c>
      <c r="M557" s="33" t="s">
        <v>3310</v>
      </c>
      <c r="N557" s="33" t="s">
        <v>3565</v>
      </c>
      <c r="O557" s="33" t="s">
        <v>1895</v>
      </c>
      <c r="P557" s="33" t="s">
        <v>1804</v>
      </c>
      <c r="Q557" s="33" t="s">
        <v>1796</v>
      </c>
    </row>
    <row r="558" spans="1:17">
      <c r="A558" s="33" t="s">
        <v>3778</v>
      </c>
      <c r="B558" s="33" t="s">
        <v>3779</v>
      </c>
      <c r="C558" s="33" t="s">
        <v>1819</v>
      </c>
      <c r="D558" s="33" t="s">
        <v>41</v>
      </c>
      <c r="E558" s="33" t="s">
        <v>1786</v>
      </c>
      <c r="F558" s="33" t="s">
        <v>1815</v>
      </c>
      <c r="G558" s="33" t="s">
        <v>1954</v>
      </c>
      <c r="H558" s="33" t="s">
        <v>2647</v>
      </c>
      <c r="I558" s="33" t="s">
        <v>2647</v>
      </c>
      <c r="J558" s="33" t="s">
        <v>3780</v>
      </c>
      <c r="K558" s="33" t="s">
        <v>1791</v>
      </c>
      <c r="L558" s="33" t="s">
        <v>3564</v>
      </c>
      <c r="M558" s="33" t="s">
        <v>3310</v>
      </c>
      <c r="N558" s="33" t="s">
        <v>3565</v>
      </c>
      <c r="O558" s="33" t="s">
        <v>1919</v>
      </c>
      <c r="P558" s="33" t="s">
        <v>1795</v>
      </c>
      <c r="Q558" s="33" t="s">
        <v>1796</v>
      </c>
    </row>
    <row r="559" spans="1:17">
      <c r="A559" s="33" t="s">
        <v>3781</v>
      </c>
      <c r="B559" s="33" t="s">
        <v>3782</v>
      </c>
      <c r="C559" s="33" t="s">
        <v>1831</v>
      </c>
      <c r="D559" s="33" t="s">
        <v>41</v>
      </c>
      <c r="E559" s="33" t="s">
        <v>1786</v>
      </c>
      <c r="F559" s="33" t="s">
        <v>1815</v>
      </c>
      <c r="G559" s="33" t="s">
        <v>1872</v>
      </c>
      <c r="H559" s="33" t="s">
        <v>2647</v>
      </c>
      <c r="I559" s="33" t="s">
        <v>2647</v>
      </c>
      <c r="J559" s="33" t="s">
        <v>3783</v>
      </c>
      <c r="K559" s="33" t="s">
        <v>1791</v>
      </c>
      <c r="L559" s="33" t="s">
        <v>3564</v>
      </c>
      <c r="M559" s="33" t="s">
        <v>69</v>
      </c>
      <c r="N559" s="33" t="s">
        <v>197</v>
      </c>
      <c r="O559" s="33" t="s">
        <v>3328</v>
      </c>
      <c r="P559" s="33" t="s">
        <v>1795</v>
      </c>
      <c r="Q559" s="33" t="s">
        <v>1796</v>
      </c>
    </row>
    <row r="560" spans="1:17" hidden="1">
      <c r="A560" s="33" t="s">
        <v>3784</v>
      </c>
      <c r="B560" s="33" t="s">
        <v>3785</v>
      </c>
      <c r="C560" s="33" t="s">
        <v>1831</v>
      </c>
      <c r="D560" s="33" t="s">
        <v>41</v>
      </c>
      <c r="E560" s="33" t="s">
        <v>1836</v>
      </c>
      <c r="F560" s="33" t="s">
        <v>1815</v>
      </c>
      <c r="G560" s="33" t="s">
        <v>1872</v>
      </c>
      <c r="H560" s="33" t="s">
        <v>2647</v>
      </c>
      <c r="I560" s="33" t="s">
        <v>2647</v>
      </c>
      <c r="J560" s="33" t="s">
        <v>3786</v>
      </c>
      <c r="K560" s="33" t="s">
        <v>1791</v>
      </c>
      <c r="L560" s="33" t="s">
        <v>3564</v>
      </c>
      <c r="M560" s="33" t="s">
        <v>1402</v>
      </c>
      <c r="N560" s="33" t="s">
        <v>197</v>
      </c>
      <c r="O560" s="33" t="s">
        <v>1828</v>
      </c>
      <c r="P560" s="33" t="s">
        <v>1764</v>
      </c>
      <c r="Q560" s="33" t="s">
        <v>1796</v>
      </c>
    </row>
    <row r="561" spans="1:17">
      <c r="A561" s="33" t="s">
        <v>3787</v>
      </c>
      <c r="B561" s="33" t="s">
        <v>3788</v>
      </c>
      <c r="C561" s="33" t="s">
        <v>2443</v>
      </c>
      <c r="D561" s="33" t="s">
        <v>41</v>
      </c>
      <c r="E561" s="33" t="s">
        <v>1786</v>
      </c>
      <c r="F561" s="33" t="s">
        <v>1856</v>
      </c>
      <c r="G561" s="33" t="s">
        <v>2444</v>
      </c>
      <c r="H561" s="33" t="s">
        <v>2647</v>
      </c>
      <c r="I561" s="33" t="s">
        <v>2647</v>
      </c>
      <c r="J561" s="33" t="s">
        <v>3789</v>
      </c>
      <c r="K561" s="33" t="s">
        <v>1791</v>
      </c>
      <c r="L561" s="33" t="s">
        <v>3564</v>
      </c>
      <c r="M561" s="33" t="s">
        <v>1397</v>
      </c>
      <c r="N561" s="33" t="s">
        <v>970</v>
      </c>
      <c r="O561" s="33" t="s">
        <v>2152</v>
      </c>
      <c r="P561" s="33" t="s">
        <v>1795</v>
      </c>
      <c r="Q561" s="33" t="s">
        <v>1796</v>
      </c>
    </row>
    <row r="562" spans="1:17">
      <c r="A562" s="33" t="s">
        <v>3790</v>
      </c>
      <c r="B562" s="33" t="s">
        <v>3791</v>
      </c>
      <c r="C562" s="33" t="s">
        <v>2443</v>
      </c>
      <c r="D562" s="33" t="s">
        <v>41</v>
      </c>
      <c r="E562" s="33" t="s">
        <v>1786</v>
      </c>
      <c r="F562" s="33" t="s">
        <v>1856</v>
      </c>
      <c r="G562" s="33" t="s">
        <v>2444</v>
      </c>
      <c r="H562" s="33" t="s">
        <v>2647</v>
      </c>
      <c r="I562" s="33" t="s">
        <v>2647</v>
      </c>
      <c r="J562" s="33" t="s">
        <v>3792</v>
      </c>
      <c r="K562" s="33" t="s">
        <v>1791</v>
      </c>
      <c r="L562" s="33" t="s">
        <v>3564</v>
      </c>
      <c r="M562" s="33" t="s">
        <v>69</v>
      </c>
      <c r="N562" s="33" t="s">
        <v>970</v>
      </c>
      <c r="O562" s="33" t="s">
        <v>189</v>
      </c>
      <c r="P562" s="33" t="s">
        <v>1795</v>
      </c>
      <c r="Q562" s="33" t="s">
        <v>1796</v>
      </c>
    </row>
    <row r="563" spans="1:17">
      <c r="A563" s="33" t="s">
        <v>3793</v>
      </c>
      <c r="B563" s="33" t="s">
        <v>3794</v>
      </c>
      <c r="C563" s="33" t="s">
        <v>2273</v>
      </c>
      <c r="D563" s="33" t="s">
        <v>41</v>
      </c>
      <c r="E563" s="33" t="s">
        <v>1786</v>
      </c>
      <c r="F563" s="33" t="s">
        <v>1815</v>
      </c>
      <c r="G563" s="33" t="s">
        <v>89</v>
      </c>
      <c r="H563" s="33" t="s">
        <v>3795</v>
      </c>
      <c r="I563" s="33" t="s">
        <v>3795</v>
      </c>
      <c r="J563" s="33" t="s">
        <v>3796</v>
      </c>
      <c r="K563" s="33" t="s">
        <v>1791</v>
      </c>
      <c r="L563" s="33" t="s">
        <v>3564</v>
      </c>
      <c r="M563" s="33" t="s">
        <v>69</v>
      </c>
      <c r="N563" s="33" t="s">
        <v>3284</v>
      </c>
      <c r="O563" s="33" t="s">
        <v>2082</v>
      </c>
      <c r="P563" s="33" t="s">
        <v>1795</v>
      </c>
      <c r="Q563" s="33" t="s">
        <v>1796</v>
      </c>
    </row>
    <row r="564" spans="1:17">
      <c r="A564" s="33" t="s">
        <v>3797</v>
      </c>
      <c r="B564" s="33" t="s">
        <v>3798</v>
      </c>
      <c r="C564" s="33" t="s">
        <v>2026</v>
      </c>
      <c r="D564" s="33" t="s">
        <v>41</v>
      </c>
      <c r="E564" s="33" t="s">
        <v>1786</v>
      </c>
      <c r="F564" s="33" t="s">
        <v>1856</v>
      </c>
      <c r="G564" s="33" t="s">
        <v>90</v>
      </c>
      <c r="H564" s="33" t="s">
        <v>3564</v>
      </c>
      <c r="I564" s="33" t="s">
        <v>3564</v>
      </c>
      <c r="J564" s="33" t="s">
        <v>3799</v>
      </c>
      <c r="K564" s="33" t="s">
        <v>1791</v>
      </c>
      <c r="L564" s="33" t="s">
        <v>3564</v>
      </c>
      <c r="M564" s="33" t="s">
        <v>1355</v>
      </c>
      <c r="N564" s="33" t="s">
        <v>1402</v>
      </c>
      <c r="O564" s="33" t="s">
        <v>3800</v>
      </c>
      <c r="P564" s="33" t="s">
        <v>1795</v>
      </c>
      <c r="Q564" s="33" t="s">
        <v>1796</v>
      </c>
    </row>
    <row r="565" spans="1:17">
      <c r="A565" s="33" t="s">
        <v>3801</v>
      </c>
      <c r="B565" s="33" t="s">
        <v>3802</v>
      </c>
      <c r="C565" s="33" t="s">
        <v>1831</v>
      </c>
      <c r="D565" s="33" t="s">
        <v>41</v>
      </c>
      <c r="E565" s="33" t="s">
        <v>1786</v>
      </c>
      <c r="F565" s="33" t="s">
        <v>1856</v>
      </c>
      <c r="G565" s="33" t="s">
        <v>1861</v>
      </c>
      <c r="H565" s="33" t="s">
        <v>3564</v>
      </c>
      <c r="I565" s="33" t="s">
        <v>3564</v>
      </c>
      <c r="J565" s="33" t="s">
        <v>3803</v>
      </c>
      <c r="K565" s="33" t="s">
        <v>1791</v>
      </c>
      <c r="L565" s="33" t="s">
        <v>3564</v>
      </c>
      <c r="M565" s="33" t="s">
        <v>3310</v>
      </c>
      <c r="N565" s="33" t="s">
        <v>3565</v>
      </c>
      <c r="O565" s="33" t="s">
        <v>2330</v>
      </c>
      <c r="P565" s="33" t="s">
        <v>1795</v>
      </c>
      <c r="Q565" s="33" t="s">
        <v>1796</v>
      </c>
    </row>
    <row r="566" spans="1:17">
      <c r="A566" s="33" t="s">
        <v>3804</v>
      </c>
      <c r="B566" s="33" t="s">
        <v>3805</v>
      </c>
      <c r="C566" s="33" t="s">
        <v>1831</v>
      </c>
      <c r="D566" s="33" t="s">
        <v>41</v>
      </c>
      <c r="E566" s="33" t="s">
        <v>1786</v>
      </c>
      <c r="F566" s="33" t="s">
        <v>1787</v>
      </c>
      <c r="G566" s="33" t="s">
        <v>68</v>
      </c>
      <c r="H566" s="33" t="s">
        <v>3564</v>
      </c>
      <c r="I566" s="33" t="s">
        <v>3564</v>
      </c>
      <c r="J566" s="33" t="s">
        <v>3806</v>
      </c>
      <c r="K566" s="33" t="s">
        <v>1791</v>
      </c>
      <c r="L566" s="33" t="s">
        <v>3564</v>
      </c>
      <c r="M566" s="33" t="s">
        <v>197</v>
      </c>
      <c r="N566" s="33" t="s">
        <v>197</v>
      </c>
      <c r="O566" s="33" t="s">
        <v>3469</v>
      </c>
      <c r="P566" s="33" t="s">
        <v>1804</v>
      </c>
      <c r="Q566" s="33" t="s">
        <v>1796</v>
      </c>
    </row>
    <row r="567" spans="1:17">
      <c r="A567" s="33" t="s">
        <v>3804</v>
      </c>
      <c r="B567" s="33" t="s">
        <v>3807</v>
      </c>
      <c r="C567" s="33" t="s">
        <v>1831</v>
      </c>
      <c r="D567" s="33" t="s">
        <v>41</v>
      </c>
      <c r="E567" s="33" t="s">
        <v>1786</v>
      </c>
      <c r="F567" s="33" t="s">
        <v>1787</v>
      </c>
      <c r="G567" s="33" t="s">
        <v>68</v>
      </c>
      <c r="H567" s="33" t="s">
        <v>3564</v>
      </c>
      <c r="I567" s="33" t="s">
        <v>3564</v>
      </c>
      <c r="J567" s="33" t="s">
        <v>3808</v>
      </c>
      <c r="K567" s="33" t="s">
        <v>1791</v>
      </c>
      <c r="L567" s="33" t="s">
        <v>3564</v>
      </c>
      <c r="M567" s="33" t="s">
        <v>197</v>
      </c>
      <c r="N567" s="33" t="s">
        <v>197</v>
      </c>
      <c r="O567" s="33" t="s">
        <v>3809</v>
      </c>
      <c r="P567" s="33" t="s">
        <v>1804</v>
      </c>
      <c r="Q567" s="33" t="s">
        <v>1796</v>
      </c>
    </row>
    <row r="568" spans="1:17">
      <c r="A568" s="33" t="s">
        <v>3804</v>
      </c>
      <c r="B568" s="33" t="s">
        <v>3810</v>
      </c>
      <c r="C568" s="33" t="s">
        <v>1831</v>
      </c>
      <c r="D568" s="33" t="s">
        <v>41</v>
      </c>
      <c r="E568" s="33" t="s">
        <v>1786</v>
      </c>
      <c r="F568" s="33" t="s">
        <v>1787</v>
      </c>
      <c r="G568" s="33" t="s">
        <v>68</v>
      </c>
      <c r="H568" s="33" t="s">
        <v>3564</v>
      </c>
      <c r="I568" s="33" t="s">
        <v>3564</v>
      </c>
      <c r="J568" s="33" t="s">
        <v>3811</v>
      </c>
      <c r="K568" s="33" t="s">
        <v>1791</v>
      </c>
      <c r="L568" s="33" t="s">
        <v>3564</v>
      </c>
      <c r="M568" s="33" t="s">
        <v>197</v>
      </c>
      <c r="N568" s="33" t="s">
        <v>197</v>
      </c>
      <c r="O568" s="33" t="s">
        <v>3812</v>
      </c>
      <c r="P568" s="33" t="s">
        <v>1804</v>
      </c>
      <c r="Q568" s="33" t="s">
        <v>1796</v>
      </c>
    </row>
    <row r="569" spans="1:17">
      <c r="A569" s="33" t="s">
        <v>3813</v>
      </c>
      <c r="B569" s="33" t="s">
        <v>3814</v>
      </c>
      <c r="C569" s="33" t="s">
        <v>1831</v>
      </c>
      <c r="D569" s="33" t="s">
        <v>41</v>
      </c>
      <c r="E569" s="33" t="s">
        <v>1786</v>
      </c>
      <c r="F569" s="33" t="s">
        <v>1815</v>
      </c>
      <c r="G569" s="33" t="s">
        <v>3815</v>
      </c>
      <c r="H569" s="33" t="s">
        <v>3564</v>
      </c>
      <c r="I569" s="33" t="s">
        <v>3564</v>
      </c>
      <c r="J569" s="33" t="s">
        <v>3816</v>
      </c>
      <c r="K569" s="33" t="s">
        <v>1791</v>
      </c>
      <c r="L569" s="33" t="s">
        <v>3564</v>
      </c>
      <c r="M569" s="33" t="s">
        <v>58</v>
      </c>
      <c r="N569" s="33" t="s">
        <v>197</v>
      </c>
      <c r="O569" s="33" t="s">
        <v>3817</v>
      </c>
      <c r="P569" s="33" t="s">
        <v>1795</v>
      </c>
      <c r="Q569" s="33" t="s">
        <v>1796</v>
      </c>
    </row>
    <row r="570" spans="1:17">
      <c r="A570" s="33" t="s">
        <v>3818</v>
      </c>
      <c r="B570" s="33" t="s">
        <v>3819</v>
      </c>
      <c r="C570" s="33" t="s">
        <v>1831</v>
      </c>
      <c r="D570" s="33" t="s">
        <v>41</v>
      </c>
      <c r="E570" s="33" t="s">
        <v>1786</v>
      </c>
      <c r="F570" s="33" t="s">
        <v>1787</v>
      </c>
      <c r="G570" s="33" t="s">
        <v>1872</v>
      </c>
      <c r="H570" s="33" t="s">
        <v>3820</v>
      </c>
      <c r="I570" s="33" t="s">
        <v>3820</v>
      </c>
      <c r="J570" s="33" t="s">
        <v>3821</v>
      </c>
      <c r="K570" s="33" t="s">
        <v>1791</v>
      </c>
      <c r="L570" s="33" t="s">
        <v>945</v>
      </c>
      <c r="M570" s="33" t="s">
        <v>197</v>
      </c>
      <c r="N570" s="33" t="s">
        <v>197</v>
      </c>
      <c r="O570" s="33" t="s">
        <v>2110</v>
      </c>
      <c r="P570" s="33" t="s">
        <v>1804</v>
      </c>
      <c r="Q570" s="33" t="s">
        <v>1796</v>
      </c>
    </row>
    <row r="571" spans="1:17">
      <c r="A571" s="33" t="s">
        <v>3822</v>
      </c>
      <c r="B571" s="33" t="s">
        <v>3823</v>
      </c>
      <c r="C571" s="33" t="s">
        <v>2096</v>
      </c>
      <c r="D571" s="33" t="s">
        <v>41</v>
      </c>
      <c r="E571" s="33" t="s">
        <v>1786</v>
      </c>
      <c r="F571" s="33" t="s">
        <v>1787</v>
      </c>
      <c r="G571" s="33" t="s">
        <v>3824</v>
      </c>
      <c r="H571" s="33" t="s">
        <v>3820</v>
      </c>
      <c r="I571" s="33" t="s">
        <v>3820</v>
      </c>
      <c r="J571" s="33" t="s">
        <v>3825</v>
      </c>
      <c r="K571" s="33" t="s">
        <v>1791</v>
      </c>
      <c r="L571" s="33" t="s">
        <v>945</v>
      </c>
      <c r="M571" s="33" t="s">
        <v>1402</v>
      </c>
      <c r="N571" s="33" t="s">
        <v>3310</v>
      </c>
      <c r="O571" s="33" t="s">
        <v>3826</v>
      </c>
      <c r="P571" s="33" t="s">
        <v>1795</v>
      </c>
      <c r="Q571" s="33" t="s">
        <v>1796</v>
      </c>
    </row>
    <row r="572" spans="1:17">
      <c r="A572" s="33" t="s">
        <v>3827</v>
      </c>
      <c r="B572" s="33" t="s">
        <v>3828</v>
      </c>
      <c r="C572" s="33" t="s">
        <v>2273</v>
      </c>
      <c r="D572" s="33" t="s">
        <v>41</v>
      </c>
      <c r="E572" s="33" t="s">
        <v>1786</v>
      </c>
      <c r="F572" s="33" t="s">
        <v>1856</v>
      </c>
      <c r="G572" s="33" t="s">
        <v>3671</v>
      </c>
      <c r="H572" s="33" t="s">
        <v>3820</v>
      </c>
      <c r="I572" s="33" t="s">
        <v>3544</v>
      </c>
      <c r="J572" s="33" t="s">
        <v>3829</v>
      </c>
      <c r="K572" s="33" t="s">
        <v>1791</v>
      </c>
      <c r="L572" s="33" t="s">
        <v>945</v>
      </c>
      <c r="M572" s="33" t="s">
        <v>61</v>
      </c>
      <c r="N572" s="33" t="s">
        <v>3284</v>
      </c>
      <c r="O572" s="33" t="s">
        <v>1787</v>
      </c>
      <c r="P572" s="33" t="s">
        <v>1795</v>
      </c>
      <c r="Q572" s="33" t="s">
        <v>1796</v>
      </c>
    </row>
    <row r="573" spans="1:17" hidden="1">
      <c r="A573" s="33" t="s">
        <v>3830</v>
      </c>
      <c r="B573" s="33" t="s">
        <v>3831</v>
      </c>
      <c r="C573" s="33" t="s">
        <v>1980</v>
      </c>
      <c r="D573" s="33" t="s">
        <v>41</v>
      </c>
      <c r="E573" s="33" t="s">
        <v>1836</v>
      </c>
      <c r="F573" s="33" t="s">
        <v>1787</v>
      </c>
      <c r="G573" s="33" t="s">
        <v>3832</v>
      </c>
      <c r="H573" s="33" t="s">
        <v>3820</v>
      </c>
      <c r="I573" s="33" t="s">
        <v>3544</v>
      </c>
      <c r="J573" s="33" t="s">
        <v>3833</v>
      </c>
      <c r="K573" s="33" t="s">
        <v>1791</v>
      </c>
      <c r="L573" s="33" t="s">
        <v>945</v>
      </c>
      <c r="M573" s="33" t="s">
        <v>970</v>
      </c>
      <c r="N573" s="33" t="s">
        <v>69</v>
      </c>
      <c r="O573" s="33" t="s">
        <v>2152</v>
      </c>
      <c r="P573" s="33" t="s">
        <v>1764</v>
      </c>
      <c r="Q573" s="33" t="s">
        <v>1796</v>
      </c>
    </row>
    <row r="574" spans="1:17">
      <c r="A574" s="33" t="s">
        <v>3834</v>
      </c>
      <c r="B574" s="33" t="s">
        <v>3835</v>
      </c>
      <c r="C574" s="33" t="s">
        <v>1785</v>
      </c>
      <c r="D574" s="33" t="s">
        <v>41</v>
      </c>
      <c r="E574" s="33" t="s">
        <v>1786</v>
      </c>
      <c r="F574" s="33" t="s">
        <v>1787</v>
      </c>
      <c r="G574" s="33" t="s">
        <v>3836</v>
      </c>
      <c r="H574" s="33" t="s">
        <v>3820</v>
      </c>
      <c r="I574" s="33" t="s">
        <v>3562</v>
      </c>
      <c r="J574" s="33" t="s">
        <v>3837</v>
      </c>
      <c r="K574" s="33" t="s">
        <v>1791</v>
      </c>
      <c r="L574" s="33" t="s">
        <v>945</v>
      </c>
      <c r="M574" s="33" t="s">
        <v>80</v>
      </c>
      <c r="N574" s="33" t="s">
        <v>1083</v>
      </c>
      <c r="O574" s="33" t="s">
        <v>1787</v>
      </c>
      <c r="P574" s="33" t="s">
        <v>1795</v>
      </c>
      <c r="Q574" s="33" t="s">
        <v>1796</v>
      </c>
    </row>
    <row r="575" spans="1:17">
      <c r="A575" s="33" t="s">
        <v>3838</v>
      </c>
      <c r="B575" s="33" t="s">
        <v>3839</v>
      </c>
      <c r="C575" s="33" t="s">
        <v>1785</v>
      </c>
      <c r="D575" s="33" t="s">
        <v>41</v>
      </c>
      <c r="E575" s="33" t="s">
        <v>1786</v>
      </c>
      <c r="F575" s="33" t="s">
        <v>1787</v>
      </c>
      <c r="G575" s="33" t="s">
        <v>1799</v>
      </c>
      <c r="H575" s="33" t="s">
        <v>3820</v>
      </c>
      <c r="I575" s="33" t="s">
        <v>3562</v>
      </c>
      <c r="J575" s="33" t="s">
        <v>3840</v>
      </c>
      <c r="K575" s="33" t="s">
        <v>1791</v>
      </c>
      <c r="L575" s="33" t="s">
        <v>3820</v>
      </c>
      <c r="M575" s="33" t="s">
        <v>82</v>
      </c>
      <c r="N575" s="33" t="s">
        <v>1083</v>
      </c>
      <c r="O575" s="33" t="s">
        <v>3841</v>
      </c>
      <c r="P575" s="33" t="s">
        <v>1795</v>
      </c>
      <c r="Q575" s="33" t="s">
        <v>1796</v>
      </c>
    </row>
    <row r="576" spans="1:17">
      <c r="A576" s="33" t="s">
        <v>3842</v>
      </c>
      <c r="B576" s="33" t="s">
        <v>3843</v>
      </c>
      <c r="C576" s="33" t="s">
        <v>1785</v>
      </c>
      <c r="D576" s="33" t="s">
        <v>41</v>
      </c>
      <c r="E576" s="33" t="s">
        <v>1786</v>
      </c>
      <c r="F576" s="33" t="s">
        <v>1787</v>
      </c>
      <c r="G576" s="33" t="s">
        <v>1799</v>
      </c>
      <c r="H576" s="33" t="s">
        <v>3820</v>
      </c>
      <c r="I576" s="33" t="s">
        <v>3562</v>
      </c>
      <c r="J576" s="33" t="s">
        <v>3844</v>
      </c>
      <c r="K576" s="33" t="s">
        <v>1791</v>
      </c>
      <c r="L576" s="33" t="s">
        <v>3820</v>
      </c>
      <c r="M576" s="33" t="s">
        <v>78</v>
      </c>
      <c r="N576" s="33" t="s">
        <v>1083</v>
      </c>
      <c r="O576" s="33" t="s">
        <v>3841</v>
      </c>
      <c r="P576" s="33" t="s">
        <v>1795</v>
      </c>
      <c r="Q576" s="33" t="s">
        <v>1796</v>
      </c>
    </row>
    <row r="577" spans="1:17">
      <c r="A577" s="33" t="s">
        <v>3845</v>
      </c>
      <c r="B577" s="33" t="s">
        <v>3846</v>
      </c>
      <c r="C577" s="33" t="s">
        <v>1785</v>
      </c>
      <c r="D577" s="33" t="s">
        <v>41</v>
      </c>
      <c r="E577" s="33" t="s">
        <v>1786</v>
      </c>
      <c r="F577" s="33" t="s">
        <v>1787</v>
      </c>
      <c r="G577" s="33" t="s">
        <v>1799</v>
      </c>
      <c r="H577" s="33" t="s">
        <v>3820</v>
      </c>
      <c r="I577" s="33" t="s">
        <v>3847</v>
      </c>
      <c r="J577" s="33" t="s">
        <v>3848</v>
      </c>
      <c r="K577" s="33" t="s">
        <v>1791</v>
      </c>
      <c r="L577" s="33" t="s">
        <v>3820</v>
      </c>
      <c r="M577" s="33" t="s">
        <v>69</v>
      </c>
      <c r="N577" s="33" t="s">
        <v>1083</v>
      </c>
      <c r="O577" s="33" t="s">
        <v>3841</v>
      </c>
      <c r="P577" s="33" t="s">
        <v>1795</v>
      </c>
      <c r="Q577" s="33" t="s">
        <v>1796</v>
      </c>
    </row>
    <row r="578" spans="1:17">
      <c r="A578" s="33" t="s">
        <v>3849</v>
      </c>
      <c r="B578" s="33" t="s">
        <v>3850</v>
      </c>
      <c r="C578" s="33" t="s">
        <v>1785</v>
      </c>
      <c r="D578" s="33" t="s">
        <v>41</v>
      </c>
      <c r="E578" s="33" t="s">
        <v>1786</v>
      </c>
      <c r="F578" s="33" t="s">
        <v>1787</v>
      </c>
      <c r="G578" s="33" t="s">
        <v>1799</v>
      </c>
      <c r="H578" s="33" t="s">
        <v>3820</v>
      </c>
      <c r="I578" s="33" t="s">
        <v>3847</v>
      </c>
      <c r="J578" s="33" t="s">
        <v>3851</v>
      </c>
      <c r="K578" s="33" t="s">
        <v>1791</v>
      </c>
      <c r="L578" s="33" t="s">
        <v>3820</v>
      </c>
      <c r="M578" s="33" t="s">
        <v>61</v>
      </c>
      <c r="N578" s="33" t="s">
        <v>1083</v>
      </c>
      <c r="O578" s="33" t="s">
        <v>3841</v>
      </c>
      <c r="P578" s="33" t="s">
        <v>1804</v>
      </c>
      <c r="Q578" s="33" t="s">
        <v>1796</v>
      </c>
    </row>
    <row r="579" spans="1:17">
      <c r="A579" s="33" t="s">
        <v>3852</v>
      </c>
      <c r="B579" s="33" t="s">
        <v>3853</v>
      </c>
      <c r="C579" s="33" t="s">
        <v>3011</v>
      </c>
      <c r="D579" s="33" t="s">
        <v>41</v>
      </c>
      <c r="E579" s="33" t="s">
        <v>1786</v>
      </c>
      <c r="F579" s="33" t="s">
        <v>1787</v>
      </c>
      <c r="G579" s="33" t="s">
        <v>3589</v>
      </c>
      <c r="H579" s="33" t="s">
        <v>3820</v>
      </c>
      <c r="I579" s="33" t="s">
        <v>3820</v>
      </c>
      <c r="J579" s="33" t="s">
        <v>3854</v>
      </c>
      <c r="K579" s="33" t="s">
        <v>1791</v>
      </c>
      <c r="L579" s="33" t="s">
        <v>945</v>
      </c>
      <c r="M579" s="33" t="s">
        <v>75</v>
      </c>
      <c r="N579" s="33" t="s">
        <v>1397</v>
      </c>
      <c r="O579" s="33" t="s">
        <v>1946</v>
      </c>
      <c r="P579" s="33" t="s">
        <v>1795</v>
      </c>
      <c r="Q579" s="33" t="s">
        <v>1796</v>
      </c>
    </row>
    <row r="580" spans="1:17" hidden="1">
      <c r="A580" s="33" t="s">
        <v>3855</v>
      </c>
      <c r="B580" s="33" t="s">
        <v>3856</v>
      </c>
      <c r="C580" s="33" t="s">
        <v>1831</v>
      </c>
      <c r="D580" s="33" t="s">
        <v>41</v>
      </c>
      <c r="E580" s="33" t="s">
        <v>3857</v>
      </c>
      <c r="F580" s="33" t="s">
        <v>1787</v>
      </c>
      <c r="G580" s="33" t="s">
        <v>3089</v>
      </c>
      <c r="H580" s="33" t="s">
        <v>945</v>
      </c>
      <c r="I580" s="33" t="s">
        <v>945</v>
      </c>
      <c r="J580" s="33" t="s">
        <v>3858</v>
      </c>
      <c r="K580" s="33" t="s">
        <v>3859</v>
      </c>
      <c r="L580" s="33" t="s">
        <v>945</v>
      </c>
      <c r="M580" s="33" t="s">
        <v>197</v>
      </c>
      <c r="N580" s="33" t="s">
        <v>197</v>
      </c>
      <c r="O580" s="33" t="s">
        <v>1856</v>
      </c>
      <c r="P580" s="33" t="s">
        <v>1764</v>
      </c>
      <c r="Q580" s="33" t="s">
        <v>1796</v>
      </c>
    </row>
    <row r="581" spans="1:17">
      <c r="A581" s="33" t="s">
        <v>3860</v>
      </c>
      <c r="B581" s="33" t="s">
        <v>3861</v>
      </c>
      <c r="C581" s="33" t="s">
        <v>1785</v>
      </c>
      <c r="D581" s="33" t="s">
        <v>41</v>
      </c>
      <c r="E581" s="33" t="s">
        <v>1786</v>
      </c>
      <c r="F581" s="33" t="s">
        <v>1787</v>
      </c>
      <c r="G581" s="33" t="s">
        <v>3862</v>
      </c>
      <c r="H581" s="33" t="s">
        <v>945</v>
      </c>
      <c r="I581" s="33" t="s">
        <v>3863</v>
      </c>
      <c r="J581" s="33" t="s">
        <v>3864</v>
      </c>
      <c r="K581" s="33" t="s">
        <v>1791</v>
      </c>
      <c r="L581" s="33" t="s">
        <v>945</v>
      </c>
      <c r="M581" s="33" t="s">
        <v>69</v>
      </c>
      <c r="N581" s="33" t="s">
        <v>1083</v>
      </c>
      <c r="O581" s="33" t="s">
        <v>3533</v>
      </c>
      <c r="P581" s="33" t="s">
        <v>1795</v>
      </c>
      <c r="Q581" s="33" t="s">
        <v>1796</v>
      </c>
    </row>
    <row r="582" spans="1:17">
      <c r="A582" s="33" t="s">
        <v>3137</v>
      </c>
      <c r="B582" s="33" t="s">
        <v>3865</v>
      </c>
      <c r="C582" s="33" t="s">
        <v>1980</v>
      </c>
      <c r="D582" s="33" t="s">
        <v>41</v>
      </c>
      <c r="E582" s="33" t="s">
        <v>1786</v>
      </c>
      <c r="F582" s="33" t="s">
        <v>1787</v>
      </c>
      <c r="G582" s="33" t="s">
        <v>2820</v>
      </c>
      <c r="H582" s="33" t="s">
        <v>945</v>
      </c>
      <c r="I582" s="33" t="s">
        <v>3685</v>
      </c>
      <c r="J582" s="33" t="s">
        <v>3866</v>
      </c>
      <c r="K582" s="33" t="s">
        <v>1791</v>
      </c>
      <c r="L582" s="33" t="s">
        <v>945</v>
      </c>
      <c r="M582" s="33" t="s">
        <v>82</v>
      </c>
      <c r="N582" s="33" t="s">
        <v>69</v>
      </c>
      <c r="O582" s="33" t="s">
        <v>2099</v>
      </c>
      <c r="P582" s="33" t="s">
        <v>1795</v>
      </c>
      <c r="Q582" s="33" t="s">
        <v>1796</v>
      </c>
    </row>
    <row r="583" spans="1:17">
      <c r="A583" s="33" t="s">
        <v>3867</v>
      </c>
      <c r="B583" s="33" t="s">
        <v>3868</v>
      </c>
      <c r="C583" s="33" t="s">
        <v>1785</v>
      </c>
      <c r="D583" s="33" t="s">
        <v>41</v>
      </c>
      <c r="E583" s="33" t="s">
        <v>1786</v>
      </c>
      <c r="F583" s="33" t="s">
        <v>1787</v>
      </c>
      <c r="G583" s="33" t="s">
        <v>3836</v>
      </c>
      <c r="H583" s="33" t="s">
        <v>945</v>
      </c>
      <c r="I583" s="33" t="s">
        <v>2647</v>
      </c>
      <c r="J583" s="33" t="s">
        <v>3869</v>
      </c>
      <c r="K583" s="33" t="s">
        <v>1791</v>
      </c>
      <c r="L583" s="33" t="s">
        <v>945</v>
      </c>
      <c r="M583" s="33" t="s">
        <v>80</v>
      </c>
      <c r="N583" s="33" t="s">
        <v>1083</v>
      </c>
      <c r="O583" s="33" t="s">
        <v>1787</v>
      </c>
      <c r="P583" s="33" t="s">
        <v>1795</v>
      </c>
      <c r="Q583" s="33" t="s">
        <v>1796</v>
      </c>
    </row>
    <row r="584" spans="1:17">
      <c r="A584" s="33" t="s">
        <v>3870</v>
      </c>
      <c r="B584" s="33" t="s">
        <v>3871</v>
      </c>
      <c r="C584" s="33" t="s">
        <v>1831</v>
      </c>
      <c r="D584" s="33" t="s">
        <v>41</v>
      </c>
      <c r="E584" s="33" t="s">
        <v>1786</v>
      </c>
      <c r="F584" s="33" t="s">
        <v>1787</v>
      </c>
      <c r="G584" s="33" t="s">
        <v>1872</v>
      </c>
      <c r="H584" s="33" t="s">
        <v>945</v>
      </c>
      <c r="I584" s="33" t="s">
        <v>945</v>
      </c>
      <c r="J584" s="33" t="s">
        <v>3872</v>
      </c>
      <c r="K584" s="33" t="s">
        <v>1791</v>
      </c>
      <c r="L584" s="33" t="s">
        <v>945</v>
      </c>
      <c r="M584" s="33" t="s">
        <v>197</v>
      </c>
      <c r="N584" s="33" t="s">
        <v>197</v>
      </c>
      <c r="O584" s="33" t="s">
        <v>3873</v>
      </c>
      <c r="P584" s="33" t="s">
        <v>1804</v>
      </c>
      <c r="Q584" s="33" t="s">
        <v>1796</v>
      </c>
    </row>
    <row r="585" spans="1:17" hidden="1">
      <c r="A585" s="33" t="s">
        <v>3874</v>
      </c>
      <c r="B585" s="33" t="s">
        <v>3875</v>
      </c>
      <c r="C585" s="33" t="s">
        <v>1807</v>
      </c>
      <c r="D585" s="33" t="s">
        <v>41</v>
      </c>
      <c r="E585" s="33" t="s">
        <v>3857</v>
      </c>
      <c r="F585" s="33" t="s">
        <v>1815</v>
      </c>
      <c r="G585" s="33" t="s">
        <v>94</v>
      </c>
      <c r="H585" s="33" t="s">
        <v>945</v>
      </c>
      <c r="I585" s="33" t="s">
        <v>945</v>
      </c>
      <c r="J585" s="33" t="s">
        <v>3876</v>
      </c>
      <c r="K585" s="33" t="s">
        <v>3859</v>
      </c>
      <c r="L585" s="33" t="s">
        <v>945</v>
      </c>
      <c r="M585" s="33" t="s">
        <v>3310</v>
      </c>
      <c r="N585" s="33" t="s">
        <v>1355</v>
      </c>
      <c r="O585" s="33" t="s">
        <v>1858</v>
      </c>
      <c r="P585" s="33" t="s">
        <v>1764</v>
      </c>
      <c r="Q585" s="33" t="s">
        <v>1796</v>
      </c>
    </row>
    <row r="586" spans="1:17">
      <c r="A586" s="33" t="s">
        <v>3877</v>
      </c>
      <c r="B586" s="33" t="s">
        <v>3878</v>
      </c>
      <c r="C586" s="33" t="s">
        <v>2443</v>
      </c>
      <c r="D586" s="33" t="s">
        <v>41</v>
      </c>
      <c r="E586" s="33" t="s">
        <v>1786</v>
      </c>
      <c r="F586" s="33" t="s">
        <v>1787</v>
      </c>
      <c r="G586" s="33" t="s">
        <v>3879</v>
      </c>
      <c r="H586" s="33" t="s">
        <v>945</v>
      </c>
      <c r="I586" s="33" t="s">
        <v>3651</v>
      </c>
      <c r="J586" s="33" t="s">
        <v>3880</v>
      </c>
      <c r="K586" s="33" t="s">
        <v>1791</v>
      </c>
      <c r="L586" s="33" t="s">
        <v>945</v>
      </c>
      <c r="M586" s="33" t="s">
        <v>3310</v>
      </c>
      <c r="N586" s="33" t="s">
        <v>970</v>
      </c>
      <c r="O586" s="33" t="s">
        <v>1787</v>
      </c>
      <c r="P586" s="33" t="s">
        <v>1795</v>
      </c>
      <c r="Q586" s="33" t="s">
        <v>1796</v>
      </c>
    </row>
    <row r="587" spans="1:17">
      <c r="A587" s="33" t="s">
        <v>3881</v>
      </c>
      <c r="B587" s="33" t="s">
        <v>3882</v>
      </c>
      <c r="C587" s="33" t="s">
        <v>3205</v>
      </c>
      <c r="D587" s="33" t="s">
        <v>41</v>
      </c>
      <c r="E587" s="33" t="s">
        <v>1786</v>
      </c>
      <c r="F587" s="33" t="s">
        <v>1787</v>
      </c>
      <c r="G587" s="33" t="s">
        <v>3883</v>
      </c>
      <c r="H587" s="33" t="s">
        <v>945</v>
      </c>
      <c r="I587" s="33" t="s">
        <v>3672</v>
      </c>
      <c r="J587" s="33" t="s">
        <v>3884</v>
      </c>
      <c r="K587" s="33" t="s">
        <v>1791</v>
      </c>
      <c r="L587" s="33" t="s">
        <v>945</v>
      </c>
      <c r="M587" s="33" t="s">
        <v>3310</v>
      </c>
      <c r="N587" s="33" t="s">
        <v>95</v>
      </c>
      <c r="O587" s="33" t="s">
        <v>1787</v>
      </c>
      <c r="P587" s="33" t="s">
        <v>1795</v>
      </c>
      <c r="Q587" s="33" t="s">
        <v>1796</v>
      </c>
    </row>
    <row r="588" spans="1:17">
      <c r="A588" s="33" t="s">
        <v>3885</v>
      </c>
      <c r="B588" s="33" t="s">
        <v>3886</v>
      </c>
      <c r="C588" s="33" t="s">
        <v>3205</v>
      </c>
      <c r="D588" s="33" t="s">
        <v>41</v>
      </c>
      <c r="E588" s="33" t="s">
        <v>1786</v>
      </c>
      <c r="F588" s="33" t="s">
        <v>1787</v>
      </c>
      <c r="G588" s="33" t="s">
        <v>3883</v>
      </c>
      <c r="H588" s="33" t="s">
        <v>945</v>
      </c>
      <c r="I588" s="33" t="s">
        <v>3672</v>
      </c>
      <c r="J588" s="33" t="s">
        <v>3887</v>
      </c>
      <c r="K588" s="33" t="s">
        <v>1791</v>
      </c>
      <c r="L588" s="33" t="s">
        <v>945</v>
      </c>
      <c r="M588" s="33" t="s">
        <v>3310</v>
      </c>
      <c r="N588" s="33" t="s">
        <v>95</v>
      </c>
      <c r="O588" s="33" t="s">
        <v>1787</v>
      </c>
      <c r="P588" s="33" t="s">
        <v>1795</v>
      </c>
      <c r="Q588" s="33" t="s">
        <v>1796</v>
      </c>
    </row>
    <row r="589" spans="1:17">
      <c r="A589" s="33" t="s">
        <v>3885</v>
      </c>
      <c r="B589" s="33" t="s">
        <v>3888</v>
      </c>
      <c r="C589" s="33" t="s">
        <v>3205</v>
      </c>
      <c r="D589" s="33" t="s">
        <v>41</v>
      </c>
      <c r="E589" s="33" t="s">
        <v>1786</v>
      </c>
      <c r="F589" s="33" t="s">
        <v>1787</v>
      </c>
      <c r="G589" s="33" t="s">
        <v>3883</v>
      </c>
      <c r="H589" s="33" t="s">
        <v>945</v>
      </c>
      <c r="I589" s="33" t="s">
        <v>3672</v>
      </c>
      <c r="J589" s="33" t="s">
        <v>3889</v>
      </c>
      <c r="K589" s="33" t="s">
        <v>1791</v>
      </c>
      <c r="L589" s="33" t="s">
        <v>945</v>
      </c>
      <c r="M589" s="33" t="s">
        <v>3310</v>
      </c>
      <c r="N589" s="33" t="s">
        <v>95</v>
      </c>
      <c r="O589" s="33" t="s">
        <v>1787</v>
      </c>
      <c r="P589" s="33" t="s">
        <v>1795</v>
      </c>
      <c r="Q589" s="33" t="s">
        <v>1796</v>
      </c>
    </row>
    <row r="590" spans="1:17" hidden="1">
      <c r="A590" s="33" t="s">
        <v>3890</v>
      </c>
      <c r="B590" s="33" t="s">
        <v>3891</v>
      </c>
      <c r="C590" s="33" t="s">
        <v>2026</v>
      </c>
      <c r="D590" s="33" t="s">
        <v>41</v>
      </c>
      <c r="E590" s="33" t="s">
        <v>3857</v>
      </c>
      <c r="F590" s="33" t="s">
        <v>1787</v>
      </c>
      <c r="G590" s="33" t="s">
        <v>90</v>
      </c>
      <c r="H590" s="33" t="s">
        <v>945</v>
      </c>
      <c r="I590" s="33" t="s">
        <v>945</v>
      </c>
      <c r="J590" s="33" t="s">
        <v>3892</v>
      </c>
      <c r="K590" s="33" t="s">
        <v>3859</v>
      </c>
      <c r="L590" s="33" t="s">
        <v>945</v>
      </c>
      <c r="M590" s="33" t="s">
        <v>76</v>
      </c>
      <c r="N590" s="33" t="s">
        <v>1402</v>
      </c>
      <c r="O590" s="33" t="s">
        <v>1864</v>
      </c>
      <c r="P590" s="33" t="s">
        <v>1764</v>
      </c>
      <c r="Q590" s="33" t="s">
        <v>1796</v>
      </c>
    </row>
    <row r="591" spans="1:17" hidden="1">
      <c r="A591" s="33" t="s">
        <v>3893</v>
      </c>
      <c r="B591" s="33" t="s">
        <v>3894</v>
      </c>
      <c r="C591" s="33" t="s">
        <v>1819</v>
      </c>
      <c r="D591" s="33" t="s">
        <v>41</v>
      </c>
      <c r="E591" s="33" t="s">
        <v>3857</v>
      </c>
      <c r="F591" s="33" t="s">
        <v>1787</v>
      </c>
      <c r="G591" s="33" t="s">
        <v>1954</v>
      </c>
      <c r="H591" s="33" t="s">
        <v>945</v>
      </c>
      <c r="I591" s="33" t="s">
        <v>945</v>
      </c>
      <c r="J591" s="33" t="s">
        <v>3895</v>
      </c>
      <c r="K591" s="33" t="s">
        <v>3859</v>
      </c>
      <c r="L591" s="33" t="s">
        <v>945</v>
      </c>
      <c r="M591" s="33" t="s">
        <v>3310</v>
      </c>
      <c r="N591" s="33" t="s">
        <v>1078</v>
      </c>
      <c r="O591" s="33" t="s">
        <v>1919</v>
      </c>
      <c r="P591" s="33" t="s">
        <v>1764</v>
      </c>
      <c r="Q591" s="33" t="s">
        <v>1796</v>
      </c>
    </row>
    <row r="592" spans="1:17" hidden="1">
      <c r="A592" s="33" t="s">
        <v>3896</v>
      </c>
      <c r="B592" s="33" t="s">
        <v>3897</v>
      </c>
      <c r="C592" s="33" t="s">
        <v>1980</v>
      </c>
      <c r="D592" s="33" t="s">
        <v>41</v>
      </c>
      <c r="E592" s="33" t="s">
        <v>3857</v>
      </c>
      <c r="F592" s="33" t="s">
        <v>1815</v>
      </c>
      <c r="G592" s="33" t="s">
        <v>3139</v>
      </c>
      <c r="H592" s="33" t="s">
        <v>3898</v>
      </c>
      <c r="I592" s="33" t="s">
        <v>3898</v>
      </c>
      <c r="J592" s="33" t="s">
        <v>3899</v>
      </c>
      <c r="K592" s="33" t="s">
        <v>3859</v>
      </c>
      <c r="L592" s="33" t="s">
        <v>3898</v>
      </c>
      <c r="M592" s="33" t="s">
        <v>197</v>
      </c>
      <c r="N592" s="33" t="s">
        <v>69</v>
      </c>
      <c r="O592" s="33" t="s">
        <v>1938</v>
      </c>
      <c r="P592" s="33" t="s">
        <v>1764</v>
      </c>
      <c r="Q592" s="33" t="s">
        <v>1796</v>
      </c>
    </row>
    <row r="593" spans="1:17" hidden="1">
      <c r="A593" s="33" t="s">
        <v>3900</v>
      </c>
      <c r="B593" s="33" t="s">
        <v>3901</v>
      </c>
      <c r="C593" s="33" t="s">
        <v>1980</v>
      </c>
      <c r="D593" s="33" t="s">
        <v>41</v>
      </c>
      <c r="E593" s="33" t="s">
        <v>3857</v>
      </c>
      <c r="F593" s="33" t="s">
        <v>1787</v>
      </c>
      <c r="G593" s="33" t="s">
        <v>1981</v>
      </c>
      <c r="H593" s="33" t="s">
        <v>3902</v>
      </c>
      <c r="I593" s="33" t="s">
        <v>3902</v>
      </c>
      <c r="J593" s="33" t="s">
        <v>3903</v>
      </c>
      <c r="K593" s="33" t="s">
        <v>3859</v>
      </c>
      <c r="L593" s="33" t="s">
        <v>3902</v>
      </c>
      <c r="M593" s="33" t="s">
        <v>3284</v>
      </c>
      <c r="N593" s="33" t="s">
        <v>69</v>
      </c>
      <c r="O593" s="33" t="s">
        <v>2597</v>
      </c>
      <c r="P593" s="33" t="s">
        <v>1764</v>
      </c>
      <c r="Q593" s="33" t="s">
        <v>1796</v>
      </c>
    </row>
    <row r="594" spans="1:17" hidden="1">
      <c r="A594" s="33" t="s">
        <v>3904</v>
      </c>
      <c r="B594" s="33" t="s">
        <v>3905</v>
      </c>
      <c r="C594" s="33" t="s">
        <v>1891</v>
      </c>
      <c r="D594" s="33" t="s">
        <v>41</v>
      </c>
      <c r="E594" s="33" t="s">
        <v>3857</v>
      </c>
      <c r="F594" s="33" t="s">
        <v>1815</v>
      </c>
      <c r="G594" s="33" t="s">
        <v>1892</v>
      </c>
      <c r="H594" s="33" t="s">
        <v>1152</v>
      </c>
      <c r="I594" s="33" t="s">
        <v>1152</v>
      </c>
      <c r="J594" s="33" t="s">
        <v>3906</v>
      </c>
      <c r="K594" s="33" t="s">
        <v>3859</v>
      </c>
      <c r="L594" s="33" t="s">
        <v>1152</v>
      </c>
      <c r="M594" s="33" t="s">
        <v>1402</v>
      </c>
      <c r="N594" s="33" t="s">
        <v>43</v>
      </c>
      <c r="O594" s="33" t="s">
        <v>3568</v>
      </c>
      <c r="P594" s="33" t="s">
        <v>1764</v>
      </c>
      <c r="Q594" s="33" t="s">
        <v>1796</v>
      </c>
    </row>
    <row r="595" spans="1:17" hidden="1">
      <c r="A595" s="33" t="s">
        <v>3907</v>
      </c>
      <c r="B595" s="33" t="s">
        <v>3908</v>
      </c>
      <c r="C595" s="33" t="s">
        <v>1785</v>
      </c>
      <c r="D595" s="33" t="s">
        <v>41</v>
      </c>
      <c r="E595" s="33" t="s">
        <v>3857</v>
      </c>
      <c r="F595" s="33" t="s">
        <v>1787</v>
      </c>
      <c r="G595" s="33" t="s">
        <v>1799</v>
      </c>
      <c r="H595" s="33" t="s">
        <v>1152</v>
      </c>
      <c r="I595" s="33" t="s">
        <v>1152</v>
      </c>
      <c r="J595" s="33" t="s">
        <v>3909</v>
      </c>
      <c r="K595" s="33" t="s">
        <v>3859</v>
      </c>
      <c r="L595" s="33" t="s">
        <v>1152</v>
      </c>
      <c r="M595" s="33" t="s">
        <v>196</v>
      </c>
      <c r="N595" s="33" t="s">
        <v>1083</v>
      </c>
      <c r="O595" s="33" t="s">
        <v>3910</v>
      </c>
      <c r="P595" s="33" t="s">
        <v>1764</v>
      </c>
      <c r="Q595" s="33" t="s">
        <v>1796</v>
      </c>
    </row>
    <row r="596" spans="1:17" hidden="1">
      <c r="A596" s="33" t="s">
        <v>3911</v>
      </c>
      <c r="B596" s="33" t="s">
        <v>3912</v>
      </c>
      <c r="C596" s="33" t="s">
        <v>3205</v>
      </c>
      <c r="D596" s="33" t="s">
        <v>41</v>
      </c>
      <c r="E596" s="33" t="s">
        <v>3857</v>
      </c>
      <c r="F596" s="33" t="s">
        <v>1787</v>
      </c>
      <c r="G596" s="33" t="s">
        <v>3206</v>
      </c>
      <c r="H596" s="33" t="s">
        <v>1206</v>
      </c>
      <c r="I596" s="33" t="s">
        <v>3898</v>
      </c>
      <c r="J596" s="33" t="s">
        <v>3913</v>
      </c>
      <c r="K596" s="33" t="s">
        <v>3859</v>
      </c>
      <c r="L596" s="33" t="s">
        <v>1206</v>
      </c>
      <c r="M596" s="33" t="s">
        <v>197</v>
      </c>
      <c r="N596" s="33" t="s">
        <v>197</v>
      </c>
      <c r="O596" s="33" t="s">
        <v>190</v>
      </c>
      <c r="P596" s="33" t="s">
        <v>1764</v>
      </c>
      <c r="Q596" s="33" t="s">
        <v>1796</v>
      </c>
    </row>
    <row r="597" spans="1:17" hidden="1">
      <c r="A597" s="33" t="s">
        <v>3569</v>
      </c>
      <c r="B597" s="33" t="s">
        <v>3914</v>
      </c>
      <c r="C597" s="33" t="s">
        <v>1831</v>
      </c>
      <c r="D597" s="33" t="s">
        <v>41</v>
      </c>
      <c r="E597" s="33" t="s">
        <v>3857</v>
      </c>
      <c r="F597" s="33" t="s">
        <v>1815</v>
      </c>
      <c r="G597" s="33" t="s">
        <v>1861</v>
      </c>
      <c r="H597" s="33" t="s">
        <v>1206</v>
      </c>
      <c r="I597" s="33" t="s">
        <v>1206</v>
      </c>
      <c r="J597" s="33" t="s">
        <v>3915</v>
      </c>
      <c r="K597" s="33" t="s">
        <v>3859</v>
      </c>
      <c r="L597" s="33" t="s">
        <v>1206</v>
      </c>
      <c r="M597" s="33" t="s">
        <v>197</v>
      </c>
      <c r="N597" s="33" t="s">
        <v>3565</v>
      </c>
      <c r="O597" s="33" t="s">
        <v>1840</v>
      </c>
      <c r="P597" s="33" t="s">
        <v>1764</v>
      </c>
      <c r="Q597" s="33" t="s">
        <v>1796</v>
      </c>
    </row>
    <row r="598" spans="1:17" hidden="1">
      <c r="A598" s="33" t="s">
        <v>3916</v>
      </c>
      <c r="B598" s="33" t="s">
        <v>3917</v>
      </c>
      <c r="C598" s="33" t="s">
        <v>1819</v>
      </c>
      <c r="D598" s="33" t="s">
        <v>41</v>
      </c>
      <c r="E598" s="33" t="s">
        <v>3857</v>
      </c>
      <c r="F598" s="33" t="s">
        <v>1787</v>
      </c>
      <c r="G598" s="33" t="s">
        <v>1954</v>
      </c>
      <c r="H598" s="33" t="s">
        <v>1206</v>
      </c>
      <c r="I598" s="33" t="s">
        <v>1206</v>
      </c>
      <c r="J598" s="33" t="s">
        <v>3918</v>
      </c>
      <c r="K598" s="33" t="s">
        <v>3859</v>
      </c>
      <c r="L598" s="33" t="s">
        <v>1206</v>
      </c>
      <c r="M598" s="33" t="s">
        <v>3284</v>
      </c>
      <c r="N598" s="33" t="s">
        <v>1078</v>
      </c>
      <c r="O598" s="33" t="s">
        <v>1923</v>
      </c>
      <c r="P598" s="33" t="s">
        <v>1764</v>
      </c>
      <c r="Q598" s="33" t="s">
        <v>1796</v>
      </c>
    </row>
    <row r="599" spans="1:17" hidden="1">
      <c r="A599" s="33" t="s">
        <v>3919</v>
      </c>
      <c r="B599" s="33" t="s">
        <v>3920</v>
      </c>
      <c r="C599" s="33" t="s">
        <v>1819</v>
      </c>
      <c r="D599" s="33" t="s">
        <v>41</v>
      </c>
      <c r="E599" s="33" t="s">
        <v>3857</v>
      </c>
      <c r="F599" s="33" t="s">
        <v>1787</v>
      </c>
      <c r="G599" s="33" t="s">
        <v>1954</v>
      </c>
      <c r="H599" s="33" t="s">
        <v>1206</v>
      </c>
      <c r="I599" s="33" t="s">
        <v>1206</v>
      </c>
      <c r="J599" s="33" t="s">
        <v>3921</v>
      </c>
      <c r="K599" s="33" t="s">
        <v>3859</v>
      </c>
      <c r="L599" s="33" t="s">
        <v>1206</v>
      </c>
      <c r="M599" s="33" t="s">
        <v>3310</v>
      </c>
      <c r="N599" s="33" t="s">
        <v>1078</v>
      </c>
      <c r="O599" s="33" t="s">
        <v>1923</v>
      </c>
      <c r="P599" s="33" t="s">
        <v>1764</v>
      </c>
      <c r="Q599" s="33" t="s">
        <v>1796</v>
      </c>
    </row>
    <row r="600" spans="1:17" hidden="1">
      <c r="A600" s="33" t="s">
        <v>3922</v>
      </c>
      <c r="B600" s="33" t="s">
        <v>3923</v>
      </c>
      <c r="C600" s="33" t="s">
        <v>1831</v>
      </c>
      <c r="D600" s="33" t="s">
        <v>41</v>
      </c>
      <c r="E600" s="33" t="s">
        <v>3857</v>
      </c>
      <c r="F600" s="33" t="s">
        <v>1815</v>
      </c>
      <c r="G600" s="33" t="s">
        <v>1872</v>
      </c>
      <c r="H600" s="33" t="s">
        <v>1206</v>
      </c>
      <c r="I600" s="33" t="s">
        <v>1206</v>
      </c>
      <c r="J600" s="33" t="s">
        <v>3924</v>
      </c>
      <c r="K600" s="33" t="s">
        <v>3859</v>
      </c>
      <c r="L600" s="33" t="s">
        <v>1206</v>
      </c>
      <c r="M600" s="33" t="s">
        <v>197</v>
      </c>
      <c r="N600" s="33" t="s">
        <v>197</v>
      </c>
      <c r="O600" s="33" t="s">
        <v>3925</v>
      </c>
      <c r="P600" s="33" t="s">
        <v>1764</v>
      </c>
      <c r="Q600" s="33" t="s">
        <v>1796</v>
      </c>
    </row>
    <row r="601" spans="1:17" hidden="1">
      <c r="A601" s="33" t="s">
        <v>1961</v>
      </c>
      <c r="B601" s="33" t="s">
        <v>3926</v>
      </c>
      <c r="C601" s="33" t="s">
        <v>1831</v>
      </c>
      <c r="D601" s="33" t="s">
        <v>41</v>
      </c>
      <c r="E601" s="33" t="s">
        <v>3857</v>
      </c>
      <c r="F601" s="33" t="s">
        <v>1815</v>
      </c>
      <c r="G601" s="33" t="s">
        <v>1872</v>
      </c>
      <c r="H601" s="33" t="s">
        <v>1206</v>
      </c>
      <c r="I601" s="33" t="s">
        <v>1206</v>
      </c>
      <c r="J601" s="33" t="s">
        <v>3927</v>
      </c>
      <c r="K601" s="33" t="s">
        <v>3859</v>
      </c>
      <c r="L601" s="33" t="s">
        <v>1206</v>
      </c>
      <c r="M601" s="33" t="s">
        <v>197</v>
      </c>
      <c r="N601" s="33" t="s">
        <v>197</v>
      </c>
      <c r="O601" s="33" t="s">
        <v>3928</v>
      </c>
      <c r="P601" s="33" t="s">
        <v>1764</v>
      </c>
      <c r="Q601" s="33" t="s">
        <v>1796</v>
      </c>
    </row>
    <row r="602" spans="1:17" hidden="1">
      <c r="A602" s="33" t="s">
        <v>3929</v>
      </c>
      <c r="B602" s="33" t="s">
        <v>3930</v>
      </c>
      <c r="C602" s="33" t="s">
        <v>1831</v>
      </c>
      <c r="D602" s="33" t="s">
        <v>41</v>
      </c>
      <c r="E602" s="33" t="s">
        <v>3857</v>
      </c>
      <c r="F602" s="33" t="s">
        <v>1856</v>
      </c>
      <c r="G602" s="33" t="s">
        <v>1872</v>
      </c>
      <c r="H602" s="33" t="s">
        <v>1206</v>
      </c>
      <c r="I602" s="33" t="s">
        <v>1206</v>
      </c>
      <c r="J602" s="33" t="s">
        <v>3931</v>
      </c>
      <c r="K602" s="33" t="s">
        <v>3859</v>
      </c>
      <c r="L602" s="33" t="s">
        <v>1206</v>
      </c>
      <c r="M602" s="33" t="s">
        <v>197</v>
      </c>
      <c r="N602" s="33" t="s">
        <v>197</v>
      </c>
      <c r="O602" s="33" t="s">
        <v>3928</v>
      </c>
      <c r="P602" s="33" t="s">
        <v>1764</v>
      </c>
      <c r="Q602" s="33" t="s">
        <v>1796</v>
      </c>
    </row>
    <row r="603" spans="1:17" hidden="1">
      <c r="A603" s="33" t="s">
        <v>3932</v>
      </c>
      <c r="B603" s="33" t="s">
        <v>3933</v>
      </c>
      <c r="C603" s="33" t="s">
        <v>1785</v>
      </c>
      <c r="D603" s="33" t="s">
        <v>41</v>
      </c>
      <c r="E603" s="33" t="s">
        <v>3857</v>
      </c>
      <c r="F603" s="33" t="s">
        <v>1787</v>
      </c>
      <c r="G603" s="33" t="s">
        <v>1799</v>
      </c>
      <c r="H603" s="33" t="s">
        <v>1386</v>
      </c>
      <c r="I603" s="33" t="s">
        <v>1386</v>
      </c>
      <c r="J603" s="33" t="s">
        <v>3934</v>
      </c>
      <c r="K603" s="33" t="s">
        <v>3859</v>
      </c>
      <c r="L603" s="33" t="s">
        <v>1386</v>
      </c>
      <c r="M603" s="33" t="s">
        <v>70</v>
      </c>
      <c r="N603" s="33" t="s">
        <v>1083</v>
      </c>
      <c r="O603" s="33" t="s">
        <v>3935</v>
      </c>
      <c r="P603" s="33" t="s">
        <v>1764</v>
      </c>
      <c r="Q603" s="33" t="s">
        <v>1796</v>
      </c>
    </row>
    <row r="604" spans="1:17" hidden="1">
      <c r="A604" s="33" t="s">
        <v>3936</v>
      </c>
      <c r="B604" s="33" t="s">
        <v>3937</v>
      </c>
      <c r="C604" s="33" t="s">
        <v>1980</v>
      </c>
      <c r="D604" s="33" t="s">
        <v>41</v>
      </c>
      <c r="E604" s="33" t="s">
        <v>3857</v>
      </c>
      <c r="F604" s="33" t="s">
        <v>1787</v>
      </c>
      <c r="G604" s="33" t="s">
        <v>3139</v>
      </c>
      <c r="H604" s="33" t="s">
        <v>1386</v>
      </c>
      <c r="I604" s="33" t="s">
        <v>1386</v>
      </c>
      <c r="J604" s="33" t="s">
        <v>3938</v>
      </c>
      <c r="K604" s="33" t="s">
        <v>3859</v>
      </c>
      <c r="L604" s="33" t="s">
        <v>1386</v>
      </c>
      <c r="M604" s="33" t="s">
        <v>195</v>
      </c>
      <c r="N604" s="33" t="s">
        <v>69</v>
      </c>
      <c r="O604" s="33" t="s">
        <v>1938</v>
      </c>
      <c r="P604" s="33" t="s">
        <v>1764</v>
      </c>
      <c r="Q604" s="33" t="s">
        <v>1796</v>
      </c>
    </row>
    <row r="605" spans="1:17" hidden="1">
      <c r="A605" s="33" t="s">
        <v>3939</v>
      </c>
      <c r="B605" s="33" t="s">
        <v>3940</v>
      </c>
      <c r="C605" s="33" t="s">
        <v>1980</v>
      </c>
      <c r="D605" s="33" t="s">
        <v>41</v>
      </c>
      <c r="E605" s="33" t="s">
        <v>3857</v>
      </c>
      <c r="F605" s="33" t="s">
        <v>1815</v>
      </c>
      <c r="G605" s="33" t="s">
        <v>3139</v>
      </c>
      <c r="H605" s="33" t="s">
        <v>1386</v>
      </c>
      <c r="I605" s="33" t="s">
        <v>1386</v>
      </c>
      <c r="J605" s="33" t="s">
        <v>3941</v>
      </c>
      <c r="K605" s="33" t="s">
        <v>3859</v>
      </c>
      <c r="L605" s="33" t="s">
        <v>1386</v>
      </c>
      <c r="M605" s="33" t="s">
        <v>197</v>
      </c>
      <c r="N605" s="33" t="s">
        <v>69</v>
      </c>
      <c r="O605" s="33" t="s">
        <v>1938</v>
      </c>
      <c r="P605" s="33" t="s">
        <v>1764</v>
      </c>
      <c r="Q605" s="33" t="s">
        <v>1796</v>
      </c>
    </row>
    <row r="606" spans="1:17" hidden="1">
      <c r="A606" s="33" t="s">
        <v>3942</v>
      </c>
      <c r="B606" s="33" t="s">
        <v>3943</v>
      </c>
      <c r="C606" s="33" t="s">
        <v>2205</v>
      </c>
      <c r="D606" s="33" t="s">
        <v>41</v>
      </c>
      <c r="E606" s="33" t="s">
        <v>3857</v>
      </c>
      <c r="F606" s="33" t="s">
        <v>1787</v>
      </c>
      <c r="G606" s="33" t="s">
        <v>3944</v>
      </c>
      <c r="H606" s="33" t="s">
        <v>1386</v>
      </c>
      <c r="I606" s="33" t="s">
        <v>1386</v>
      </c>
      <c r="J606" s="33" t="s">
        <v>3945</v>
      </c>
      <c r="K606" s="33" t="s">
        <v>3859</v>
      </c>
      <c r="L606" s="33" t="s">
        <v>1386</v>
      </c>
      <c r="M606" s="33" t="s">
        <v>77</v>
      </c>
      <c r="N606" s="33" t="s">
        <v>77</v>
      </c>
      <c r="O606" s="33" t="s">
        <v>1938</v>
      </c>
      <c r="P606" s="33" t="s">
        <v>1764</v>
      </c>
      <c r="Q606" s="33" t="s">
        <v>1796</v>
      </c>
    </row>
    <row r="607" spans="1:17" hidden="1">
      <c r="A607" s="33" t="s">
        <v>3946</v>
      </c>
      <c r="B607" s="33" t="s">
        <v>3947</v>
      </c>
      <c r="C607" s="33" t="s">
        <v>2026</v>
      </c>
      <c r="D607" s="33" t="s">
        <v>41</v>
      </c>
      <c r="E607" s="33" t="s">
        <v>3857</v>
      </c>
      <c r="F607" s="33" t="s">
        <v>1787</v>
      </c>
      <c r="G607" s="33" t="s">
        <v>90</v>
      </c>
      <c r="H607" s="33" t="s">
        <v>3948</v>
      </c>
      <c r="I607" s="33" t="s">
        <v>3948</v>
      </c>
      <c r="J607" s="33" t="s">
        <v>3949</v>
      </c>
      <c r="K607" s="33" t="s">
        <v>3859</v>
      </c>
      <c r="L607" s="33" t="s">
        <v>3948</v>
      </c>
      <c r="M607" s="33" t="s">
        <v>78</v>
      </c>
      <c r="N607" s="33" t="s">
        <v>1402</v>
      </c>
      <c r="O607" s="33" t="s">
        <v>3749</v>
      </c>
      <c r="P607" s="33" t="s">
        <v>1764</v>
      </c>
      <c r="Q607" s="33" t="s">
        <v>1796</v>
      </c>
    </row>
    <row r="608" spans="1:17" hidden="1">
      <c r="A608" s="33" t="s">
        <v>3950</v>
      </c>
      <c r="B608" s="33" t="s">
        <v>3951</v>
      </c>
      <c r="C608" s="33" t="s">
        <v>1831</v>
      </c>
      <c r="D608" s="33" t="s">
        <v>41</v>
      </c>
      <c r="E608" s="33" t="s">
        <v>3857</v>
      </c>
      <c r="F608" s="33" t="s">
        <v>1864</v>
      </c>
      <c r="G608" s="33" t="s">
        <v>1872</v>
      </c>
      <c r="H608" s="33" t="s">
        <v>3948</v>
      </c>
      <c r="I608" s="33" t="s">
        <v>3948</v>
      </c>
      <c r="J608" s="33" t="s">
        <v>3952</v>
      </c>
      <c r="K608" s="33" t="s">
        <v>3859</v>
      </c>
      <c r="L608" s="33" t="s">
        <v>3948</v>
      </c>
      <c r="M608" s="33" t="s">
        <v>78</v>
      </c>
      <c r="N608" s="33" t="s">
        <v>197</v>
      </c>
      <c r="O608" s="33" t="s">
        <v>3953</v>
      </c>
      <c r="P608" s="33" t="s">
        <v>1764</v>
      </c>
      <c r="Q608" s="33" t="s">
        <v>1796</v>
      </c>
    </row>
    <row r="609" spans="1:17" hidden="1">
      <c r="A609" s="33" t="s">
        <v>3954</v>
      </c>
      <c r="B609" s="33" t="s">
        <v>3955</v>
      </c>
      <c r="C609" s="33" t="s">
        <v>1819</v>
      </c>
      <c r="D609" s="33" t="s">
        <v>41</v>
      </c>
      <c r="E609" s="33" t="s">
        <v>3857</v>
      </c>
      <c r="F609" s="33" t="s">
        <v>1787</v>
      </c>
      <c r="G609" s="33" t="s">
        <v>1954</v>
      </c>
      <c r="H609" s="33" t="s">
        <v>3948</v>
      </c>
      <c r="I609" s="33" t="s">
        <v>3948</v>
      </c>
      <c r="J609" s="33" t="s">
        <v>3956</v>
      </c>
      <c r="K609" s="33" t="s">
        <v>3859</v>
      </c>
      <c r="L609" s="33" t="s">
        <v>3948</v>
      </c>
      <c r="M609" s="33" t="s">
        <v>3310</v>
      </c>
      <c r="N609" s="33" t="s">
        <v>3565</v>
      </c>
      <c r="O609" s="33" t="s">
        <v>1930</v>
      </c>
      <c r="P609" s="33" t="s">
        <v>1764</v>
      </c>
      <c r="Q609" s="33" t="s">
        <v>1796</v>
      </c>
    </row>
    <row r="610" spans="1:17" hidden="1">
      <c r="A610" s="33" t="s">
        <v>3957</v>
      </c>
      <c r="B610" s="33" t="s">
        <v>3958</v>
      </c>
      <c r="C610" s="33" t="s">
        <v>1831</v>
      </c>
      <c r="D610" s="33" t="s">
        <v>41</v>
      </c>
      <c r="E610" s="33" t="s">
        <v>3857</v>
      </c>
      <c r="F610" s="33" t="s">
        <v>1815</v>
      </c>
      <c r="G610" s="33" t="s">
        <v>1872</v>
      </c>
      <c r="H610" s="33" t="s">
        <v>3948</v>
      </c>
      <c r="I610" s="33" t="s">
        <v>3948</v>
      </c>
      <c r="J610" s="33" t="s">
        <v>3959</v>
      </c>
      <c r="K610" s="33" t="s">
        <v>3859</v>
      </c>
      <c r="L610" s="33" t="s">
        <v>3948</v>
      </c>
      <c r="M610" s="33" t="s">
        <v>58</v>
      </c>
      <c r="N610" s="33" t="s">
        <v>197</v>
      </c>
      <c r="O610" s="33" t="s">
        <v>3928</v>
      </c>
      <c r="P610" s="33" t="s">
        <v>1764</v>
      </c>
      <c r="Q610" s="33" t="s">
        <v>1796</v>
      </c>
    </row>
    <row r="611" spans="1:17" hidden="1">
      <c r="A611" s="33" t="s">
        <v>3960</v>
      </c>
      <c r="B611" s="33" t="s">
        <v>3961</v>
      </c>
      <c r="C611" s="33" t="s">
        <v>1831</v>
      </c>
      <c r="D611" s="33" t="s">
        <v>41</v>
      </c>
      <c r="E611" s="33" t="s">
        <v>3857</v>
      </c>
      <c r="F611" s="33" t="s">
        <v>1815</v>
      </c>
      <c r="G611" s="33" t="s">
        <v>1872</v>
      </c>
      <c r="H611" s="33" t="s">
        <v>3948</v>
      </c>
      <c r="I611" s="33" t="s">
        <v>3948</v>
      </c>
      <c r="J611" s="33" t="s">
        <v>3962</v>
      </c>
      <c r="K611" s="33" t="s">
        <v>3859</v>
      </c>
      <c r="L611" s="33" t="s">
        <v>3948</v>
      </c>
      <c r="M611" s="33" t="s">
        <v>69</v>
      </c>
      <c r="N611" s="33" t="s">
        <v>197</v>
      </c>
      <c r="O611" s="33" t="s">
        <v>3963</v>
      </c>
      <c r="P611" s="33" t="s">
        <v>1764</v>
      </c>
      <c r="Q611" s="33" t="s">
        <v>1796</v>
      </c>
    </row>
    <row r="612" spans="1:17" hidden="1">
      <c r="A612" s="33" t="s">
        <v>3964</v>
      </c>
      <c r="B612" s="33" t="s">
        <v>3965</v>
      </c>
      <c r="C612" s="33" t="s">
        <v>1819</v>
      </c>
      <c r="D612" s="33" t="s">
        <v>41</v>
      </c>
      <c r="E612" s="33" t="s">
        <v>3857</v>
      </c>
      <c r="F612" s="33" t="s">
        <v>1815</v>
      </c>
      <c r="G612" s="33" t="s">
        <v>2324</v>
      </c>
      <c r="H612" s="33" t="s">
        <v>3966</v>
      </c>
      <c r="I612" s="33" t="s">
        <v>3966</v>
      </c>
      <c r="J612" s="33" t="s">
        <v>3967</v>
      </c>
      <c r="K612" s="33" t="s">
        <v>3859</v>
      </c>
      <c r="L612" s="33" t="s">
        <v>3966</v>
      </c>
      <c r="M612" s="33" t="s">
        <v>77</v>
      </c>
      <c r="N612" s="33" t="s">
        <v>1078</v>
      </c>
      <c r="O612" s="33" t="s">
        <v>190</v>
      </c>
      <c r="P612" s="33" t="s">
        <v>1764</v>
      </c>
      <c r="Q612" s="33" t="s">
        <v>1796</v>
      </c>
    </row>
    <row r="613" spans="1:17" hidden="1">
      <c r="A613" s="33" t="s">
        <v>3939</v>
      </c>
      <c r="B613" s="33" t="s">
        <v>3968</v>
      </c>
      <c r="C613" s="33" t="s">
        <v>1980</v>
      </c>
      <c r="D613" s="33" t="s">
        <v>41</v>
      </c>
      <c r="E613" s="33" t="s">
        <v>3857</v>
      </c>
      <c r="F613" s="33" t="s">
        <v>1815</v>
      </c>
      <c r="G613" s="33" t="s">
        <v>3139</v>
      </c>
      <c r="H613" s="33" t="s">
        <v>3966</v>
      </c>
      <c r="I613" s="33" t="s">
        <v>3966</v>
      </c>
      <c r="J613" s="33" t="s">
        <v>3969</v>
      </c>
      <c r="K613" s="33" t="s">
        <v>3859</v>
      </c>
      <c r="L613" s="33" t="s">
        <v>3966</v>
      </c>
      <c r="M613" s="33" t="s">
        <v>3284</v>
      </c>
      <c r="N613" s="33" t="s">
        <v>69</v>
      </c>
      <c r="O613" s="33" t="s">
        <v>1938</v>
      </c>
      <c r="P613" s="33" t="s">
        <v>1764</v>
      </c>
      <c r="Q613" s="33" t="s">
        <v>1796</v>
      </c>
    </row>
    <row r="614" spans="1:17" hidden="1">
      <c r="A614" s="33" t="s">
        <v>3970</v>
      </c>
      <c r="B614" s="33" t="s">
        <v>3971</v>
      </c>
      <c r="C614" s="33" t="s">
        <v>2273</v>
      </c>
      <c r="D614" s="33" t="s">
        <v>41</v>
      </c>
      <c r="E614" s="33" t="s">
        <v>3857</v>
      </c>
      <c r="F614" s="33" t="s">
        <v>1787</v>
      </c>
      <c r="G614" s="33" t="s">
        <v>2274</v>
      </c>
      <c r="H614" s="33" t="s">
        <v>3966</v>
      </c>
      <c r="I614" s="33" t="s">
        <v>3966</v>
      </c>
      <c r="J614" s="33" t="s">
        <v>3972</v>
      </c>
      <c r="K614" s="33" t="s">
        <v>3859</v>
      </c>
      <c r="L614" s="33" t="s">
        <v>3966</v>
      </c>
      <c r="M614" s="33" t="s">
        <v>3284</v>
      </c>
      <c r="N614" s="33" t="s">
        <v>3284</v>
      </c>
      <c r="O614" s="33" t="s">
        <v>3973</v>
      </c>
      <c r="P614" s="33" t="s">
        <v>1764</v>
      </c>
      <c r="Q614" s="33" t="s">
        <v>1796</v>
      </c>
    </row>
    <row r="615" spans="1:17">
      <c r="A615" s="33" t="s">
        <v>3974</v>
      </c>
      <c r="B615" s="33" t="s">
        <v>3975</v>
      </c>
      <c r="C615" s="33" t="s">
        <v>2026</v>
      </c>
      <c r="D615" s="33" t="s">
        <v>90</v>
      </c>
      <c r="E615" s="33" t="s">
        <v>3976</v>
      </c>
      <c r="F615" s="33" t="s">
        <v>1787</v>
      </c>
      <c r="G615" s="33" t="s">
        <v>90</v>
      </c>
      <c r="H615" s="33" t="s">
        <v>3966</v>
      </c>
      <c r="I615" s="33" t="s">
        <v>3966</v>
      </c>
      <c r="J615" s="33" t="s">
        <v>3977</v>
      </c>
      <c r="K615" s="33" t="s">
        <v>1791</v>
      </c>
      <c r="L615" s="33" t="s">
        <v>3966</v>
      </c>
      <c r="M615" s="33" t="s">
        <v>3284</v>
      </c>
      <c r="N615" s="33" t="s">
        <v>1402</v>
      </c>
      <c r="O615" s="33" t="s">
        <v>1895</v>
      </c>
      <c r="P615" s="33" t="s">
        <v>1764</v>
      </c>
      <c r="Q615" s="33" t="s">
        <v>1796</v>
      </c>
    </row>
    <row r="616" spans="1:17" hidden="1">
      <c r="A616" s="33" t="s">
        <v>3978</v>
      </c>
      <c r="B616" s="33" t="s">
        <v>3979</v>
      </c>
      <c r="C616" s="33" t="s">
        <v>2026</v>
      </c>
      <c r="D616" s="33" t="s">
        <v>41</v>
      </c>
      <c r="E616" s="33" t="s">
        <v>3857</v>
      </c>
      <c r="F616" s="33" t="s">
        <v>1787</v>
      </c>
      <c r="G616" s="33" t="s">
        <v>90</v>
      </c>
      <c r="H616" s="33" t="s">
        <v>3966</v>
      </c>
      <c r="I616" s="33" t="s">
        <v>3966</v>
      </c>
      <c r="J616" s="33" t="s">
        <v>3977</v>
      </c>
      <c r="K616" s="33" t="s">
        <v>3859</v>
      </c>
      <c r="L616" s="33" t="s">
        <v>3966</v>
      </c>
      <c r="M616" s="33" t="s">
        <v>3284</v>
      </c>
      <c r="N616" s="33" t="s">
        <v>1397</v>
      </c>
      <c r="O616" s="33" t="s">
        <v>1895</v>
      </c>
      <c r="P616" s="33" t="s">
        <v>1764</v>
      </c>
      <c r="Q616" s="33" t="s">
        <v>1796</v>
      </c>
    </row>
    <row r="617" spans="1:17" hidden="1">
      <c r="A617" s="33" t="s">
        <v>3980</v>
      </c>
      <c r="B617" s="33" t="s">
        <v>3981</v>
      </c>
      <c r="C617" s="33" t="s">
        <v>2026</v>
      </c>
      <c r="D617" s="33" t="s">
        <v>41</v>
      </c>
      <c r="E617" s="33" t="s">
        <v>3857</v>
      </c>
      <c r="F617" s="33" t="s">
        <v>1787</v>
      </c>
      <c r="G617" s="33" t="s">
        <v>90</v>
      </c>
      <c r="H617" s="33" t="s">
        <v>3966</v>
      </c>
      <c r="I617" s="33" t="s">
        <v>3966</v>
      </c>
      <c r="J617" s="33" t="s">
        <v>3977</v>
      </c>
      <c r="K617" s="33" t="s">
        <v>3859</v>
      </c>
      <c r="L617" s="33" t="s">
        <v>3966</v>
      </c>
      <c r="M617" s="33" t="s">
        <v>3284</v>
      </c>
      <c r="N617" s="33" t="s">
        <v>1402</v>
      </c>
      <c r="O617" s="33" t="s">
        <v>1895</v>
      </c>
      <c r="P617" s="33" t="s">
        <v>1764</v>
      </c>
      <c r="Q617" s="33" t="s">
        <v>1796</v>
      </c>
    </row>
    <row r="618" spans="1:17" hidden="1">
      <c r="A618" s="33" t="s">
        <v>3982</v>
      </c>
      <c r="B618" s="33" t="s">
        <v>3983</v>
      </c>
      <c r="C618" s="33" t="s">
        <v>2026</v>
      </c>
      <c r="D618" s="33" t="s">
        <v>41</v>
      </c>
      <c r="E618" s="33" t="s">
        <v>3857</v>
      </c>
      <c r="F618" s="33" t="s">
        <v>1787</v>
      </c>
      <c r="G618" s="33" t="s">
        <v>90</v>
      </c>
      <c r="H618" s="33" t="s">
        <v>3966</v>
      </c>
      <c r="I618" s="33" t="s">
        <v>3966</v>
      </c>
      <c r="J618" s="33" t="s">
        <v>3984</v>
      </c>
      <c r="K618" s="33" t="s">
        <v>3859</v>
      </c>
      <c r="L618" s="33" t="s">
        <v>3966</v>
      </c>
      <c r="M618" s="33" t="s">
        <v>3284</v>
      </c>
      <c r="N618" s="33" t="s">
        <v>1402</v>
      </c>
      <c r="O618" s="33" t="s">
        <v>1923</v>
      </c>
      <c r="P618" s="33" t="s">
        <v>1764</v>
      </c>
      <c r="Q618" s="33" t="s">
        <v>1796</v>
      </c>
    </row>
    <row r="619" spans="1:17" hidden="1">
      <c r="A619" s="33" t="s">
        <v>3830</v>
      </c>
      <c r="B619" s="33" t="s">
        <v>3985</v>
      </c>
      <c r="C619" s="33" t="s">
        <v>1980</v>
      </c>
      <c r="D619" s="33" t="s">
        <v>41</v>
      </c>
      <c r="E619" s="33" t="s">
        <v>3857</v>
      </c>
      <c r="F619" s="33" t="s">
        <v>1787</v>
      </c>
      <c r="G619" s="33" t="s">
        <v>3139</v>
      </c>
      <c r="H619" s="33" t="s">
        <v>3966</v>
      </c>
      <c r="I619" s="33" t="s">
        <v>3966</v>
      </c>
      <c r="J619" s="33" t="s">
        <v>3986</v>
      </c>
      <c r="K619" s="33" t="s">
        <v>3859</v>
      </c>
      <c r="L619" s="33" t="s">
        <v>3966</v>
      </c>
      <c r="M619" s="33" t="s">
        <v>3284</v>
      </c>
      <c r="N619" s="33" t="s">
        <v>69</v>
      </c>
      <c r="O619" s="33" t="s">
        <v>1938</v>
      </c>
      <c r="P619" s="33" t="s">
        <v>1764</v>
      </c>
      <c r="Q619" s="33" t="s">
        <v>1796</v>
      </c>
    </row>
    <row r="620" spans="1:17" hidden="1">
      <c r="A620" s="33" t="s">
        <v>3987</v>
      </c>
      <c r="B620" s="33" t="s">
        <v>3988</v>
      </c>
      <c r="C620" s="33" t="s">
        <v>1980</v>
      </c>
      <c r="D620" s="33" t="s">
        <v>41</v>
      </c>
      <c r="E620" s="33" t="s">
        <v>3857</v>
      </c>
      <c r="F620" s="33" t="s">
        <v>1787</v>
      </c>
      <c r="G620" s="33" t="s">
        <v>1981</v>
      </c>
      <c r="H620" s="33" t="s">
        <v>3989</v>
      </c>
      <c r="I620" s="33" t="s">
        <v>3989</v>
      </c>
      <c r="J620" s="33" t="s">
        <v>3990</v>
      </c>
      <c r="K620" s="33" t="s">
        <v>3859</v>
      </c>
      <c r="L620" s="33" t="s">
        <v>3989</v>
      </c>
      <c r="M620" s="33" t="s">
        <v>3284</v>
      </c>
      <c r="N620" s="33" t="s">
        <v>69</v>
      </c>
      <c r="O620" s="33" t="s">
        <v>2597</v>
      </c>
      <c r="P620" s="33" t="s">
        <v>1764</v>
      </c>
      <c r="Q620" s="33" t="s">
        <v>1796</v>
      </c>
    </row>
    <row r="621" spans="1:17" hidden="1">
      <c r="A621" s="33" t="s">
        <v>3991</v>
      </c>
      <c r="B621" s="33" t="s">
        <v>3992</v>
      </c>
      <c r="C621" s="33" t="s">
        <v>1980</v>
      </c>
      <c r="D621" s="33" t="s">
        <v>41</v>
      </c>
      <c r="E621" s="33" t="s">
        <v>3857</v>
      </c>
      <c r="F621" s="33" t="s">
        <v>1787</v>
      </c>
      <c r="G621" s="33" t="s">
        <v>1981</v>
      </c>
      <c r="H621" s="33" t="s">
        <v>3989</v>
      </c>
      <c r="I621" s="33" t="s">
        <v>3989</v>
      </c>
      <c r="J621" s="33" t="s">
        <v>3993</v>
      </c>
      <c r="K621" s="33" t="s">
        <v>3859</v>
      </c>
      <c r="L621" s="33" t="s">
        <v>3989</v>
      </c>
      <c r="M621" s="33" t="s">
        <v>970</v>
      </c>
      <c r="N621" s="33" t="s">
        <v>69</v>
      </c>
      <c r="O621" s="33" t="s">
        <v>3191</v>
      </c>
      <c r="P621" s="33" t="s">
        <v>1764</v>
      </c>
      <c r="Q621" s="33" t="s">
        <v>1796</v>
      </c>
    </row>
    <row r="622" spans="1:17" hidden="1">
      <c r="A622" s="33" t="s">
        <v>3994</v>
      </c>
      <c r="B622" s="33" t="s">
        <v>3995</v>
      </c>
      <c r="C622" s="33" t="s">
        <v>1980</v>
      </c>
      <c r="D622" s="33" t="s">
        <v>41</v>
      </c>
      <c r="E622" s="33" t="s">
        <v>3857</v>
      </c>
      <c r="F622" s="33" t="s">
        <v>1856</v>
      </c>
      <c r="G622" s="33" t="s">
        <v>1981</v>
      </c>
      <c r="H622" s="33" t="s">
        <v>3989</v>
      </c>
      <c r="I622" s="33" t="s">
        <v>3989</v>
      </c>
      <c r="J622" s="33" t="s">
        <v>3996</v>
      </c>
      <c r="K622" s="33" t="s">
        <v>3859</v>
      </c>
      <c r="L622" s="33" t="s">
        <v>3989</v>
      </c>
      <c r="M622" s="33" t="s">
        <v>95</v>
      </c>
      <c r="N622" s="33" t="s">
        <v>69</v>
      </c>
      <c r="O622" s="33" t="s">
        <v>3191</v>
      </c>
      <c r="P622" s="33" t="s">
        <v>1764</v>
      </c>
      <c r="Q622" s="33" t="s">
        <v>1796</v>
      </c>
    </row>
    <row r="623" spans="1:17" hidden="1">
      <c r="A623" s="33" t="s">
        <v>3997</v>
      </c>
      <c r="B623" s="33" t="s">
        <v>3998</v>
      </c>
      <c r="C623" s="33" t="s">
        <v>2205</v>
      </c>
      <c r="D623" s="33" t="s">
        <v>41</v>
      </c>
      <c r="E623" s="33" t="s">
        <v>3857</v>
      </c>
      <c r="F623" s="33" t="s">
        <v>1787</v>
      </c>
      <c r="G623" s="33" t="s">
        <v>3289</v>
      </c>
      <c r="H623" s="33" t="s">
        <v>3696</v>
      </c>
      <c r="I623" s="33" t="s">
        <v>3696</v>
      </c>
      <c r="J623" s="33" t="s">
        <v>3999</v>
      </c>
      <c r="K623" s="33" t="s">
        <v>3859</v>
      </c>
      <c r="L623" s="33" t="s">
        <v>3696</v>
      </c>
      <c r="M623" s="33" t="s">
        <v>77</v>
      </c>
      <c r="N623" s="33" t="s">
        <v>77</v>
      </c>
      <c r="O623" s="33" t="s">
        <v>3606</v>
      </c>
      <c r="P623" s="33" t="s">
        <v>1764</v>
      </c>
      <c r="Q623" s="33" t="s">
        <v>1796</v>
      </c>
    </row>
    <row r="624" spans="1:17" hidden="1">
      <c r="A624" s="33" t="s">
        <v>4000</v>
      </c>
      <c r="B624" s="33" t="s">
        <v>4001</v>
      </c>
      <c r="C624" s="33" t="s">
        <v>2205</v>
      </c>
      <c r="D624" s="33" t="s">
        <v>41</v>
      </c>
      <c r="E624" s="33" t="s">
        <v>3857</v>
      </c>
      <c r="F624" s="33" t="s">
        <v>1787</v>
      </c>
      <c r="G624" s="33" t="s">
        <v>3944</v>
      </c>
      <c r="H624" s="33" t="s">
        <v>3696</v>
      </c>
      <c r="I624" s="33" t="s">
        <v>3696</v>
      </c>
      <c r="J624" s="33" t="s">
        <v>4002</v>
      </c>
      <c r="K624" s="33" t="s">
        <v>3859</v>
      </c>
      <c r="L624" s="33" t="s">
        <v>3696</v>
      </c>
      <c r="M624" s="33" t="s">
        <v>77</v>
      </c>
      <c r="N624" s="33" t="s">
        <v>77</v>
      </c>
      <c r="O624" s="33" t="s">
        <v>3606</v>
      </c>
      <c r="P624" s="33" t="s">
        <v>1764</v>
      </c>
      <c r="Q624" s="33" t="s">
        <v>1796</v>
      </c>
    </row>
    <row r="625" spans="1:17" hidden="1">
      <c r="A625" s="33" t="s">
        <v>4003</v>
      </c>
      <c r="B625" s="33" t="s">
        <v>4004</v>
      </c>
      <c r="C625" s="33" t="s">
        <v>2205</v>
      </c>
      <c r="D625" s="33" t="s">
        <v>41</v>
      </c>
      <c r="E625" s="33" t="s">
        <v>3857</v>
      </c>
      <c r="F625" s="33" t="s">
        <v>1787</v>
      </c>
      <c r="G625" s="33" t="s">
        <v>3289</v>
      </c>
      <c r="H625" s="33" t="s">
        <v>3696</v>
      </c>
      <c r="I625" s="33" t="s">
        <v>3696</v>
      </c>
      <c r="J625" s="33" t="s">
        <v>4005</v>
      </c>
      <c r="K625" s="33" t="s">
        <v>3859</v>
      </c>
      <c r="L625" s="33" t="s">
        <v>3696</v>
      </c>
      <c r="M625" s="33" t="s">
        <v>77</v>
      </c>
      <c r="N625" s="33" t="s">
        <v>77</v>
      </c>
      <c r="O625" s="33" t="s">
        <v>3606</v>
      </c>
      <c r="P625" s="33" t="s">
        <v>1764</v>
      </c>
      <c r="Q625" s="33" t="s">
        <v>1796</v>
      </c>
    </row>
    <row r="626" spans="1:17" hidden="1">
      <c r="A626" s="33" t="s">
        <v>4006</v>
      </c>
      <c r="B626" s="33" t="s">
        <v>4007</v>
      </c>
      <c r="C626" s="33" t="s">
        <v>2205</v>
      </c>
      <c r="D626" s="33" t="s">
        <v>41</v>
      </c>
      <c r="E626" s="33" t="s">
        <v>3857</v>
      </c>
      <c r="F626" s="33" t="s">
        <v>1787</v>
      </c>
      <c r="G626" s="33" t="s">
        <v>3289</v>
      </c>
      <c r="H626" s="33" t="s">
        <v>3696</v>
      </c>
      <c r="I626" s="33" t="s">
        <v>3696</v>
      </c>
      <c r="J626" s="33" t="s">
        <v>4008</v>
      </c>
      <c r="K626" s="33" t="s">
        <v>3859</v>
      </c>
      <c r="L626" s="33" t="s">
        <v>3696</v>
      </c>
      <c r="M626" s="33" t="s">
        <v>77</v>
      </c>
      <c r="N626" s="33" t="s">
        <v>77</v>
      </c>
      <c r="O626" s="33" t="s">
        <v>3606</v>
      </c>
      <c r="P626" s="33" t="s">
        <v>1764</v>
      </c>
      <c r="Q626" s="33" t="s">
        <v>1796</v>
      </c>
    </row>
    <row r="627" spans="1:17" hidden="1">
      <c r="A627" s="33" t="s">
        <v>4009</v>
      </c>
      <c r="B627" s="33" t="s">
        <v>4010</v>
      </c>
      <c r="C627" s="33" t="s">
        <v>2205</v>
      </c>
      <c r="D627" s="33" t="s">
        <v>41</v>
      </c>
      <c r="E627" s="33" t="s">
        <v>3857</v>
      </c>
      <c r="F627" s="33" t="s">
        <v>1787</v>
      </c>
      <c r="G627" s="33" t="s">
        <v>3289</v>
      </c>
      <c r="H627" s="33" t="s">
        <v>3696</v>
      </c>
      <c r="I627" s="33" t="s">
        <v>3696</v>
      </c>
      <c r="J627" s="33" t="s">
        <v>4011</v>
      </c>
      <c r="K627" s="33" t="s">
        <v>3859</v>
      </c>
      <c r="L627" s="33" t="s">
        <v>3696</v>
      </c>
      <c r="M627" s="33" t="s">
        <v>77</v>
      </c>
      <c r="N627" s="33" t="s">
        <v>77</v>
      </c>
      <c r="O627" s="33" t="s">
        <v>3606</v>
      </c>
      <c r="P627" s="33" t="s">
        <v>1764</v>
      </c>
      <c r="Q627" s="33" t="s">
        <v>1796</v>
      </c>
    </row>
    <row r="628" spans="1:17" hidden="1">
      <c r="A628" s="33" t="s">
        <v>4006</v>
      </c>
      <c r="B628" s="33" t="s">
        <v>4012</v>
      </c>
      <c r="C628" s="33" t="s">
        <v>2205</v>
      </c>
      <c r="D628" s="33" t="s">
        <v>41</v>
      </c>
      <c r="E628" s="33" t="s">
        <v>3857</v>
      </c>
      <c r="F628" s="33" t="s">
        <v>1787</v>
      </c>
      <c r="G628" s="33" t="s">
        <v>3944</v>
      </c>
      <c r="H628" s="33" t="s">
        <v>3696</v>
      </c>
      <c r="I628" s="33" t="s">
        <v>3696</v>
      </c>
      <c r="J628" s="33" t="s">
        <v>4013</v>
      </c>
      <c r="K628" s="33" t="s">
        <v>3859</v>
      </c>
      <c r="L628" s="33" t="s">
        <v>3696</v>
      </c>
      <c r="M628" s="33" t="s">
        <v>77</v>
      </c>
      <c r="N628" s="33" t="s">
        <v>77</v>
      </c>
      <c r="O628" s="33" t="s">
        <v>3606</v>
      </c>
      <c r="P628" s="33" t="s">
        <v>1764</v>
      </c>
      <c r="Q628" s="33" t="s">
        <v>1796</v>
      </c>
    </row>
    <row r="629" spans="1:17" hidden="1">
      <c r="A629" s="33" t="s">
        <v>4006</v>
      </c>
      <c r="B629" s="33" t="s">
        <v>4014</v>
      </c>
      <c r="C629" s="33" t="s">
        <v>2205</v>
      </c>
      <c r="D629" s="33" t="s">
        <v>41</v>
      </c>
      <c r="E629" s="33" t="s">
        <v>3857</v>
      </c>
      <c r="F629" s="33" t="s">
        <v>1787</v>
      </c>
      <c r="G629" s="33" t="s">
        <v>3289</v>
      </c>
      <c r="H629" s="33" t="s">
        <v>3696</v>
      </c>
      <c r="I629" s="33" t="s">
        <v>3696</v>
      </c>
      <c r="J629" s="33" t="s">
        <v>4015</v>
      </c>
      <c r="K629" s="33" t="s">
        <v>3859</v>
      </c>
      <c r="L629" s="33" t="s">
        <v>3696</v>
      </c>
      <c r="M629" s="33" t="s">
        <v>77</v>
      </c>
      <c r="N629" s="33" t="s">
        <v>77</v>
      </c>
      <c r="O629" s="33" t="s">
        <v>3606</v>
      </c>
      <c r="P629" s="33" t="s">
        <v>1764</v>
      </c>
      <c r="Q629" s="33" t="s">
        <v>1796</v>
      </c>
    </row>
    <row r="630" spans="1:17" hidden="1">
      <c r="A630" s="33" t="s">
        <v>4016</v>
      </c>
      <c r="B630" s="33" t="s">
        <v>4017</v>
      </c>
      <c r="C630" s="33" t="s">
        <v>2205</v>
      </c>
      <c r="D630" s="33" t="s">
        <v>41</v>
      </c>
      <c r="E630" s="33" t="s">
        <v>3857</v>
      </c>
      <c r="F630" s="33" t="s">
        <v>1787</v>
      </c>
      <c r="G630" s="33" t="s">
        <v>3289</v>
      </c>
      <c r="H630" s="33" t="s">
        <v>3696</v>
      </c>
      <c r="I630" s="33" t="s">
        <v>3696</v>
      </c>
      <c r="J630" s="33" t="s">
        <v>4018</v>
      </c>
      <c r="K630" s="33" t="s">
        <v>3859</v>
      </c>
      <c r="L630" s="33" t="s">
        <v>3696</v>
      </c>
      <c r="M630" s="33" t="s">
        <v>77</v>
      </c>
      <c r="N630" s="33" t="s">
        <v>77</v>
      </c>
      <c r="O630" s="33" t="s">
        <v>3606</v>
      </c>
      <c r="P630" s="33" t="s">
        <v>1764</v>
      </c>
      <c r="Q630" s="33" t="s">
        <v>1796</v>
      </c>
    </row>
    <row r="631" spans="1:17" hidden="1">
      <c r="A631" s="33" t="s">
        <v>4006</v>
      </c>
      <c r="B631" s="33" t="s">
        <v>4019</v>
      </c>
      <c r="C631" s="33" t="s">
        <v>2205</v>
      </c>
      <c r="D631" s="33" t="s">
        <v>41</v>
      </c>
      <c r="E631" s="33" t="s">
        <v>3857</v>
      </c>
      <c r="F631" s="33" t="s">
        <v>1787</v>
      </c>
      <c r="G631" s="33" t="s">
        <v>3944</v>
      </c>
      <c r="H631" s="33" t="s">
        <v>3696</v>
      </c>
      <c r="I631" s="33" t="s">
        <v>3696</v>
      </c>
      <c r="J631" s="33" t="s">
        <v>4020</v>
      </c>
      <c r="K631" s="33" t="s">
        <v>3859</v>
      </c>
      <c r="L631" s="33" t="s">
        <v>3696</v>
      </c>
      <c r="M631" s="33" t="s">
        <v>77</v>
      </c>
      <c r="N631" s="33" t="s">
        <v>77</v>
      </c>
      <c r="O631" s="33" t="s">
        <v>3606</v>
      </c>
      <c r="P631" s="33" t="s">
        <v>1764</v>
      </c>
      <c r="Q631" s="33" t="s">
        <v>1796</v>
      </c>
    </row>
    <row r="632" spans="1:17" hidden="1">
      <c r="A632" s="33" t="s">
        <v>4006</v>
      </c>
      <c r="B632" s="33" t="s">
        <v>4021</v>
      </c>
      <c r="C632" s="33" t="s">
        <v>2205</v>
      </c>
      <c r="D632" s="33" t="s">
        <v>41</v>
      </c>
      <c r="E632" s="33" t="s">
        <v>3857</v>
      </c>
      <c r="F632" s="33" t="s">
        <v>1787</v>
      </c>
      <c r="G632" s="33" t="s">
        <v>3944</v>
      </c>
      <c r="H632" s="33" t="s">
        <v>3696</v>
      </c>
      <c r="I632" s="33" t="s">
        <v>3696</v>
      </c>
      <c r="J632" s="33" t="s">
        <v>4022</v>
      </c>
      <c r="K632" s="33" t="s">
        <v>3859</v>
      </c>
      <c r="L632" s="33" t="s">
        <v>3696</v>
      </c>
      <c r="M632" s="33" t="s">
        <v>77</v>
      </c>
      <c r="N632" s="33" t="s">
        <v>77</v>
      </c>
      <c r="O632" s="33" t="s">
        <v>3606</v>
      </c>
      <c r="P632" s="33" t="s">
        <v>1764</v>
      </c>
      <c r="Q632" s="33" t="s">
        <v>1796</v>
      </c>
    </row>
    <row r="633" spans="1:17" hidden="1">
      <c r="A633" s="33" t="s">
        <v>4023</v>
      </c>
      <c r="B633" s="33" t="s">
        <v>4024</v>
      </c>
      <c r="C633" s="33" t="s">
        <v>2205</v>
      </c>
      <c r="D633" s="33" t="s">
        <v>41</v>
      </c>
      <c r="E633" s="33" t="s">
        <v>3857</v>
      </c>
      <c r="F633" s="33" t="s">
        <v>1787</v>
      </c>
      <c r="G633" s="33" t="s">
        <v>3944</v>
      </c>
      <c r="H633" s="33" t="s">
        <v>3696</v>
      </c>
      <c r="I633" s="33" t="s">
        <v>3696</v>
      </c>
      <c r="J633" s="33" t="s">
        <v>4025</v>
      </c>
      <c r="K633" s="33" t="s">
        <v>3859</v>
      </c>
      <c r="L633" s="33" t="s">
        <v>3696</v>
      </c>
      <c r="M633" s="33" t="s">
        <v>77</v>
      </c>
      <c r="N633" s="33" t="s">
        <v>77</v>
      </c>
      <c r="O633" s="33" t="s">
        <v>3606</v>
      </c>
      <c r="P633" s="33" t="s">
        <v>1764</v>
      </c>
      <c r="Q633" s="33" t="s">
        <v>1796</v>
      </c>
    </row>
    <row r="634" spans="1:17" hidden="1">
      <c r="A634" s="33" t="s">
        <v>4026</v>
      </c>
      <c r="B634" s="33" t="s">
        <v>4027</v>
      </c>
      <c r="C634" s="33" t="s">
        <v>2205</v>
      </c>
      <c r="D634" s="33" t="s">
        <v>41</v>
      </c>
      <c r="E634" s="33" t="s">
        <v>3857</v>
      </c>
      <c r="F634" s="33" t="s">
        <v>1787</v>
      </c>
      <c r="G634" s="33" t="s">
        <v>3944</v>
      </c>
      <c r="H634" s="33" t="s">
        <v>3696</v>
      </c>
      <c r="I634" s="33" t="s">
        <v>3696</v>
      </c>
      <c r="J634" s="33" t="s">
        <v>4028</v>
      </c>
      <c r="K634" s="33" t="s">
        <v>3859</v>
      </c>
      <c r="L634" s="33" t="s">
        <v>3696</v>
      </c>
      <c r="M634" s="33" t="s">
        <v>77</v>
      </c>
      <c r="N634" s="33" t="s">
        <v>77</v>
      </c>
      <c r="O634" s="33" t="s">
        <v>3606</v>
      </c>
      <c r="P634" s="33" t="s">
        <v>1764</v>
      </c>
      <c r="Q634" s="33" t="s">
        <v>1796</v>
      </c>
    </row>
    <row r="635" spans="1:17" hidden="1">
      <c r="A635" s="33" t="s">
        <v>4029</v>
      </c>
      <c r="B635" s="33" t="s">
        <v>4030</v>
      </c>
      <c r="C635" s="33" t="s">
        <v>1831</v>
      </c>
      <c r="D635" s="33" t="s">
        <v>41</v>
      </c>
      <c r="E635" s="33" t="s">
        <v>3857</v>
      </c>
      <c r="F635" s="33" t="s">
        <v>1864</v>
      </c>
      <c r="G635" s="33" t="s">
        <v>1872</v>
      </c>
      <c r="H635" s="33" t="s">
        <v>3696</v>
      </c>
      <c r="I635" s="33" t="s">
        <v>3696</v>
      </c>
      <c r="J635" s="33" t="s">
        <v>4031</v>
      </c>
      <c r="K635" s="33" t="s">
        <v>3859</v>
      </c>
      <c r="L635" s="33" t="s">
        <v>3696</v>
      </c>
      <c r="M635" s="33" t="s">
        <v>197</v>
      </c>
      <c r="N635" s="33" t="s">
        <v>197</v>
      </c>
      <c r="O635" s="33" t="s">
        <v>4032</v>
      </c>
      <c r="P635" s="33" t="s">
        <v>1764</v>
      </c>
      <c r="Q635" s="33" t="s">
        <v>1796</v>
      </c>
    </row>
    <row r="636" spans="1:17" hidden="1">
      <c r="A636" s="33" t="s">
        <v>4033</v>
      </c>
      <c r="B636" s="33" t="s">
        <v>4034</v>
      </c>
      <c r="C636" s="33" t="s">
        <v>1831</v>
      </c>
      <c r="D636" s="33" t="s">
        <v>41</v>
      </c>
      <c r="E636" s="33" t="s">
        <v>3857</v>
      </c>
      <c r="F636" s="33" t="s">
        <v>1856</v>
      </c>
      <c r="G636" s="33" t="s">
        <v>1872</v>
      </c>
      <c r="H636" s="33" t="s">
        <v>3696</v>
      </c>
      <c r="I636" s="33" t="s">
        <v>3696</v>
      </c>
      <c r="J636" s="33" t="s">
        <v>4035</v>
      </c>
      <c r="K636" s="33" t="s">
        <v>3859</v>
      </c>
      <c r="L636" s="33" t="s">
        <v>3696</v>
      </c>
      <c r="M636" s="33" t="s">
        <v>197</v>
      </c>
      <c r="N636" s="33" t="s">
        <v>197</v>
      </c>
      <c r="O636" s="33" t="s">
        <v>4036</v>
      </c>
      <c r="P636" s="33" t="s">
        <v>1764</v>
      </c>
      <c r="Q636" s="33" t="s">
        <v>1796</v>
      </c>
    </row>
    <row r="637" spans="1:17" hidden="1">
      <c r="A637" s="33" t="s">
        <v>4037</v>
      </c>
      <c r="B637" s="33" t="s">
        <v>4038</v>
      </c>
      <c r="C637" s="33" t="s">
        <v>2147</v>
      </c>
      <c r="D637" s="33" t="s">
        <v>41</v>
      </c>
      <c r="E637" s="33" t="s">
        <v>3857</v>
      </c>
      <c r="F637" s="33" t="s">
        <v>1815</v>
      </c>
      <c r="G637" s="33" t="s">
        <v>83</v>
      </c>
      <c r="H637" s="33" t="s">
        <v>4039</v>
      </c>
      <c r="I637" s="33" t="s">
        <v>1152</v>
      </c>
      <c r="J637" s="33" t="s">
        <v>4040</v>
      </c>
      <c r="K637" s="33" t="s">
        <v>3859</v>
      </c>
      <c r="L637" s="33" t="s">
        <v>4039</v>
      </c>
      <c r="M637" s="33" t="s">
        <v>1083</v>
      </c>
      <c r="N637" s="33" t="s">
        <v>84</v>
      </c>
      <c r="O637" s="33" t="s">
        <v>4041</v>
      </c>
      <c r="P637" s="33" t="s">
        <v>1764</v>
      </c>
      <c r="Q637" s="33" t="s">
        <v>1796</v>
      </c>
    </row>
    <row r="638" spans="1:17" hidden="1">
      <c r="A638" s="33" t="s">
        <v>4042</v>
      </c>
      <c r="B638" s="33" t="s">
        <v>4043</v>
      </c>
      <c r="C638" s="33" t="s">
        <v>2026</v>
      </c>
      <c r="D638" s="33" t="s">
        <v>41</v>
      </c>
      <c r="E638" s="33" t="s">
        <v>3857</v>
      </c>
      <c r="F638" s="33" t="s">
        <v>1787</v>
      </c>
      <c r="G638" s="33" t="s">
        <v>90</v>
      </c>
      <c r="H638" s="33" t="s">
        <v>4039</v>
      </c>
      <c r="I638" s="33" t="s">
        <v>4039</v>
      </c>
      <c r="J638" s="33" t="s">
        <v>4044</v>
      </c>
      <c r="K638" s="33" t="s">
        <v>3859</v>
      </c>
      <c r="L638" s="33" t="s">
        <v>4039</v>
      </c>
      <c r="M638" s="33" t="s">
        <v>78</v>
      </c>
      <c r="N638" s="33" t="s">
        <v>1402</v>
      </c>
      <c r="O638" s="33" t="s">
        <v>1930</v>
      </c>
      <c r="P638" s="33" t="s">
        <v>1764</v>
      </c>
      <c r="Q638" s="33" t="s">
        <v>1796</v>
      </c>
    </row>
    <row r="639" spans="1:17">
      <c r="A639" s="33" t="s">
        <v>4045</v>
      </c>
      <c r="B639" s="33" t="s">
        <v>4046</v>
      </c>
      <c r="C639" s="33" t="s">
        <v>3205</v>
      </c>
      <c r="D639" s="33" t="s">
        <v>4047</v>
      </c>
      <c r="E639" s="33" t="s">
        <v>1786</v>
      </c>
      <c r="F639" s="33" t="s">
        <v>1815</v>
      </c>
      <c r="G639" s="33" t="s">
        <v>4048</v>
      </c>
      <c r="H639" s="33" t="s">
        <v>1789</v>
      </c>
      <c r="I639" s="33" t="s">
        <v>1789</v>
      </c>
      <c r="J639" s="33" t="s">
        <v>4049</v>
      </c>
      <c r="K639" s="33" t="s">
        <v>1791</v>
      </c>
      <c r="L639" s="33" t="s">
        <v>1802</v>
      </c>
      <c r="M639" s="33" t="s">
        <v>1849</v>
      </c>
      <c r="N639" s="33" t="s">
        <v>95</v>
      </c>
      <c r="Q639" s="33" t="s">
        <v>4050</v>
      </c>
    </row>
    <row r="640" spans="1:17">
      <c r="A640" s="33" t="s">
        <v>4051</v>
      </c>
      <c r="B640" s="33" t="s">
        <v>4052</v>
      </c>
      <c r="C640" s="33" t="s">
        <v>1785</v>
      </c>
      <c r="D640" s="33" t="s">
        <v>4047</v>
      </c>
      <c r="E640" s="33" t="s">
        <v>1786</v>
      </c>
      <c r="F640" s="33" t="s">
        <v>1787</v>
      </c>
      <c r="G640" s="33" t="s">
        <v>1788</v>
      </c>
      <c r="H640" s="33" t="s">
        <v>1800</v>
      </c>
      <c r="I640" s="33" t="s">
        <v>1800</v>
      </c>
      <c r="J640" s="33" t="s">
        <v>4053</v>
      </c>
      <c r="K640" s="33" t="s">
        <v>1791</v>
      </c>
      <c r="L640" s="33" t="s">
        <v>1802</v>
      </c>
      <c r="M640" s="33" t="s">
        <v>1793</v>
      </c>
      <c r="N640" s="33" t="s">
        <v>1793</v>
      </c>
      <c r="Q640" s="33" t="s">
        <v>4050</v>
      </c>
    </row>
    <row r="641" spans="1:17">
      <c r="A641" s="33" t="s">
        <v>4054</v>
      </c>
      <c r="B641" s="33" t="s">
        <v>4055</v>
      </c>
      <c r="C641" s="33" t="s">
        <v>3205</v>
      </c>
      <c r="D641" s="33" t="s">
        <v>4047</v>
      </c>
      <c r="E641" s="33" t="s">
        <v>1786</v>
      </c>
      <c r="F641" s="33" t="s">
        <v>1815</v>
      </c>
      <c r="G641" s="33" t="s">
        <v>4056</v>
      </c>
      <c r="H641" s="33" t="s">
        <v>4057</v>
      </c>
      <c r="I641" s="33" t="s">
        <v>4057</v>
      </c>
      <c r="J641" s="33" t="s">
        <v>4058</v>
      </c>
      <c r="K641" s="33" t="s">
        <v>1791</v>
      </c>
      <c r="L641" s="33" t="s">
        <v>1802</v>
      </c>
      <c r="M641" s="33" t="s">
        <v>1863</v>
      </c>
      <c r="N641" s="33" t="s">
        <v>95</v>
      </c>
      <c r="Q641" s="33" t="s">
        <v>4050</v>
      </c>
    </row>
    <row r="642" spans="1:17">
      <c r="A642" s="33" t="s">
        <v>4059</v>
      </c>
      <c r="B642" s="33" t="s">
        <v>4060</v>
      </c>
      <c r="C642" s="33" t="s">
        <v>4061</v>
      </c>
      <c r="D642" s="33" t="s">
        <v>4047</v>
      </c>
      <c r="E642" s="33" t="s">
        <v>1786</v>
      </c>
      <c r="F642" s="33" t="s">
        <v>1815</v>
      </c>
      <c r="G642" s="33" t="s">
        <v>4062</v>
      </c>
      <c r="H642" s="33" t="s">
        <v>4063</v>
      </c>
      <c r="I642" s="33" t="s">
        <v>4063</v>
      </c>
      <c r="J642" s="33" t="s">
        <v>4064</v>
      </c>
      <c r="K642" s="33" t="s">
        <v>1791</v>
      </c>
      <c r="L642" s="33" t="s">
        <v>1802</v>
      </c>
      <c r="M642" s="33" t="s">
        <v>4065</v>
      </c>
      <c r="N642" s="33" t="s">
        <v>2041</v>
      </c>
      <c r="Q642" s="33" t="s">
        <v>4050</v>
      </c>
    </row>
    <row r="643" spans="1:17">
      <c r="A643" s="33" t="s">
        <v>4066</v>
      </c>
      <c r="B643" s="33" t="s">
        <v>4067</v>
      </c>
      <c r="C643" s="33" t="s">
        <v>3549</v>
      </c>
      <c r="D643" s="33" t="s">
        <v>4068</v>
      </c>
      <c r="E643" s="33" t="s">
        <v>1786</v>
      </c>
      <c r="F643" s="33" t="s">
        <v>1856</v>
      </c>
      <c r="G643" s="33" t="s">
        <v>4068</v>
      </c>
      <c r="H643" s="33" t="s">
        <v>4063</v>
      </c>
      <c r="I643" s="33" t="s">
        <v>4063</v>
      </c>
      <c r="J643" s="33" t="s">
        <v>4069</v>
      </c>
      <c r="K643" s="33" t="s">
        <v>1791</v>
      </c>
      <c r="L643" s="33" t="s">
        <v>2428</v>
      </c>
      <c r="M643" s="33" t="s">
        <v>1811</v>
      </c>
      <c r="N643" s="33" t="s">
        <v>73</v>
      </c>
      <c r="Q643" s="33" t="s">
        <v>4050</v>
      </c>
    </row>
    <row r="644" spans="1:17">
      <c r="A644" s="33" t="s">
        <v>4070</v>
      </c>
      <c r="B644" s="33" t="s">
        <v>4071</v>
      </c>
      <c r="C644" s="33" t="s">
        <v>1831</v>
      </c>
      <c r="D644" s="33" t="s">
        <v>4047</v>
      </c>
      <c r="E644" s="33" t="s">
        <v>1786</v>
      </c>
      <c r="F644" s="33" t="s">
        <v>1815</v>
      </c>
      <c r="G644" s="33" t="s">
        <v>1872</v>
      </c>
      <c r="H644" s="33" t="s">
        <v>1802</v>
      </c>
      <c r="I644" s="33" t="s">
        <v>1802</v>
      </c>
      <c r="J644" s="33" t="s">
        <v>4072</v>
      </c>
      <c r="K644" s="33" t="s">
        <v>1791</v>
      </c>
      <c r="L644" s="33" t="s">
        <v>1802</v>
      </c>
      <c r="M644" s="33" t="s">
        <v>2402</v>
      </c>
      <c r="N644" s="33" t="s">
        <v>1827</v>
      </c>
      <c r="Q644" s="33" t="s">
        <v>4050</v>
      </c>
    </row>
    <row r="645" spans="1:17" hidden="1">
      <c r="A645" s="33" t="s">
        <v>4073</v>
      </c>
      <c r="B645" s="33" t="s">
        <v>4074</v>
      </c>
      <c r="C645" s="33" t="s">
        <v>2205</v>
      </c>
      <c r="D645" s="33" t="s">
        <v>4075</v>
      </c>
      <c r="E645" s="33" t="s">
        <v>2471</v>
      </c>
      <c r="F645" s="33" t="s">
        <v>1864</v>
      </c>
      <c r="G645" s="33" t="s">
        <v>4075</v>
      </c>
      <c r="H645" s="33" t="s">
        <v>1802</v>
      </c>
      <c r="I645" s="33" t="s">
        <v>1802</v>
      </c>
      <c r="J645" s="33" t="s">
        <v>4076</v>
      </c>
      <c r="K645" s="33" t="s">
        <v>2471</v>
      </c>
      <c r="L645" s="33" t="s">
        <v>1792</v>
      </c>
      <c r="M645" s="33" t="s">
        <v>49</v>
      </c>
      <c r="N645" s="33" t="s">
        <v>73</v>
      </c>
      <c r="Q645" s="33" t="s">
        <v>4050</v>
      </c>
    </row>
    <row r="646" spans="1:17">
      <c r="A646" s="33" t="s">
        <v>4077</v>
      </c>
      <c r="B646" s="33" t="s">
        <v>4078</v>
      </c>
      <c r="C646" s="33" t="s">
        <v>4061</v>
      </c>
      <c r="D646" s="33" t="s">
        <v>4047</v>
      </c>
      <c r="E646" s="33" t="s">
        <v>1786</v>
      </c>
      <c r="F646" s="33" t="s">
        <v>2011</v>
      </c>
      <c r="G646" s="33" t="s">
        <v>4062</v>
      </c>
      <c r="H646" s="33" t="s">
        <v>1802</v>
      </c>
      <c r="I646" s="33" t="s">
        <v>1802</v>
      </c>
      <c r="J646" s="33" t="s">
        <v>4079</v>
      </c>
      <c r="K646" s="33" t="s">
        <v>1791</v>
      </c>
      <c r="L646" s="33" t="s">
        <v>1792</v>
      </c>
      <c r="M646" s="33" t="s">
        <v>1811</v>
      </c>
      <c r="N646" s="33" t="s">
        <v>4065</v>
      </c>
      <c r="Q646" s="33" t="s">
        <v>4050</v>
      </c>
    </row>
    <row r="647" spans="1:17">
      <c r="A647" s="33" t="s">
        <v>4080</v>
      </c>
      <c r="B647" s="33" t="s">
        <v>4081</v>
      </c>
      <c r="C647" s="33" t="s">
        <v>4061</v>
      </c>
      <c r="D647" s="33" t="s">
        <v>4047</v>
      </c>
      <c r="E647" s="33" t="s">
        <v>1786</v>
      </c>
      <c r="F647" s="33" t="s">
        <v>1856</v>
      </c>
      <c r="G647" s="33" t="s">
        <v>4062</v>
      </c>
      <c r="H647" s="33" t="s">
        <v>1792</v>
      </c>
      <c r="I647" s="33" t="s">
        <v>1792</v>
      </c>
      <c r="J647" s="33" t="s">
        <v>4082</v>
      </c>
      <c r="K647" s="33" t="s">
        <v>1791</v>
      </c>
      <c r="L647" s="33" t="s">
        <v>1792</v>
      </c>
      <c r="M647" s="33" t="s">
        <v>82</v>
      </c>
      <c r="N647" s="33" t="s">
        <v>4065</v>
      </c>
      <c r="Q647" s="33" t="s">
        <v>4050</v>
      </c>
    </row>
    <row r="648" spans="1:17">
      <c r="A648" s="33" t="s">
        <v>4083</v>
      </c>
      <c r="B648" s="33" t="s">
        <v>4084</v>
      </c>
      <c r="C648" s="33" t="s">
        <v>4061</v>
      </c>
      <c r="D648" s="33" t="s">
        <v>4047</v>
      </c>
      <c r="E648" s="33" t="s">
        <v>1786</v>
      </c>
      <c r="F648" s="33" t="s">
        <v>1856</v>
      </c>
      <c r="G648" s="33" t="s">
        <v>4062</v>
      </c>
      <c r="H648" s="33" t="s">
        <v>1792</v>
      </c>
      <c r="I648" s="33" t="s">
        <v>1792</v>
      </c>
      <c r="J648" s="33" t="s">
        <v>4085</v>
      </c>
      <c r="K648" s="33" t="s">
        <v>1791</v>
      </c>
      <c r="L648" s="33" t="s">
        <v>1792</v>
      </c>
      <c r="M648" s="33" t="s">
        <v>1838</v>
      </c>
      <c r="N648" s="33" t="s">
        <v>4065</v>
      </c>
      <c r="Q648" s="33" t="s">
        <v>4050</v>
      </c>
    </row>
    <row r="649" spans="1:17">
      <c r="A649" s="33" t="s">
        <v>1805</v>
      </c>
      <c r="B649" s="33" t="s">
        <v>4086</v>
      </c>
      <c r="C649" s="33" t="s">
        <v>1807</v>
      </c>
      <c r="D649" s="33" t="s">
        <v>41</v>
      </c>
      <c r="E649" s="33" t="s">
        <v>1786</v>
      </c>
      <c r="F649" s="33" t="s">
        <v>1815</v>
      </c>
      <c r="G649" s="33" t="s">
        <v>94</v>
      </c>
      <c r="H649" s="33" t="s">
        <v>1792</v>
      </c>
      <c r="I649" s="33" t="s">
        <v>1809</v>
      </c>
      <c r="J649" s="33" t="s">
        <v>1810</v>
      </c>
      <c r="K649" s="33" t="s">
        <v>1791</v>
      </c>
      <c r="L649" s="33" t="s">
        <v>1792</v>
      </c>
      <c r="M649" s="33" t="s">
        <v>1811</v>
      </c>
      <c r="N649" s="33" t="s">
        <v>93</v>
      </c>
      <c r="Q649" s="33" t="s">
        <v>4050</v>
      </c>
    </row>
    <row r="650" spans="1:17" hidden="1">
      <c r="A650" s="33" t="s">
        <v>1978</v>
      </c>
      <c r="B650" s="33" t="s">
        <v>4087</v>
      </c>
      <c r="C650" s="33" t="s">
        <v>1980</v>
      </c>
      <c r="D650" s="33" t="s">
        <v>4047</v>
      </c>
      <c r="E650" s="33" t="s">
        <v>1808</v>
      </c>
      <c r="F650" s="33" t="s">
        <v>1787</v>
      </c>
      <c r="G650" s="33" t="s">
        <v>1981</v>
      </c>
      <c r="H650" s="33" t="s">
        <v>1873</v>
      </c>
      <c r="I650" s="33" t="s">
        <v>1873</v>
      </c>
      <c r="J650" s="33" t="s">
        <v>1982</v>
      </c>
      <c r="K650" s="33" t="s">
        <v>1791</v>
      </c>
      <c r="L650" s="33" t="s">
        <v>1873</v>
      </c>
      <c r="M650" s="33" t="s">
        <v>82</v>
      </c>
      <c r="N650" s="33" t="s">
        <v>1849</v>
      </c>
      <c r="Q650" s="33" t="s">
        <v>4050</v>
      </c>
    </row>
    <row r="651" spans="1:17" hidden="1">
      <c r="A651" s="33" t="s">
        <v>4088</v>
      </c>
      <c r="B651" s="33" t="s">
        <v>4089</v>
      </c>
      <c r="C651" s="33" t="s">
        <v>2205</v>
      </c>
      <c r="D651" s="33" t="s">
        <v>4090</v>
      </c>
      <c r="E651" s="33" t="s">
        <v>2471</v>
      </c>
      <c r="F651" s="33" t="s">
        <v>1787</v>
      </c>
      <c r="G651" s="33" t="s">
        <v>4090</v>
      </c>
      <c r="H651" s="33" t="s">
        <v>1873</v>
      </c>
      <c r="I651" s="33" t="s">
        <v>1873</v>
      </c>
      <c r="J651" s="33" t="s">
        <v>4091</v>
      </c>
      <c r="K651" s="33" t="s">
        <v>2471</v>
      </c>
      <c r="L651" s="33" t="s">
        <v>1993</v>
      </c>
      <c r="M651" s="33" t="s">
        <v>2151</v>
      </c>
      <c r="N651" s="33" t="s">
        <v>73</v>
      </c>
      <c r="Q651" s="33" t="s">
        <v>4050</v>
      </c>
    </row>
    <row r="652" spans="1:17">
      <c r="A652" s="33" t="s">
        <v>4092</v>
      </c>
      <c r="B652" s="33" t="s">
        <v>4093</v>
      </c>
      <c r="C652" s="33" t="s">
        <v>4094</v>
      </c>
      <c r="D652" s="33" t="s">
        <v>4047</v>
      </c>
      <c r="E652" s="33" t="s">
        <v>1786</v>
      </c>
      <c r="F652" s="33" t="s">
        <v>1856</v>
      </c>
      <c r="G652" s="33" t="s">
        <v>4095</v>
      </c>
      <c r="H652" s="33" t="s">
        <v>1873</v>
      </c>
      <c r="I652" s="33" t="s">
        <v>1873</v>
      </c>
      <c r="J652" s="33" t="s">
        <v>4096</v>
      </c>
      <c r="K652" s="33" t="s">
        <v>1791</v>
      </c>
      <c r="L652" s="33" t="s">
        <v>1993</v>
      </c>
      <c r="M652" s="33" t="s">
        <v>1811</v>
      </c>
      <c r="N652" s="33" t="s">
        <v>4097</v>
      </c>
      <c r="Q652" s="33" t="s">
        <v>4050</v>
      </c>
    </row>
    <row r="653" spans="1:17">
      <c r="A653" s="33" t="s">
        <v>4098</v>
      </c>
      <c r="B653" s="33" t="s">
        <v>4099</v>
      </c>
      <c r="C653" s="33" t="s">
        <v>3205</v>
      </c>
      <c r="D653" s="33" t="s">
        <v>4047</v>
      </c>
      <c r="E653" s="33" t="s">
        <v>1786</v>
      </c>
      <c r="F653" s="33" t="s">
        <v>1815</v>
      </c>
      <c r="G653" s="33" t="s">
        <v>4100</v>
      </c>
      <c r="H653" s="33" t="s">
        <v>1873</v>
      </c>
      <c r="I653" s="33" t="s">
        <v>1873</v>
      </c>
      <c r="J653" s="33" t="s">
        <v>4101</v>
      </c>
      <c r="K653" s="33" t="s">
        <v>1791</v>
      </c>
      <c r="L653" s="33" t="s">
        <v>1993</v>
      </c>
      <c r="M653" s="33" t="s">
        <v>1849</v>
      </c>
      <c r="N653" s="33" t="s">
        <v>95</v>
      </c>
      <c r="Q653" s="33" t="s">
        <v>4050</v>
      </c>
    </row>
    <row r="654" spans="1:17">
      <c r="A654" s="33" t="s">
        <v>4102</v>
      </c>
      <c r="B654" s="33" t="s">
        <v>4103</v>
      </c>
      <c r="C654" s="33" t="s">
        <v>3205</v>
      </c>
      <c r="D654" s="33" t="s">
        <v>4047</v>
      </c>
      <c r="E654" s="33" t="s">
        <v>1786</v>
      </c>
      <c r="F654" s="33" t="s">
        <v>1815</v>
      </c>
      <c r="G654" s="33" t="s">
        <v>4100</v>
      </c>
      <c r="H654" s="33" t="s">
        <v>1873</v>
      </c>
      <c r="I654" s="33" t="s">
        <v>1873</v>
      </c>
      <c r="J654" s="33" t="s">
        <v>4104</v>
      </c>
      <c r="K654" s="33" t="s">
        <v>1791</v>
      </c>
      <c r="L654" s="33" t="s">
        <v>1993</v>
      </c>
      <c r="M654" s="33" t="s">
        <v>1849</v>
      </c>
      <c r="N654" s="33" t="s">
        <v>95</v>
      </c>
      <c r="Q654" s="33" t="s">
        <v>4050</v>
      </c>
    </row>
    <row r="655" spans="1:17">
      <c r="A655" s="33" t="s">
        <v>4105</v>
      </c>
      <c r="B655" s="33" t="s">
        <v>4106</v>
      </c>
      <c r="C655" s="33" t="s">
        <v>3205</v>
      </c>
      <c r="D655" s="33" t="s">
        <v>4047</v>
      </c>
      <c r="E655" s="33" t="s">
        <v>1786</v>
      </c>
      <c r="F655" s="33" t="s">
        <v>1815</v>
      </c>
      <c r="G655" s="33" t="s">
        <v>4100</v>
      </c>
      <c r="H655" s="33" t="s">
        <v>1873</v>
      </c>
      <c r="I655" s="33" t="s">
        <v>1873</v>
      </c>
      <c r="J655" s="33" t="s">
        <v>4107</v>
      </c>
      <c r="K655" s="33" t="s">
        <v>1791</v>
      </c>
      <c r="L655" s="33" t="s">
        <v>1993</v>
      </c>
      <c r="M655" s="33" t="s">
        <v>1811</v>
      </c>
      <c r="N655" s="33" t="s">
        <v>95</v>
      </c>
      <c r="Q655" s="33" t="s">
        <v>4050</v>
      </c>
    </row>
    <row r="656" spans="1:17" hidden="1">
      <c r="A656" s="33" t="s">
        <v>1991</v>
      </c>
      <c r="B656" s="33" t="s">
        <v>4108</v>
      </c>
      <c r="C656" s="33" t="s">
        <v>1980</v>
      </c>
      <c r="D656" s="33" t="s">
        <v>4047</v>
      </c>
      <c r="E656" s="33" t="s">
        <v>1808</v>
      </c>
      <c r="F656" s="33" t="s">
        <v>1787</v>
      </c>
      <c r="G656" s="33" t="s">
        <v>1981</v>
      </c>
      <c r="H656" s="33" t="s">
        <v>1903</v>
      </c>
      <c r="I656" s="33" t="s">
        <v>1903</v>
      </c>
      <c r="J656" s="33" t="s">
        <v>1994</v>
      </c>
      <c r="K656" s="33" t="s">
        <v>1791</v>
      </c>
      <c r="L656" s="33" t="s">
        <v>1903</v>
      </c>
      <c r="M656" s="33" t="s">
        <v>1995</v>
      </c>
      <c r="N656" s="33" t="s">
        <v>1849</v>
      </c>
      <c r="Q656" s="33" t="s">
        <v>4050</v>
      </c>
    </row>
    <row r="657" spans="1:17">
      <c r="A657" s="33" t="s">
        <v>4109</v>
      </c>
      <c r="B657" s="33" t="s">
        <v>4110</v>
      </c>
      <c r="C657" s="33" t="s">
        <v>4061</v>
      </c>
      <c r="D657" s="33" t="s">
        <v>4047</v>
      </c>
      <c r="E657" s="33" t="s">
        <v>1786</v>
      </c>
      <c r="F657" s="33" t="s">
        <v>1856</v>
      </c>
      <c r="G657" s="33" t="s">
        <v>4062</v>
      </c>
      <c r="H657" s="33" t="s">
        <v>1903</v>
      </c>
      <c r="I657" s="33" t="s">
        <v>1903</v>
      </c>
      <c r="J657" s="33" t="s">
        <v>4111</v>
      </c>
      <c r="K657" s="33" t="s">
        <v>1791</v>
      </c>
      <c r="L657" s="33" t="s">
        <v>1993</v>
      </c>
      <c r="M657" s="33" t="s">
        <v>1811</v>
      </c>
      <c r="N657" s="33" t="s">
        <v>4065</v>
      </c>
      <c r="Q657" s="33" t="s">
        <v>4050</v>
      </c>
    </row>
    <row r="658" spans="1:17" hidden="1">
      <c r="A658" s="33" t="s">
        <v>4112</v>
      </c>
      <c r="B658" s="33" t="s">
        <v>4113</v>
      </c>
      <c r="C658" s="33" t="s">
        <v>1831</v>
      </c>
      <c r="D658" s="33" t="s">
        <v>4047</v>
      </c>
      <c r="E658" s="33" t="s">
        <v>1808</v>
      </c>
      <c r="F658" s="33" t="s">
        <v>1787</v>
      </c>
      <c r="G658" s="33" t="s">
        <v>1998</v>
      </c>
      <c r="H658" s="33" t="s">
        <v>1903</v>
      </c>
      <c r="I658" s="33" t="s">
        <v>1903</v>
      </c>
      <c r="J658" s="33" t="s">
        <v>1999</v>
      </c>
      <c r="K658" s="33" t="s">
        <v>1791</v>
      </c>
      <c r="L658" s="33" t="s">
        <v>1903</v>
      </c>
      <c r="M658" s="33" t="s">
        <v>1811</v>
      </c>
      <c r="N658" s="33" t="s">
        <v>1849</v>
      </c>
      <c r="Q658" s="33" t="s">
        <v>4050</v>
      </c>
    </row>
    <row r="659" spans="1:17">
      <c r="A659" s="33" t="s">
        <v>4114</v>
      </c>
      <c r="B659" s="33" t="s">
        <v>4115</v>
      </c>
      <c r="C659" s="33" t="s">
        <v>4116</v>
      </c>
      <c r="D659" s="33" t="s">
        <v>4047</v>
      </c>
      <c r="E659" s="33" t="s">
        <v>1786</v>
      </c>
      <c r="F659" s="33" t="s">
        <v>1815</v>
      </c>
      <c r="G659" s="33" t="s">
        <v>4117</v>
      </c>
      <c r="H659" s="33" t="s">
        <v>1903</v>
      </c>
      <c r="I659" s="33" t="s">
        <v>1903</v>
      </c>
      <c r="J659" s="33" t="s">
        <v>4118</v>
      </c>
      <c r="K659" s="33" t="s">
        <v>1791</v>
      </c>
      <c r="L659" s="33" t="s">
        <v>1993</v>
      </c>
      <c r="M659" s="33" t="s">
        <v>2402</v>
      </c>
      <c r="N659" s="33" t="s">
        <v>4119</v>
      </c>
      <c r="Q659" s="33" t="s">
        <v>4050</v>
      </c>
    </row>
    <row r="660" spans="1:17">
      <c r="A660" s="33" t="s">
        <v>4120</v>
      </c>
      <c r="B660" s="33" t="s">
        <v>4121</v>
      </c>
      <c r="C660" s="33" t="s">
        <v>1949</v>
      </c>
      <c r="D660" s="33" t="s">
        <v>4047</v>
      </c>
      <c r="E660" s="33" t="s">
        <v>1786</v>
      </c>
      <c r="F660" s="33" t="s">
        <v>1815</v>
      </c>
      <c r="G660" s="33" t="s">
        <v>67</v>
      </c>
      <c r="H660" s="33" t="s">
        <v>1903</v>
      </c>
      <c r="I660" s="33" t="s">
        <v>1903</v>
      </c>
      <c r="J660" s="33" t="s">
        <v>4122</v>
      </c>
      <c r="K660" s="33" t="s">
        <v>1791</v>
      </c>
      <c r="L660" s="33" t="s">
        <v>1993</v>
      </c>
      <c r="M660" s="33" t="s">
        <v>1811</v>
      </c>
      <c r="N660" s="33" t="s">
        <v>55</v>
      </c>
      <c r="Q660" s="33" t="s">
        <v>4050</v>
      </c>
    </row>
    <row r="661" spans="1:17">
      <c r="A661" s="33" t="s">
        <v>4123</v>
      </c>
      <c r="B661" s="33" t="s">
        <v>4124</v>
      </c>
      <c r="C661" s="33" t="s">
        <v>1949</v>
      </c>
      <c r="D661" s="33" t="s">
        <v>4047</v>
      </c>
      <c r="E661" s="33" t="s">
        <v>1786</v>
      </c>
      <c r="F661" s="33" t="s">
        <v>1815</v>
      </c>
      <c r="G661" s="33" t="s">
        <v>67</v>
      </c>
      <c r="H661" s="33" t="s">
        <v>1955</v>
      </c>
      <c r="I661" s="33" t="s">
        <v>1955</v>
      </c>
      <c r="J661" s="33" t="s">
        <v>4125</v>
      </c>
      <c r="K661" s="33" t="s">
        <v>1791</v>
      </c>
      <c r="L661" s="33" t="s">
        <v>1993</v>
      </c>
      <c r="M661" s="33" t="s">
        <v>2045</v>
      </c>
      <c r="N661" s="33" t="s">
        <v>55</v>
      </c>
      <c r="Q661" s="33" t="s">
        <v>4050</v>
      </c>
    </row>
    <row r="662" spans="1:17" hidden="1">
      <c r="A662" s="33" t="s">
        <v>2661</v>
      </c>
      <c r="B662" s="33" t="s">
        <v>4126</v>
      </c>
      <c r="C662" s="33" t="s">
        <v>1949</v>
      </c>
      <c r="D662" s="33" t="s">
        <v>4047</v>
      </c>
      <c r="E662" s="33" t="s">
        <v>1808</v>
      </c>
      <c r="F662" s="33" t="s">
        <v>1787</v>
      </c>
      <c r="G662" s="33" t="s">
        <v>67</v>
      </c>
      <c r="H662" s="33" t="s">
        <v>1955</v>
      </c>
      <c r="I662" s="33" t="s">
        <v>1955</v>
      </c>
      <c r="J662" s="33" t="s">
        <v>2663</v>
      </c>
      <c r="K662" s="33" t="s">
        <v>1791</v>
      </c>
      <c r="L662" s="33" t="s">
        <v>2428</v>
      </c>
      <c r="M662" s="33" t="s">
        <v>1811</v>
      </c>
      <c r="N662" s="33" t="s">
        <v>55</v>
      </c>
      <c r="Q662" s="33" t="s">
        <v>4050</v>
      </c>
    </row>
    <row r="663" spans="1:17">
      <c r="A663" s="33" t="s">
        <v>4127</v>
      </c>
      <c r="B663" s="33" t="s">
        <v>4128</v>
      </c>
      <c r="C663" s="33" t="s">
        <v>1980</v>
      </c>
      <c r="D663" s="33" t="s">
        <v>4047</v>
      </c>
      <c r="E663" s="33" t="s">
        <v>1786</v>
      </c>
      <c r="F663" s="33" t="s">
        <v>1787</v>
      </c>
      <c r="G663" s="33" t="s">
        <v>1981</v>
      </c>
      <c r="H663" s="33" t="s">
        <v>1967</v>
      </c>
      <c r="I663" s="33" t="s">
        <v>1967</v>
      </c>
      <c r="J663" s="33" t="s">
        <v>4129</v>
      </c>
      <c r="K663" s="33" t="s">
        <v>1791</v>
      </c>
      <c r="L663" s="33" t="s">
        <v>1993</v>
      </c>
      <c r="M663" s="33" t="s">
        <v>1827</v>
      </c>
      <c r="N663" s="33" t="s">
        <v>1849</v>
      </c>
      <c r="Q663" s="33" t="s">
        <v>4050</v>
      </c>
    </row>
    <row r="664" spans="1:17">
      <c r="A664" s="33" t="s">
        <v>4130</v>
      </c>
      <c r="B664" s="33" t="s">
        <v>4131</v>
      </c>
      <c r="C664" s="33" t="s">
        <v>4132</v>
      </c>
      <c r="D664" s="33" t="s">
        <v>4047</v>
      </c>
      <c r="E664" s="33" t="s">
        <v>1786</v>
      </c>
      <c r="F664" s="33" t="s">
        <v>1815</v>
      </c>
      <c r="G664" s="33" t="s">
        <v>4133</v>
      </c>
      <c r="H664" s="33" t="s">
        <v>1967</v>
      </c>
      <c r="I664" s="33" t="s">
        <v>1967</v>
      </c>
      <c r="J664" s="33" t="s">
        <v>4134</v>
      </c>
      <c r="K664" s="33" t="s">
        <v>1791</v>
      </c>
      <c r="L664" s="33" t="s">
        <v>1993</v>
      </c>
      <c r="M664" s="33" t="s">
        <v>2041</v>
      </c>
      <c r="N664" s="33" t="s">
        <v>4135</v>
      </c>
      <c r="Q664" s="33" t="s">
        <v>4050</v>
      </c>
    </row>
    <row r="665" spans="1:17" hidden="1">
      <c r="A665" s="33" t="s">
        <v>2141</v>
      </c>
      <c r="B665" s="33" t="s">
        <v>4136</v>
      </c>
      <c r="C665" s="33" t="s">
        <v>1980</v>
      </c>
      <c r="D665" s="33" t="s">
        <v>4047</v>
      </c>
      <c r="E665" s="33" t="s">
        <v>1808</v>
      </c>
      <c r="F665" s="33" t="s">
        <v>1787</v>
      </c>
      <c r="G665" s="33" t="s">
        <v>1981</v>
      </c>
      <c r="H665" s="33" t="s">
        <v>2006</v>
      </c>
      <c r="I665" s="33" t="s">
        <v>2006</v>
      </c>
      <c r="J665" s="33" t="s">
        <v>2143</v>
      </c>
      <c r="K665" s="33" t="s">
        <v>1791</v>
      </c>
      <c r="L665" s="33" t="s">
        <v>2006</v>
      </c>
      <c r="M665" s="33" t="s">
        <v>82</v>
      </c>
      <c r="N665" s="33" t="s">
        <v>1849</v>
      </c>
      <c r="Q665" s="33" t="s">
        <v>4050</v>
      </c>
    </row>
    <row r="666" spans="1:17" hidden="1">
      <c r="A666" s="33" t="s">
        <v>4137</v>
      </c>
      <c r="B666" s="33" t="s">
        <v>4138</v>
      </c>
      <c r="C666" s="33" t="s">
        <v>2147</v>
      </c>
      <c r="D666" s="33" t="s">
        <v>4047</v>
      </c>
      <c r="E666" s="33" t="s">
        <v>1808</v>
      </c>
      <c r="F666" s="33" t="s">
        <v>1787</v>
      </c>
      <c r="G666" s="33" t="s">
        <v>2148</v>
      </c>
      <c r="H666" s="33" t="s">
        <v>2149</v>
      </c>
      <c r="I666" s="33" t="s">
        <v>2149</v>
      </c>
      <c r="J666" s="33" t="s">
        <v>2150</v>
      </c>
      <c r="K666" s="33" t="s">
        <v>1791</v>
      </c>
      <c r="L666" s="33" t="s">
        <v>2149</v>
      </c>
      <c r="M666" s="33" t="s">
        <v>2050</v>
      </c>
      <c r="N666" s="33" t="s">
        <v>2151</v>
      </c>
      <c r="Q666" s="33" t="s">
        <v>4050</v>
      </c>
    </row>
    <row r="667" spans="1:17" hidden="1">
      <c r="A667" s="33" t="s">
        <v>2153</v>
      </c>
      <c r="B667" s="33" t="s">
        <v>4139</v>
      </c>
      <c r="C667" s="33" t="s">
        <v>1980</v>
      </c>
      <c r="D667" s="33" t="s">
        <v>4047</v>
      </c>
      <c r="E667" s="33" t="s">
        <v>1808</v>
      </c>
      <c r="F667" s="33" t="s">
        <v>1787</v>
      </c>
      <c r="G667" s="33" t="s">
        <v>2155</v>
      </c>
      <c r="H667" s="33" t="s">
        <v>2149</v>
      </c>
      <c r="I667" s="33" t="s">
        <v>2149</v>
      </c>
      <c r="J667" s="33" t="s">
        <v>2156</v>
      </c>
      <c r="K667" s="33" t="s">
        <v>1791</v>
      </c>
      <c r="L667" s="33" t="s">
        <v>2149</v>
      </c>
      <c r="M667" s="33" t="s">
        <v>1793</v>
      </c>
      <c r="N667" s="33" t="s">
        <v>1849</v>
      </c>
      <c r="Q667" s="33" t="s">
        <v>4050</v>
      </c>
    </row>
    <row r="668" spans="1:17">
      <c r="A668" s="33" t="s">
        <v>4140</v>
      </c>
      <c r="B668" s="33" t="s">
        <v>4141</v>
      </c>
      <c r="C668" s="33" t="s">
        <v>1980</v>
      </c>
      <c r="D668" s="33" t="s">
        <v>4047</v>
      </c>
      <c r="E668" s="33" t="s">
        <v>1786</v>
      </c>
      <c r="F668" s="33" t="s">
        <v>1787</v>
      </c>
      <c r="G668" s="33" t="s">
        <v>1981</v>
      </c>
      <c r="H668" s="33" t="s">
        <v>2016</v>
      </c>
      <c r="I668" s="33" t="s">
        <v>2016</v>
      </c>
      <c r="J668" s="33" t="s">
        <v>4142</v>
      </c>
      <c r="K668" s="33" t="s">
        <v>1791</v>
      </c>
      <c r="L668" s="33" t="s">
        <v>1881</v>
      </c>
      <c r="M668" s="33" t="s">
        <v>2050</v>
      </c>
      <c r="N668" s="33" t="s">
        <v>1849</v>
      </c>
      <c r="Q668" s="33" t="s">
        <v>4050</v>
      </c>
    </row>
    <row r="669" spans="1:17">
      <c r="A669" s="33" t="s">
        <v>4143</v>
      </c>
      <c r="B669" s="33" t="s">
        <v>4144</v>
      </c>
      <c r="C669" s="33" t="s">
        <v>4116</v>
      </c>
      <c r="D669" s="33" t="s">
        <v>4047</v>
      </c>
      <c r="E669" s="33" t="s">
        <v>1786</v>
      </c>
      <c r="F669" s="33" t="s">
        <v>1815</v>
      </c>
      <c r="G669" s="33" t="s">
        <v>14</v>
      </c>
      <c r="H669" s="33" t="s">
        <v>2016</v>
      </c>
      <c r="I669" s="33" t="s">
        <v>2016</v>
      </c>
      <c r="J669" s="33" t="s">
        <v>4145</v>
      </c>
      <c r="K669" s="33" t="s">
        <v>1791</v>
      </c>
      <c r="L669" s="33" t="s">
        <v>1881</v>
      </c>
      <c r="M669" s="33" t="s">
        <v>95</v>
      </c>
      <c r="N669" s="33" t="s">
        <v>4119</v>
      </c>
      <c r="Q669" s="33" t="s">
        <v>4050</v>
      </c>
    </row>
    <row r="670" spans="1:17" hidden="1">
      <c r="A670" s="33" t="s">
        <v>4146</v>
      </c>
      <c r="B670" s="33" t="s">
        <v>4147</v>
      </c>
      <c r="C670" s="33" t="s">
        <v>1785</v>
      </c>
      <c r="D670" s="33" t="s">
        <v>4047</v>
      </c>
      <c r="E670" s="33" t="s">
        <v>1808</v>
      </c>
      <c r="F670" s="33" t="s">
        <v>1787</v>
      </c>
      <c r="G670" s="33" t="s">
        <v>1788</v>
      </c>
      <c r="H670" s="33" t="s">
        <v>2016</v>
      </c>
      <c r="I670" s="33" t="s">
        <v>2016</v>
      </c>
      <c r="J670" s="33" t="s">
        <v>4148</v>
      </c>
      <c r="K670" s="33" t="s">
        <v>1791</v>
      </c>
      <c r="L670" s="33" t="s">
        <v>2016</v>
      </c>
      <c r="M670" s="33" t="s">
        <v>1793</v>
      </c>
      <c r="N670" s="33" t="s">
        <v>1793</v>
      </c>
      <c r="Q670" s="33" t="s">
        <v>4050</v>
      </c>
    </row>
    <row r="671" spans="1:17">
      <c r="A671" s="33" t="s">
        <v>4149</v>
      </c>
      <c r="B671" s="33" t="s">
        <v>4150</v>
      </c>
      <c r="C671" s="33" t="s">
        <v>4151</v>
      </c>
      <c r="D671" s="33" t="s">
        <v>4047</v>
      </c>
      <c r="E671" s="33" t="s">
        <v>1786</v>
      </c>
      <c r="F671" s="33" t="s">
        <v>1787</v>
      </c>
      <c r="G671" s="33" t="s">
        <v>4152</v>
      </c>
      <c r="H671" s="33" t="s">
        <v>2016</v>
      </c>
      <c r="I671" s="33" t="s">
        <v>2016</v>
      </c>
      <c r="J671" s="33" t="s">
        <v>4153</v>
      </c>
      <c r="K671" s="33" t="s">
        <v>1791</v>
      </c>
      <c r="L671" s="33" t="s">
        <v>1881</v>
      </c>
      <c r="M671" s="33" t="s">
        <v>1838</v>
      </c>
      <c r="N671" s="33" t="s">
        <v>1765</v>
      </c>
      <c r="Q671" s="33" t="s">
        <v>4050</v>
      </c>
    </row>
    <row r="672" spans="1:17" hidden="1">
      <c r="A672" s="33" t="s">
        <v>2177</v>
      </c>
      <c r="B672" s="33" t="s">
        <v>4154</v>
      </c>
      <c r="C672" s="33" t="s">
        <v>1949</v>
      </c>
      <c r="D672" s="33" t="s">
        <v>4047</v>
      </c>
      <c r="E672" s="33" t="s">
        <v>1808</v>
      </c>
      <c r="F672" s="33" t="s">
        <v>1787</v>
      </c>
      <c r="G672" s="33" t="s">
        <v>67</v>
      </c>
      <c r="H672" s="33" t="s">
        <v>2016</v>
      </c>
      <c r="I672" s="33" t="s">
        <v>2016</v>
      </c>
      <c r="J672" s="33" t="s">
        <v>2179</v>
      </c>
      <c r="K672" s="33" t="s">
        <v>1791</v>
      </c>
      <c r="L672" s="33" t="s">
        <v>2016</v>
      </c>
      <c r="M672" s="33" t="s">
        <v>1811</v>
      </c>
      <c r="N672" s="33" t="s">
        <v>55</v>
      </c>
      <c r="Q672" s="33" t="s">
        <v>4050</v>
      </c>
    </row>
    <row r="673" spans="1:17">
      <c r="A673" s="33" t="s">
        <v>4155</v>
      </c>
      <c r="B673" s="33" t="s">
        <v>4156</v>
      </c>
      <c r="C673" s="33" t="s">
        <v>4151</v>
      </c>
      <c r="D673" s="33" t="s">
        <v>4047</v>
      </c>
      <c r="E673" s="33" t="s">
        <v>1786</v>
      </c>
      <c r="F673" s="33" t="s">
        <v>1787</v>
      </c>
      <c r="G673" s="33" t="s">
        <v>4152</v>
      </c>
      <c r="H673" s="33" t="s">
        <v>2016</v>
      </c>
      <c r="I673" s="33" t="s">
        <v>2016</v>
      </c>
      <c r="J673" s="33" t="s">
        <v>4157</v>
      </c>
      <c r="K673" s="33" t="s">
        <v>1791</v>
      </c>
      <c r="L673" s="33" t="s">
        <v>1881</v>
      </c>
      <c r="M673" s="33" t="s">
        <v>196</v>
      </c>
      <c r="N673" s="33" t="s">
        <v>1765</v>
      </c>
      <c r="Q673" s="33" t="s">
        <v>4050</v>
      </c>
    </row>
    <row r="674" spans="1:17" hidden="1">
      <c r="A674" s="33" t="s">
        <v>2183</v>
      </c>
      <c r="B674" s="33" t="s">
        <v>4158</v>
      </c>
      <c r="C674" s="33" t="s">
        <v>1949</v>
      </c>
      <c r="D674" s="33" t="s">
        <v>4047</v>
      </c>
      <c r="E674" s="33" t="s">
        <v>1808</v>
      </c>
      <c r="F674" s="33" t="s">
        <v>1787</v>
      </c>
      <c r="G674" s="33" t="s">
        <v>67</v>
      </c>
      <c r="H674" s="33" t="s">
        <v>2027</v>
      </c>
      <c r="I674" s="33" t="s">
        <v>2027</v>
      </c>
      <c r="J674" s="33" t="s">
        <v>2185</v>
      </c>
      <c r="K674" s="33" t="s">
        <v>1791</v>
      </c>
      <c r="L674" s="33" t="s">
        <v>2027</v>
      </c>
      <c r="M674" s="33" t="s">
        <v>1811</v>
      </c>
      <c r="N674" s="33" t="s">
        <v>55</v>
      </c>
      <c r="Q674" s="33" t="s">
        <v>4050</v>
      </c>
    </row>
    <row r="675" spans="1:17" hidden="1">
      <c r="A675" s="33" t="s">
        <v>2186</v>
      </c>
      <c r="B675" s="33" t="s">
        <v>4159</v>
      </c>
      <c r="C675" s="33" t="s">
        <v>1785</v>
      </c>
      <c r="D675" s="33" t="s">
        <v>4047</v>
      </c>
      <c r="E675" s="33" t="s">
        <v>1808</v>
      </c>
      <c r="F675" s="33" t="s">
        <v>1787</v>
      </c>
      <c r="G675" s="33" t="s">
        <v>1788</v>
      </c>
      <c r="H675" s="33" t="s">
        <v>2027</v>
      </c>
      <c r="I675" s="33" t="s">
        <v>2027</v>
      </c>
      <c r="J675" s="33" t="s">
        <v>2188</v>
      </c>
      <c r="K675" s="33" t="s">
        <v>1791</v>
      </c>
      <c r="L675" s="33" t="s">
        <v>2027</v>
      </c>
      <c r="M675" s="33" t="s">
        <v>1793</v>
      </c>
      <c r="N675" s="33" t="s">
        <v>1793</v>
      </c>
      <c r="Q675" s="33" t="s">
        <v>4050</v>
      </c>
    </row>
    <row r="676" spans="1:17">
      <c r="A676" s="33" t="s">
        <v>4160</v>
      </c>
      <c r="B676" s="33" t="s">
        <v>4161</v>
      </c>
      <c r="C676" s="33" t="s">
        <v>2205</v>
      </c>
      <c r="D676" s="33" t="s">
        <v>4047</v>
      </c>
      <c r="E676" s="33" t="s">
        <v>1786</v>
      </c>
      <c r="F676" s="33" t="s">
        <v>1815</v>
      </c>
      <c r="G676" s="33" t="s">
        <v>74</v>
      </c>
      <c r="H676" s="33" t="s">
        <v>2027</v>
      </c>
      <c r="I676" s="33" t="s">
        <v>2027</v>
      </c>
      <c r="J676" s="33" t="s">
        <v>4162</v>
      </c>
      <c r="K676" s="33" t="s">
        <v>1791</v>
      </c>
      <c r="L676" s="33" t="s">
        <v>1881</v>
      </c>
      <c r="M676" s="33" t="s">
        <v>1793</v>
      </c>
      <c r="N676" s="33" t="s">
        <v>2041</v>
      </c>
      <c r="Q676" s="33" t="s">
        <v>4050</v>
      </c>
    </row>
    <row r="677" spans="1:17">
      <c r="A677" s="33" t="s">
        <v>4163</v>
      </c>
      <c r="B677" s="33" t="s">
        <v>4164</v>
      </c>
      <c r="C677" s="33" t="s">
        <v>2205</v>
      </c>
      <c r="D677" s="33" t="s">
        <v>4047</v>
      </c>
      <c r="E677" s="33" t="s">
        <v>1786</v>
      </c>
      <c r="F677" s="33" t="s">
        <v>1815</v>
      </c>
      <c r="G677" s="33" t="s">
        <v>74</v>
      </c>
      <c r="H677" s="33" t="s">
        <v>2027</v>
      </c>
      <c r="I677" s="33" t="s">
        <v>2027</v>
      </c>
      <c r="J677" s="33" t="s">
        <v>4162</v>
      </c>
      <c r="K677" s="33" t="s">
        <v>1791</v>
      </c>
      <c r="L677" s="33" t="s">
        <v>1881</v>
      </c>
      <c r="M677" s="33" t="s">
        <v>1838</v>
      </c>
      <c r="N677" s="33" t="s">
        <v>2041</v>
      </c>
      <c r="Q677" s="33" t="s">
        <v>4050</v>
      </c>
    </row>
    <row r="678" spans="1:17">
      <c r="A678" s="33" t="s">
        <v>4165</v>
      </c>
      <c r="B678" s="33" t="s">
        <v>4166</v>
      </c>
      <c r="C678" s="33" t="s">
        <v>2205</v>
      </c>
      <c r="D678" s="33" t="s">
        <v>4047</v>
      </c>
      <c r="E678" s="33" t="s">
        <v>1786</v>
      </c>
      <c r="F678" s="33" t="s">
        <v>1787</v>
      </c>
      <c r="G678" s="33" t="s">
        <v>74</v>
      </c>
      <c r="H678" s="33" t="s">
        <v>2027</v>
      </c>
      <c r="I678" s="33" t="s">
        <v>2027</v>
      </c>
      <c r="J678" s="33" t="s">
        <v>4162</v>
      </c>
      <c r="K678" s="33" t="s">
        <v>1791</v>
      </c>
      <c r="L678" s="33" t="s">
        <v>1881</v>
      </c>
      <c r="M678" s="33" t="s">
        <v>1811</v>
      </c>
      <c r="N678" s="33" t="s">
        <v>2041</v>
      </c>
      <c r="Q678" s="33" t="s">
        <v>4050</v>
      </c>
    </row>
    <row r="679" spans="1:17">
      <c r="A679" s="33" t="s">
        <v>4167</v>
      </c>
      <c r="B679" s="33" t="s">
        <v>4168</v>
      </c>
      <c r="C679" s="33" t="s">
        <v>2205</v>
      </c>
      <c r="D679" s="33" t="s">
        <v>4047</v>
      </c>
      <c r="E679" s="33" t="s">
        <v>1786</v>
      </c>
      <c r="F679" s="33" t="s">
        <v>1815</v>
      </c>
      <c r="G679" s="33" t="s">
        <v>74</v>
      </c>
      <c r="H679" s="33" t="s">
        <v>2027</v>
      </c>
      <c r="I679" s="33" t="s">
        <v>2027</v>
      </c>
      <c r="J679" s="33" t="s">
        <v>4162</v>
      </c>
      <c r="K679" s="33" t="s">
        <v>1791</v>
      </c>
      <c r="L679" s="33" t="s">
        <v>1881</v>
      </c>
      <c r="M679" s="33" t="s">
        <v>82</v>
      </c>
      <c r="N679" s="33" t="s">
        <v>2041</v>
      </c>
      <c r="Q679" s="33" t="s">
        <v>4050</v>
      </c>
    </row>
    <row r="680" spans="1:17" hidden="1">
      <c r="A680" s="33" t="s">
        <v>4169</v>
      </c>
      <c r="B680" s="33" t="s">
        <v>4170</v>
      </c>
      <c r="C680" s="33" t="s">
        <v>2205</v>
      </c>
      <c r="D680" s="33" t="s">
        <v>4068</v>
      </c>
      <c r="E680" s="33" t="s">
        <v>1836</v>
      </c>
      <c r="F680" s="33" t="s">
        <v>1787</v>
      </c>
      <c r="G680" s="33" t="s">
        <v>14</v>
      </c>
      <c r="H680" s="33" t="s">
        <v>2027</v>
      </c>
      <c r="I680" s="33" t="s">
        <v>2027</v>
      </c>
      <c r="J680" s="33" t="s">
        <v>4171</v>
      </c>
      <c r="K680" s="33" t="s">
        <v>1791</v>
      </c>
      <c r="L680" s="33" t="s">
        <v>2666</v>
      </c>
      <c r="M680" s="33" t="s">
        <v>4172</v>
      </c>
      <c r="N680" s="33" t="s">
        <v>4172</v>
      </c>
      <c r="Q680" s="33" t="s">
        <v>4050</v>
      </c>
    </row>
    <row r="681" spans="1:17" hidden="1">
      <c r="A681" s="33" t="s">
        <v>2192</v>
      </c>
      <c r="B681" s="33" t="s">
        <v>4173</v>
      </c>
      <c r="C681" s="33" t="s">
        <v>1949</v>
      </c>
      <c r="D681" s="33" t="s">
        <v>4047</v>
      </c>
      <c r="E681" s="33" t="s">
        <v>1808</v>
      </c>
      <c r="F681" s="33" t="s">
        <v>1787</v>
      </c>
      <c r="G681" s="33" t="s">
        <v>67</v>
      </c>
      <c r="H681" s="33" t="s">
        <v>2027</v>
      </c>
      <c r="I681" s="33" t="s">
        <v>2027</v>
      </c>
      <c r="J681" s="33" t="s">
        <v>2194</v>
      </c>
      <c r="K681" s="33" t="s">
        <v>1791</v>
      </c>
      <c r="L681" s="33" t="s">
        <v>2027</v>
      </c>
      <c r="M681" s="33" t="s">
        <v>1822</v>
      </c>
      <c r="N681" s="33" t="s">
        <v>55</v>
      </c>
      <c r="Q681" s="33" t="s">
        <v>4050</v>
      </c>
    </row>
    <row r="682" spans="1:17" hidden="1">
      <c r="A682" s="33" t="s">
        <v>2195</v>
      </c>
      <c r="B682" s="33" t="s">
        <v>4174</v>
      </c>
      <c r="C682" s="33" t="s">
        <v>1949</v>
      </c>
      <c r="D682" s="33" t="s">
        <v>4047</v>
      </c>
      <c r="E682" s="33" t="s">
        <v>1808</v>
      </c>
      <c r="F682" s="33" t="s">
        <v>1787</v>
      </c>
      <c r="G682" s="33" t="s">
        <v>67</v>
      </c>
      <c r="H682" s="33" t="s">
        <v>2027</v>
      </c>
      <c r="I682" s="33" t="s">
        <v>2027</v>
      </c>
      <c r="J682" s="33" t="s">
        <v>2197</v>
      </c>
      <c r="K682" s="33" t="s">
        <v>1791</v>
      </c>
      <c r="L682" s="33" t="s">
        <v>2027</v>
      </c>
      <c r="M682" s="33" t="s">
        <v>1838</v>
      </c>
      <c r="N682" s="33" t="s">
        <v>55</v>
      </c>
      <c r="Q682" s="33" t="s">
        <v>4050</v>
      </c>
    </row>
    <row r="683" spans="1:17" hidden="1">
      <c r="A683" s="33" t="s">
        <v>2198</v>
      </c>
      <c r="B683" s="33" t="s">
        <v>4175</v>
      </c>
      <c r="C683" s="33" t="s">
        <v>1831</v>
      </c>
      <c r="D683" s="33" t="s">
        <v>4047</v>
      </c>
      <c r="E683" s="33" t="s">
        <v>1808</v>
      </c>
      <c r="F683" s="33" t="s">
        <v>1787</v>
      </c>
      <c r="G683" s="33" t="s">
        <v>2200</v>
      </c>
      <c r="H683" s="33" t="s">
        <v>1945</v>
      </c>
      <c r="I683" s="33" t="s">
        <v>1945</v>
      </c>
      <c r="J683" s="33" t="s">
        <v>2201</v>
      </c>
      <c r="K683" s="33" t="s">
        <v>1791</v>
      </c>
      <c r="L683" s="33" t="s">
        <v>1945</v>
      </c>
      <c r="M683" s="33" t="s">
        <v>1844</v>
      </c>
      <c r="N683" s="33" t="s">
        <v>1844</v>
      </c>
      <c r="Q683" s="33" t="s">
        <v>4050</v>
      </c>
    </row>
    <row r="684" spans="1:17">
      <c r="A684" s="33" t="s">
        <v>4176</v>
      </c>
      <c r="B684" s="33" t="s">
        <v>4177</v>
      </c>
      <c r="C684" s="33" t="s">
        <v>2096</v>
      </c>
      <c r="D684" s="33" t="s">
        <v>4047</v>
      </c>
      <c r="E684" s="33" t="s">
        <v>1786</v>
      </c>
      <c r="F684" s="33" t="s">
        <v>1787</v>
      </c>
      <c r="G684" s="33" t="s">
        <v>2097</v>
      </c>
      <c r="H684" s="33" t="s">
        <v>1937</v>
      </c>
      <c r="I684" s="33" t="s">
        <v>1937</v>
      </c>
      <c r="J684" s="33" t="s">
        <v>4178</v>
      </c>
      <c r="K684" s="33" t="s">
        <v>1791</v>
      </c>
      <c r="L684" s="33" t="s">
        <v>1881</v>
      </c>
      <c r="M684" s="33" t="s">
        <v>2037</v>
      </c>
      <c r="N684" s="33" t="s">
        <v>1863</v>
      </c>
      <c r="Q684" s="33" t="s">
        <v>4050</v>
      </c>
    </row>
    <row r="685" spans="1:17">
      <c r="A685" s="33" t="s">
        <v>4179</v>
      </c>
      <c r="B685" s="33" t="s">
        <v>4180</v>
      </c>
      <c r="C685" s="33" t="s">
        <v>2096</v>
      </c>
      <c r="D685" s="33" t="s">
        <v>4047</v>
      </c>
      <c r="E685" s="33" t="s">
        <v>1786</v>
      </c>
      <c r="F685" s="33" t="s">
        <v>1787</v>
      </c>
      <c r="G685" s="33" t="s">
        <v>2097</v>
      </c>
      <c r="H685" s="33" t="s">
        <v>1937</v>
      </c>
      <c r="I685" s="33" t="s">
        <v>1937</v>
      </c>
      <c r="J685" s="33" t="s">
        <v>4181</v>
      </c>
      <c r="K685" s="33" t="s">
        <v>1791</v>
      </c>
      <c r="L685" s="33" t="s">
        <v>1881</v>
      </c>
      <c r="M685" s="33" t="s">
        <v>1863</v>
      </c>
      <c r="N685" s="33" t="s">
        <v>1863</v>
      </c>
      <c r="Q685" s="33" t="s">
        <v>4050</v>
      </c>
    </row>
    <row r="686" spans="1:17">
      <c r="A686" s="33" t="s">
        <v>4182</v>
      </c>
      <c r="B686" s="33" t="s">
        <v>4183</v>
      </c>
      <c r="C686" s="33" t="s">
        <v>2096</v>
      </c>
      <c r="D686" s="33" t="s">
        <v>4047</v>
      </c>
      <c r="E686" s="33" t="s">
        <v>1786</v>
      </c>
      <c r="F686" s="33" t="s">
        <v>1787</v>
      </c>
      <c r="G686" s="33" t="s">
        <v>2097</v>
      </c>
      <c r="H686" s="33" t="s">
        <v>1937</v>
      </c>
      <c r="I686" s="33" t="s">
        <v>1937</v>
      </c>
      <c r="J686" s="33" t="s">
        <v>4184</v>
      </c>
      <c r="K686" s="33" t="s">
        <v>1791</v>
      </c>
      <c r="L686" s="33" t="s">
        <v>1881</v>
      </c>
      <c r="M686" s="33" t="s">
        <v>1863</v>
      </c>
      <c r="N686" s="33" t="s">
        <v>1863</v>
      </c>
      <c r="Q686" s="33" t="s">
        <v>4050</v>
      </c>
    </row>
    <row r="687" spans="1:17" hidden="1">
      <c r="A687" s="33" t="s">
        <v>4185</v>
      </c>
      <c r="B687" s="33" t="s">
        <v>4186</v>
      </c>
      <c r="C687" s="33" t="s">
        <v>1949</v>
      </c>
      <c r="D687" s="33" t="s">
        <v>4047</v>
      </c>
      <c r="E687" s="33" t="s">
        <v>1808</v>
      </c>
      <c r="F687" s="33" t="s">
        <v>1787</v>
      </c>
      <c r="G687" s="33" t="s">
        <v>67</v>
      </c>
      <c r="H687" s="33" t="s">
        <v>2209</v>
      </c>
      <c r="I687" s="33" t="s">
        <v>2209</v>
      </c>
      <c r="J687" s="33" t="s">
        <v>2210</v>
      </c>
      <c r="K687" s="33" t="s">
        <v>1791</v>
      </c>
      <c r="L687" s="33" t="s">
        <v>2209</v>
      </c>
      <c r="M687" s="33" t="s">
        <v>1838</v>
      </c>
      <c r="N687" s="33" t="s">
        <v>55</v>
      </c>
      <c r="Q687" s="33" t="s">
        <v>4050</v>
      </c>
    </row>
    <row r="688" spans="1:17" hidden="1">
      <c r="A688" s="33" t="s">
        <v>4187</v>
      </c>
      <c r="B688" s="33" t="s">
        <v>4188</v>
      </c>
      <c r="C688" s="33" t="s">
        <v>4189</v>
      </c>
      <c r="D688" s="33" t="s">
        <v>4190</v>
      </c>
      <c r="E688" s="33" t="s">
        <v>2471</v>
      </c>
      <c r="F688" s="33" t="s">
        <v>1856</v>
      </c>
      <c r="G688" s="33" t="s">
        <v>4190</v>
      </c>
      <c r="H688" s="33" t="s">
        <v>1875</v>
      </c>
      <c r="I688" s="33" t="s">
        <v>1875</v>
      </c>
      <c r="J688" s="33" t="s">
        <v>4191</v>
      </c>
      <c r="K688" s="33" t="s">
        <v>2471</v>
      </c>
      <c r="L688" s="33" t="s">
        <v>2428</v>
      </c>
      <c r="M688" s="33" t="s">
        <v>1849</v>
      </c>
      <c r="N688" s="33" t="s">
        <v>4192</v>
      </c>
      <c r="Q688" s="33" t="s">
        <v>4050</v>
      </c>
    </row>
    <row r="689" spans="1:17">
      <c r="A689" s="33" t="s">
        <v>4193</v>
      </c>
      <c r="B689" s="33" t="s">
        <v>4194</v>
      </c>
      <c r="C689" s="33" t="s">
        <v>2205</v>
      </c>
      <c r="D689" s="33" t="s">
        <v>4047</v>
      </c>
      <c r="E689" s="33" t="s">
        <v>1786</v>
      </c>
      <c r="F689" s="33" t="s">
        <v>1864</v>
      </c>
      <c r="G689" s="33" t="s">
        <v>74</v>
      </c>
      <c r="H689" s="33" t="s">
        <v>1875</v>
      </c>
      <c r="I689" s="33" t="s">
        <v>1875</v>
      </c>
      <c r="J689" s="33" t="s">
        <v>4195</v>
      </c>
      <c r="K689" s="33" t="s">
        <v>1791</v>
      </c>
      <c r="L689" s="33" t="s">
        <v>1881</v>
      </c>
      <c r="M689" s="33" t="s">
        <v>1863</v>
      </c>
      <c r="N689" s="33" t="s">
        <v>2041</v>
      </c>
      <c r="Q689" s="33" t="s">
        <v>4050</v>
      </c>
    </row>
    <row r="690" spans="1:17" hidden="1">
      <c r="A690" s="33" t="s">
        <v>4196</v>
      </c>
      <c r="B690" s="33" t="s">
        <v>4197</v>
      </c>
      <c r="C690" s="33" t="s">
        <v>2205</v>
      </c>
      <c r="D690" s="33" t="s">
        <v>4047</v>
      </c>
      <c r="E690" s="33" t="s">
        <v>1808</v>
      </c>
      <c r="F690" s="33" t="s">
        <v>1787</v>
      </c>
      <c r="G690" s="33" t="s">
        <v>74</v>
      </c>
      <c r="H690" s="33" t="s">
        <v>1875</v>
      </c>
      <c r="I690" s="33" t="s">
        <v>1875</v>
      </c>
      <c r="J690" s="33" t="s">
        <v>2206</v>
      </c>
      <c r="K690" s="33" t="s">
        <v>1791</v>
      </c>
      <c r="L690" s="33" t="s">
        <v>1875</v>
      </c>
      <c r="M690" s="33" t="s">
        <v>1811</v>
      </c>
      <c r="N690" s="33" t="s">
        <v>73</v>
      </c>
      <c r="Q690" s="33" t="s">
        <v>4050</v>
      </c>
    </row>
    <row r="691" spans="1:17">
      <c r="A691" s="33" t="s">
        <v>4198</v>
      </c>
      <c r="B691" s="33" t="s">
        <v>4199</v>
      </c>
      <c r="C691" s="33" t="s">
        <v>2205</v>
      </c>
      <c r="D691" s="33" t="s">
        <v>4047</v>
      </c>
      <c r="E691" s="33" t="s">
        <v>1786</v>
      </c>
      <c r="F691" s="33" t="s">
        <v>1864</v>
      </c>
      <c r="G691" s="33" t="s">
        <v>74</v>
      </c>
      <c r="H691" s="33" t="s">
        <v>1881</v>
      </c>
      <c r="I691" s="33" t="s">
        <v>1881</v>
      </c>
      <c r="J691" s="33" t="s">
        <v>4200</v>
      </c>
      <c r="K691" s="33" t="s">
        <v>1791</v>
      </c>
      <c r="L691" s="33" t="s">
        <v>1881</v>
      </c>
      <c r="M691" s="33" t="s">
        <v>1849</v>
      </c>
      <c r="N691" s="33" t="s">
        <v>77</v>
      </c>
      <c r="Q691" s="33" t="s">
        <v>4050</v>
      </c>
    </row>
    <row r="692" spans="1:17">
      <c r="A692" s="33" t="s">
        <v>4201</v>
      </c>
      <c r="B692" s="33" t="s">
        <v>4202</v>
      </c>
      <c r="C692" s="33" t="s">
        <v>4132</v>
      </c>
      <c r="D692" s="33" t="s">
        <v>4047</v>
      </c>
      <c r="E692" s="33" t="s">
        <v>1786</v>
      </c>
      <c r="F692" s="33" t="s">
        <v>1856</v>
      </c>
      <c r="G692" s="33" t="s">
        <v>4133</v>
      </c>
      <c r="H692" s="33" t="s">
        <v>1881</v>
      </c>
      <c r="I692" s="33" t="s">
        <v>1881</v>
      </c>
      <c r="J692" s="33" t="s">
        <v>4203</v>
      </c>
      <c r="K692" s="33" t="s">
        <v>1791</v>
      </c>
      <c r="L692" s="33" t="s">
        <v>1881</v>
      </c>
      <c r="M692" s="33" t="s">
        <v>2041</v>
      </c>
      <c r="N692" s="33" t="s">
        <v>4135</v>
      </c>
      <c r="Q692" s="33" t="s">
        <v>4050</v>
      </c>
    </row>
    <row r="693" spans="1:17">
      <c r="A693" s="33" t="s">
        <v>4204</v>
      </c>
      <c r="B693" s="33" t="s">
        <v>4205</v>
      </c>
      <c r="C693" s="33" t="s">
        <v>1949</v>
      </c>
      <c r="D693" s="33" t="s">
        <v>4047</v>
      </c>
      <c r="E693" s="33" t="s">
        <v>1786</v>
      </c>
      <c r="F693" s="33" t="s">
        <v>1856</v>
      </c>
      <c r="G693" s="33" t="s">
        <v>67</v>
      </c>
      <c r="H693" s="33" t="s">
        <v>1881</v>
      </c>
      <c r="I693" s="33" t="s">
        <v>1881</v>
      </c>
      <c r="J693" s="33" t="s">
        <v>4206</v>
      </c>
      <c r="K693" s="33" t="s">
        <v>1791</v>
      </c>
      <c r="L693" s="33" t="s">
        <v>2243</v>
      </c>
      <c r="M693" s="33" t="s">
        <v>1811</v>
      </c>
      <c r="N693" s="33" t="s">
        <v>55</v>
      </c>
      <c r="Q693" s="33" t="s">
        <v>4050</v>
      </c>
    </row>
    <row r="694" spans="1:17">
      <c r="A694" s="33" t="s">
        <v>4207</v>
      </c>
      <c r="B694" s="33" t="s">
        <v>4208</v>
      </c>
      <c r="C694" s="33" t="s">
        <v>4132</v>
      </c>
      <c r="D694" s="33" t="s">
        <v>4047</v>
      </c>
      <c r="E694" s="33" t="s">
        <v>1786</v>
      </c>
      <c r="F694" s="33" t="s">
        <v>1787</v>
      </c>
      <c r="G694" s="33" t="s">
        <v>4209</v>
      </c>
      <c r="H694" s="33" t="s">
        <v>2237</v>
      </c>
      <c r="I694" s="33" t="s">
        <v>2237</v>
      </c>
      <c r="J694" s="33" t="s">
        <v>4210</v>
      </c>
      <c r="K694" s="33" t="s">
        <v>1791</v>
      </c>
      <c r="L694" s="33" t="s">
        <v>2243</v>
      </c>
      <c r="M694" s="33" t="s">
        <v>1793</v>
      </c>
      <c r="N694" s="33" t="s">
        <v>4135</v>
      </c>
      <c r="Q694" s="33" t="s">
        <v>4050</v>
      </c>
    </row>
    <row r="695" spans="1:17">
      <c r="A695" s="33" t="s">
        <v>4211</v>
      </c>
      <c r="B695" s="33" t="s">
        <v>4212</v>
      </c>
      <c r="C695" s="33" t="s">
        <v>2205</v>
      </c>
      <c r="D695" s="33" t="s">
        <v>4047</v>
      </c>
      <c r="E695" s="33" t="s">
        <v>1786</v>
      </c>
      <c r="F695" s="33" t="s">
        <v>1787</v>
      </c>
      <c r="G695" s="33" t="s">
        <v>4075</v>
      </c>
      <c r="H695" s="33" t="s">
        <v>2237</v>
      </c>
      <c r="I695" s="33" t="s">
        <v>2237</v>
      </c>
      <c r="J695" s="33" t="s">
        <v>4213</v>
      </c>
      <c r="K695" s="33" t="s">
        <v>1791</v>
      </c>
      <c r="L695" s="33" t="s">
        <v>2243</v>
      </c>
      <c r="M695" s="33" t="s">
        <v>4214</v>
      </c>
      <c r="N695" s="33" t="s">
        <v>73</v>
      </c>
      <c r="Q695" s="33" t="s">
        <v>4050</v>
      </c>
    </row>
    <row r="696" spans="1:17" hidden="1">
      <c r="A696" s="33" t="s">
        <v>4215</v>
      </c>
      <c r="B696" s="33" t="s">
        <v>4216</v>
      </c>
      <c r="C696" s="33" t="s">
        <v>2205</v>
      </c>
      <c r="D696" s="33" t="s">
        <v>4075</v>
      </c>
      <c r="E696" s="33" t="s">
        <v>2471</v>
      </c>
      <c r="F696" s="33" t="s">
        <v>1787</v>
      </c>
      <c r="G696" s="33" t="s">
        <v>4075</v>
      </c>
      <c r="H696" s="33" t="s">
        <v>2237</v>
      </c>
      <c r="I696" s="33" t="s">
        <v>2237</v>
      </c>
      <c r="J696" s="33" t="s">
        <v>4217</v>
      </c>
      <c r="K696" s="33" t="s">
        <v>2471</v>
      </c>
      <c r="L696" s="33" t="s">
        <v>2243</v>
      </c>
      <c r="M696" s="33" t="s">
        <v>2284</v>
      </c>
      <c r="N696" s="33" t="s">
        <v>73</v>
      </c>
      <c r="Q696" s="33" t="s">
        <v>4050</v>
      </c>
    </row>
    <row r="697" spans="1:17">
      <c r="A697" s="33" t="s">
        <v>4218</v>
      </c>
      <c r="B697" s="33" t="s">
        <v>4219</v>
      </c>
      <c r="C697" s="33" t="s">
        <v>4061</v>
      </c>
      <c r="D697" s="33" t="s">
        <v>4047</v>
      </c>
      <c r="E697" s="33" t="s">
        <v>1786</v>
      </c>
      <c r="F697" s="33" t="s">
        <v>1856</v>
      </c>
      <c r="G697" s="33" t="s">
        <v>4062</v>
      </c>
      <c r="H697" s="33" t="s">
        <v>2237</v>
      </c>
      <c r="I697" s="33" t="s">
        <v>2237</v>
      </c>
      <c r="J697" s="33" t="s">
        <v>4220</v>
      </c>
      <c r="K697" s="33" t="s">
        <v>1791</v>
      </c>
      <c r="L697" s="33" t="s">
        <v>2243</v>
      </c>
      <c r="M697" s="33" t="s">
        <v>1838</v>
      </c>
      <c r="N697" s="33" t="s">
        <v>4065</v>
      </c>
      <c r="Q697" s="33" t="s">
        <v>4050</v>
      </c>
    </row>
    <row r="698" spans="1:17">
      <c r="A698" s="33" t="s">
        <v>4221</v>
      </c>
      <c r="B698" s="33" t="s">
        <v>4222</v>
      </c>
      <c r="C698" s="33" t="s">
        <v>4132</v>
      </c>
      <c r="D698" s="33" t="s">
        <v>4047</v>
      </c>
      <c r="E698" s="33" t="s">
        <v>1786</v>
      </c>
      <c r="F698" s="33" t="s">
        <v>1864</v>
      </c>
      <c r="G698" s="33" t="s">
        <v>4133</v>
      </c>
      <c r="H698" s="33" t="s">
        <v>2237</v>
      </c>
      <c r="I698" s="33" t="s">
        <v>2237</v>
      </c>
      <c r="J698" s="33" t="s">
        <v>4223</v>
      </c>
      <c r="K698" s="33" t="s">
        <v>1791</v>
      </c>
      <c r="L698" s="33" t="s">
        <v>2243</v>
      </c>
      <c r="M698" s="33" t="s">
        <v>82</v>
      </c>
      <c r="N698" s="33" t="s">
        <v>4135</v>
      </c>
      <c r="Q698" s="33" t="s">
        <v>4050</v>
      </c>
    </row>
    <row r="699" spans="1:17" hidden="1">
      <c r="A699" s="33" t="s">
        <v>4224</v>
      </c>
      <c r="B699" s="33" t="s">
        <v>4225</v>
      </c>
      <c r="C699" s="33" t="s">
        <v>2147</v>
      </c>
      <c r="D699" s="33" t="s">
        <v>4047</v>
      </c>
      <c r="E699" s="33" t="s">
        <v>1808</v>
      </c>
      <c r="F699" s="33" t="s">
        <v>1787</v>
      </c>
      <c r="G699" s="33" t="s">
        <v>2333</v>
      </c>
      <c r="H699" s="33" t="s">
        <v>2243</v>
      </c>
      <c r="I699" s="33" t="s">
        <v>2243</v>
      </c>
      <c r="J699" s="33" t="s">
        <v>2334</v>
      </c>
      <c r="K699" s="33" t="s">
        <v>1791</v>
      </c>
      <c r="L699" s="33" t="s">
        <v>2243</v>
      </c>
      <c r="M699" s="33" t="s">
        <v>82</v>
      </c>
      <c r="N699" s="33" t="s">
        <v>1849</v>
      </c>
      <c r="Q699" s="33" t="s">
        <v>4050</v>
      </c>
    </row>
    <row r="700" spans="1:17">
      <c r="A700" s="33" t="s">
        <v>4226</v>
      </c>
      <c r="B700" s="33" t="s">
        <v>4227</v>
      </c>
      <c r="C700" s="33" t="s">
        <v>2273</v>
      </c>
      <c r="D700" s="33" t="s">
        <v>4047</v>
      </c>
      <c r="E700" s="33" t="s">
        <v>1786</v>
      </c>
      <c r="F700" s="33" t="s">
        <v>1787</v>
      </c>
      <c r="G700" s="33" t="s">
        <v>2274</v>
      </c>
      <c r="H700" s="33" t="s">
        <v>2243</v>
      </c>
      <c r="I700" s="33" t="s">
        <v>2243</v>
      </c>
      <c r="J700" s="33" t="s">
        <v>4228</v>
      </c>
      <c r="K700" s="33" t="s">
        <v>1791</v>
      </c>
      <c r="L700" s="33" t="s">
        <v>2243</v>
      </c>
      <c r="M700" s="33" t="s">
        <v>1811</v>
      </c>
      <c r="N700" s="33" t="s">
        <v>1811</v>
      </c>
      <c r="Q700" s="33" t="s">
        <v>4050</v>
      </c>
    </row>
    <row r="701" spans="1:17">
      <c r="A701" s="33" t="s">
        <v>4155</v>
      </c>
      <c r="B701" s="33" t="s">
        <v>4229</v>
      </c>
      <c r="C701" s="33" t="s">
        <v>4151</v>
      </c>
      <c r="D701" s="33" t="s">
        <v>4047</v>
      </c>
      <c r="E701" s="33" t="s">
        <v>1786</v>
      </c>
      <c r="F701" s="33" t="s">
        <v>1787</v>
      </c>
      <c r="G701" s="33" t="s">
        <v>4152</v>
      </c>
      <c r="H701" s="33" t="s">
        <v>2243</v>
      </c>
      <c r="I701" s="33" t="s">
        <v>2243</v>
      </c>
      <c r="J701" s="33" t="s">
        <v>4230</v>
      </c>
      <c r="K701" s="33" t="s">
        <v>1791</v>
      </c>
      <c r="L701" s="33" t="s">
        <v>2243</v>
      </c>
      <c r="M701" s="33" t="s">
        <v>1838</v>
      </c>
      <c r="N701" s="33" t="s">
        <v>1765</v>
      </c>
      <c r="Q701" s="33" t="s">
        <v>4050</v>
      </c>
    </row>
    <row r="702" spans="1:17">
      <c r="A702" s="33" t="s">
        <v>4231</v>
      </c>
      <c r="B702" s="33" t="s">
        <v>4232</v>
      </c>
      <c r="C702" s="33" t="s">
        <v>1949</v>
      </c>
      <c r="D702" s="33" t="s">
        <v>4047</v>
      </c>
      <c r="E702" s="33" t="s">
        <v>1786</v>
      </c>
      <c r="F702" s="33" t="s">
        <v>1815</v>
      </c>
      <c r="G702" s="33" t="s">
        <v>4233</v>
      </c>
      <c r="H702" s="33" t="s">
        <v>2243</v>
      </c>
      <c r="I702" s="33" t="s">
        <v>2243</v>
      </c>
      <c r="J702" s="33" t="s">
        <v>4234</v>
      </c>
      <c r="K702" s="33" t="s">
        <v>1791</v>
      </c>
      <c r="L702" s="33" t="s">
        <v>2243</v>
      </c>
      <c r="M702" s="33" t="s">
        <v>1811</v>
      </c>
      <c r="N702" s="33" t="s">
        <v>55</v>
      </c>
      <c r="Q702" s="33" t="s">
        <v>4050</v>
      </c>
    </row>
    <row r="703" spans="1:17">
      <c r="A703" s="33" t="s">
        <v>4231</v>
      </c>
      <c r="B703" s="33" t="s">
        <v>4235</v>
      </c>
      <c r="C703" s="33" t="s">
        <v>1949</v>
      </c>
      <c r="D703" s="33" t="s">
        <v>4047</v>
      </c>
      <c r="E703" s="33" t="s">
        <v>1786</v>
      </c>
      <c r="F703" s="33" t="s">
        <v>1815</v>
      </c>
      <c r="G703" s="33" t="s">
        <v>4233</v>
      </c>
      <c r="H703" s="33" t="s">
        <v>2243</v>
      </c>
      <c r="I703" s="33" t="s">
        <v>2243</v>
      </c>
      <c r="J703" s="33" t="s">
        <v>4236</v>
      </c>
      <c r="K703" s="33" t="s">
        <v>1791</v>
      </c>
      <c r="L703" s="33" t="s">
        <v>2243</v>
      </c>
      <c r="M703" s="33" t="s">
        <v>1811</v>
      </c>
      <c r="N703" s="33" t="s">
        <v>55</v>
      </c>
      <c r="Q703" s="33" t="s">
        <v>4050</v>
      </c>
    </row>
    <row r="704" spans="1:17">
      <c r="A704" s="33" t="s">
        <v>4237</v>
      </c>
      <c r="B704" s="33" t="s">
        <v>4238</v>
      </c>
      <c r="C704" s="33" t="s">
        <v>1949</v>
      </c>
      <c r="D704" s="33" t="s">
        <v>4047</v>
      </c>
      <c r="E704" s="33" t="s">
        <v>1786</v>
      </c>
      <c r="F704" s="33" t="s">
        <v>1815</v>
      </c>
      <c r="G704" s="33" t="s">
        <v>4233</v>
      </c>
      <c r="H704" s="33" t="s">
        <v>2243</v>
      </c>
      <c r="I704" s="33" t="s">
        <v>2243</v>
      </c>
      <c r="J704" s="33" t="s">
        <v>4239</v>
      </c>
      <c r="K704" s="33" t="s">
        <v>1791</v>
      </c>
      <c r="L704" s="33" t="s">
        <v>2243</v>
      </c>
      <c r="M704" s="33" t="s">
        <v>1811</v>
      </c>
      <c r="N704" s="33" t="s">
        <v>55</v>
      </c>
      <c r="Q704" s="33" t="s">
        <v>4050</v>
      </c>
    </row>
    <row r="705" spans="1:17">
      <c r="A705" s="33" t="s">
        <v>4231</v>
      </c>
      <c r="B705" s="33" t="s">
        <v>4240</v>
      </c>
      <c r="C705" s="33" t="s">
        <v>1949</v>
      </c>
      <c r="D705" s="33" t="s">
        <v>4047</v>
      </c>
      <c r="E705" s="33" t="s">
        <v>1786</v>
      </c>
      <c r="F705" s="33" t="s">
        <v>1815</v>
      </c>
      <c r="G705" s="33" t="s">
        <v>4233</v>
      </c>
      <c r="H705" s="33" t="s">
        <v>2243</v>
      </c>
      <c r="I705" s="33" t="s">
        <v>2243</v>
      </c>
      <c r="J705" s="33" t="s">
        <v>4241</v>
      </c>
      <c r="K705" s="33" t="s">
        <v>1791</v>
      </c>
      <c r="L705" s="33" t="s">
        <v>2243</v>
      </c>
      <c r="M705" s="33" t="s">
        <v>1811</v>
      </c>
      <c r="N705" s="33" t="s">
        <v>55</v>
      </c>
      <c r="Q705" s="33" t="s">
        <v>4050</v>
      </c>
    </row>
    <row r="706" spans="1:17">
      <c r="A706" s="33" t="s">
        <v>4231</v>
      </c>
      <c r="B706" s="33" t="s">
        <v>4242</v>
      </c>
      <c r="C706" s="33" t="s">
        <v>1949</v>
      </c>
      <c r="D706" s="33" t="s">
        <v>4047</v>
      </c>
      <c r="E706" s="33" t="s">
        <v>1786</v>
      </c>
      <c r="F706" s="33" t="s">
        <v>1815</v>
      </c>
      <c r="G706" s="33" t="s">
        <v>4233</v>
      </c>
      <c r="H706" s="33" t="s">
        <v>2243</v>
      </c>
      <c r="I706" s="33" t="s">
        <v>2243</v>
      </c>
      <c r="J706" s="33" t="s">
        <v>4243</v>
      </c>
      <c r="K706" s="33" t="s">
        <v>1791</v>
      </c>
      <c r="L706" s="33" t="s">
        <v>2243</v>
      </c>
      <c r="M706" s="33" t="s">
        <v>1811</v>
      </c>
      <c r="N706" s="33" t="s">
        <v>55</v>
      </c>
      <c r="Q706" s="33" t="s">
        <v>4050</v>
      </c>
    </row>
    <row r="707" spans="1:17">
      <c r="A707" s="33" t="s">
        <v>4244</v>
      </c>
      <c r="B707" s="33" t="s">
        <v>4245</v>
      </c>
      <c r="C707" s="33" t="s">
        <v>1949</v>
      </c>
      <c r="D707" s="33" t="s">
        <v>4047</v>
      </c>
      <c r="E707" s="33" t="s">
        <v>1786</v>
      </c>
      <c r="F707" s="33" t="s">
        <v>1815</v>
      </c>
      <c r="G707" s="33" t="s">
        <v>4233</v>
      </c>
      <c r="H707" s="33" t="s">
        <v>2337</v>
      </c>
      <c r="I707" s="33" t="s">
        <v>2337</v>
      </c>
      <c r="J707" s="33" t="s">
        <v>4246</v>
      </c>
      <c r="K707" s="33" t="s">
        <v>1791</v>
      </c>
      <c r="L707" s="33" t="s">
        <v>2337</v>
      </c>
      <c r="M707" s="33" t="s">
        <v>1811</v>
      </c>
      <c r="N707" s="33" t="s">
        <v>55</v>
      </c>
      <c r="Q707" s="33" t="s">
        <v>4050</v>
      </c>
    </row>
    <row r="708" spans="1:17">
      <c r="A708" s="33" t="s">
        <v>4244</v>
      </c>
      <c r="B708" s="33" t="s">
        <v>4247</v>
      </c>
      <c r="C708" s="33" t="s">
        <v>1949</v>
      </c>
      <c r="D708" s="33" t="s">
        <v>4047</v>
      </c>
      <c r="E708" s="33" t="s">
        <v>1786</v>
      </c>
      <c r="F708" s="33" t="s">
        <v>1815</v>
      </c>
      <c r="G708" s="33" t="s">
        <v>4233</v>
      </c>
      <c r="H708" s="33" t="s">
        <v>2337</v>
      </c>
      <c r="I708" s="33" t="s">
        <v>2337</v>
      </c>
      <c r="J708" s="33" t="s">
        <v>4248</v>
      </c>
      <c r="K708" s="33" t="s">
        <v>1791</v>
      </c>
      <c r="L708" s="33" t="s">
        <v>2337</v>
      </c>
      <c r="M708" s="33" t="s">
        <v>1811</v>
      </c>
      <c r="N708" s="33" t="s">
        <v>55</v>
      </c>
      <c r="Q708" s="33" t="s">
        <v>4050</v>
      </c>
    </row>
    <row r="709" spans="1:17">
      <c r="A709" s="33" t="s">
        <v>4244</v>
      </c>
      <c r="B709" s="33" t="s">
        <v>4249</v>
      </c>
      <c r="C709" s="33" t="s">
        <v>1949</v>
      </c>
      <c r="D709" s="33" t="s">
        <v>4047</v>
      </c>
      <c r="E709" s="33" t="s">
        <v>1786</v>
      </c>
      <c r="F709" s="33" t="s">
        <v>1815</v>
      </c>
      <c r="G709" s="33" t="s">
        <v>4233</v>
      </c>
      <c r="H709" s="33" t="s">
        <v>2337</v>
      </c>
      <c r="I709" s="33" t="s">
        <v>2337</v>
      </c>
      <c r="J709" s="33" t="s">
        <v>4246</v>
      </c>
      <c r="K709" s="33" t="s">
        <v>1791</v>
      </c>
      <c r="L709" s="33" t="s">
        <v>2337</v>
      </c>
      <c r="M709" s="33" t="s">
        <v>1811</v>
      </c>
      <c r="N709" s="33" t="s">
        <v>55</v>
      </c>
      <c r="Q709" s="33" t="s">
        <v>4050</v>
      </c>
    </row>
    <row r="710" spans="1:17">
      <c r="A710" s="33" t="s">
        <v>4250</v>
      </c>
      <c r="B710" s="33" t="s">
        <v>4251</v>
      </c>
      <c r="C710" s="33" t="s">
        <v>1949</v>
      </c>
      <c r="D710" s="33" t="s">
        <v>4047</v>
      </c>
      <c r="E710" s="33" t="s">
        <v>1786</v>
      </c>
      <c r="F710" s="33" t="s">
        <v>1815</v>
      </c>
      <c r="G710" s="33" t="s">
        <v>4233</v>
      </c>
      <c r="H710" s="33" t="s">
        <v>2337</v>
      </c>
      <c r="I710" s="33" t="s">
        <v>2337</v>
      </c>
      <c r="J710" s="33" t="s">
        <v>4252</v>
      </c>
      <c r="K710" s="33" t="s">
        <v>1791</v>
      </c>
      <c r="L710" s="33" t="s">
        <v>2337</v>
      </c>
      <c r="M710" s="33" t="s">
        <v>1811</v>
      </c>
      <c r="N710" s="33" t="s">
        <v>55</v>
      </c>
      <c r="Q710" s="33" t="s">
        <v>4050</v>
      </c>
    </row>
    <row r="711" spans="1:17">
      <c r="A711" s="33" t="s">
        <v>4253</v>
      </c>
      <c r="B711" s="33" t="s">
        <v>4254</v>
      </c>
      <c r="C711" s="33" t="s">
        <v>1949</v>
      </c>
      <c r="D711" s="33" t="s">
        <v>4047</v>
      </c>
      <c r="E711" s="33" t="s">
        <v>1786</v>
      </c>
      <c r="F711" s="33" t="s">
        <v>1815</v>
      </c>
      <c r="G711" s="33" t="s">
        <v>4233</v>
      </c>
      <c r="H711" s="33" t="s">
        <v>2337</v>
      </c>
      <c r="I711" s="33" t="s">
        <v>2337</v>
      </c>
      <c r="J711" s="33" t="s">
        <v>4255</v>
      </c>
      <c r="K711" s="33" t="s">
        <v>1791</v>
      </c>
      <c r="L711" s="33" t="s">
        <v>2467</v>
      </c>
      <c r="M711" s="33" t="s">
        <v>1811</v>
      </c>
      <c r="N711" s="33" t="s">
        <v>55</v>
      </c>
      <c r="Q711" s="33" t="s">
        <v>4050</v>
      </c>
    </row>
    <row r="712" spans="1:17">
      <c r="A712" s="33" t="s">
        <v>4256</v>
      </c>
      <c r="B712" s="33" t="s">
        <v>4257</v>
      </c>
      <c r="C712" s="33" t="s">
        <v>1949</v>
      </c>
      <c r="D712" s="33" t="s">
        <v>4047</v>
      </c>
      <c r="E712" s="33" t="s">
        <v>1786</v>
      </c>
      <c r="F712" s="33" t="s">
        <v>1815</v>
      </c>
      <c r="G712" s="33" t="s">
        <v>4233</v>
      </c>
      <c r="H712" s="33" t="s">
        <v>2337</v>
      </c>
      <c r="I712" s="33" t="s">
        <v>2337</v>
      </c>
      <c r="J712" s="33" t="s">
        <v>4258</v>
      </c>
      <c r="K712" s="33" t="s">
        <v>1791</v>
      </c>
      <c r="L712" s="33" t="s">
        <v>2467</v>
      </c>
      <c r="M712" s="33" t="s">
        <v>1811</v>
      </c>
      <c r="N712" s="33" t="s">
        <v>55</v>
      </c>
      <c r="Q712" s="33" t="s">
        <v>4050</v>
      </c>
    </row>
    <row r="713" spans="1:17" hidden="1">
      <c r="A713" s="33" t="s">
        <v>2469</v>
      </c>
      <c r="B713" s="33" t="s">
        <v>4259</v>
      </c>
      <c r="C713" s="33" t="s">
        <v>1819</v>
      </c>
      <c r="D713" s="33" t="s">
        <v>4047</v>
      </c>
      <c r="E713" s="33" t="s">
        <v>1808</v>
      </c>
      <c r="F713" s="33" t="s">
        <v>1787</v>
      </c>
      <c r="G713" s="33" t="s">
        <v>1954</v>
      </c>
      <c r="H713" s="33" t="s">
        <v>2337</v>
      </c>
      <c r="I713" s="33" t="s">
        <v>2337</v>
      </c>
      <c r="J713" s="33" t="s">
        <v>2472</v>
      </c>
      <c r="K713" s="33" t="s">
        <v>1791</v>
      </c>
      <c r="L713" s="33" t="s">
        <v>2337</v>
      </c>
      <c r="M713" s="33" t="s">
        <v>1863</v>
      </c>
      <c r="N713" s="33" t="s">
        <v>1078</v>
      </c>
      <c r="Q713" s="33" t="s">
        <v>4050</v>
      </c>
    </row>
    <row r="714" spans="1:17">
      <c r="A714" s="33" t="s">
        <v>4260</v>
      </c>
      <c r="B714" s="33" t="s">
        <v>4261</v>
      </c>
      <c r="C714" s="33" t="s">
        <v>2205</v>
      </c>
      <c r="D714" s="33" t="s">
        <v>4047</v>
      </c>
      <c r="E714" s="33" t="s">
        <v>1786</v>
      </c>
      <c r="F714" s="33" t="s">
        <v>1864</v>
      </c>
      <c r="G714" s="33" t="s">
        <v>74</v>
      </c>
      <c r="H714" s="33" t="s">
        <v>2337</v>
      </c>
      <c r="I714" s="33" t="s">
        <v>2337</v>
      </c>
      <c r="J714" s="33" t="s">
        <v>4262</v>
      </c>
      <c r="K714" s="33" t="s">
        <v>1791</v>
      </c>
      <c r="L714" s="33" t="s">
        <v>2467</v>
      </c>
      <c r="M714" s="33" t="s">
        <v>1811</v>
      </c>
      <c r="N714" s="33" t="s">
        <v>2041</v>
      </c>
      <c r="Q714" s="33" t="s">
        <v>4050</v>
      </c>
    </row>
    <row r="715" spans="1:17">
      <c r="A715" s="33" t="s">
        <v>4263</v>
      </c>
      <c r="B715" s="33" t="s">
        <v>4264</v>
      </c>
      <c r="C715" s="33" t="s">
        <v>3205</v>
      </c>
      <c r="D715" s="33" t="s">
        <v>4047</v>
      </c>
      <c r="E715" s="33" t="s">
        <v>1786</v>
      </c>
      <c r="F715" s="33" t="s">
        <v>1815</v>
      </c>
      <c r="G715" s="33" t="s">
        <v>4100</v>
      </c>
      <c r="H715" s="33" t="s">
        <v>4265</v>
      </c>
      <c r="I715" s="33" t="s">
        <v>4265</v>
      </c>
      <c r="J715" s="33" t="s">
        <v>4266</v>
      </c>
      <c r="K715" s="33" t="s">
        <v>1791</v>
      </c>
      <c r="L715" s="33" t="s">
        <v>2467</v>
      </c>
      <c r="M715" s="33" t="s">
        <v>196</v>
      </c>
      <c r="N715" s="33" t="s">
        <v>95</v>
      </c>
      <c r="Q715" s="33" t="s">
        <v>4050</v>
      </c>
    </row>
    <row r="716" spans="1:17">
      <c r="A716" s="33" t="s">
        <v>4267</v>
      </c>
      <c r="B716" s="33" t="s">
        <v>4268</v>
      </c>
      <c r="C716" s="33" t="s">
        <v>4132</v>
      </c>
      <c r="D716" s="33" t="s">
        <v>4047</v>
      </c>
      <c r="E716" s="33" t="s">
        <v>1786</v>
      </c>
      <c r="F716" s="33" t="s">
        <v>1787</v>
      </c>
      <c r="G716" s="33" t="s">
        <v>4209</v>
      </c>
      <c r="H716" s="33" t="s">
        <v>2211</v>
      </c>
      <c r="I716" s="33" t="s">
        <v>2211</v>
      </c>
      <c r="J716" s="33" t="s">
        <v>4269</v>
      </c>
      <c r="K716" s="33" t="s">
        <v>1791</v>
      </c>
      <c r="L716" s="33" t="s">
        <v>2467</v>
      </c>
      <c r="M716" s="33" t="s">
        <v>1838</v>
      </c>
      <c r="N716" s="33" t="s">
        <v>4135</v>
      </c>
      <c r="Q716" s="33" t="s">
        <v>4050</v>
      </c>
    </row>
    <row r="717" spans="1:17" hidden="1">
      <c r="A717" s="33" t="s">
        <v>4270</v>
      </c>
      <c r="B717" s="33" t="s">
        <v>4271</v>
      </c>
      <c r="C717" s="33" t="s">
        <v>2026</v>
      </c>
      <c r="D717" s="33" t="s">
        <v>4272</v>
      </c>
      <c r="E717" s="33" t="s">
        <v>2471</v>
      </c>
      <c r="F717" s="33" t="s">
        <v>1815</v>
      </c>
      <c r="G717" s="33" t="s">
        <v>4272</v>
      </c>
      <c r="H717" s="33" t="s">
        <v>2211</v>
      </c>
      <c r="I717" s="33" t="s">
        <v>2211</v>
      </c>
      <c r="J717" s="33" t="s">
        <v>4273</v>
      </c>
      <c r="K717" s="33" t="s">
        <v>2471</v>
      </c>
      <c r="L717" s="33" t="s">
        <v>2467</v>
      </c>
      <c r="M717" s="33" t="s">
        <v>4135</v>
      </c>
      <c r="N717" s="33" t="s">
        <v>1838</v>
      </c>
      <c r="Q717" s="33" t="s">
        <v>4050</v>
      </c>
    </row>
    <row r="718" spans="1:17" hidden="1">
      <c r="A718" s="33" t="s">
        <v>4274</v>
      </c>
      <c r="B718" s="33" t="s">
        <v>4275</v>
      </c>
      <c r="C718" s="33" t="s">
        <v>4132</v>
      </c>
      <c r="D718" s="33" t="s">
        <v>4272</v>
      </c>
      <c r="E718" s="33" t="s">
        <v>2471</v>
      </c>
      <c r="F718" s="33" t="s">
        <v>1856</v>
      </c>
      <c r="G718" s="33" t="s">
        <v>4272</v>
      </c>
      <c r="H718" s="33" t="s">
        <v>2211</v>
      </c>
      <c r="I718" s="33" t="s">
        <v>2211</v>
      </c>
      <c r="J718" s="33" t="s">
        <v>4276</v>
      </c>
      <c r="K718" s="33" t="s">
        <v>2471</v>
      </c>
      <c r="L718" s="33" t="s">
        <v>2467</v>
      </c>
      <c r="M718" s="33" t="s">
        <v>4135</v>
      </c>
      <c r="N718" s="33" t="s">
        <v>1811</v>
      </c>
      <c r="Q718" s="33" t="s">
        <v>4050</v>
      </c>
    </row>
    <row r="719" spans="1:17" hidden="1">
      <c r="A719" s="33" t="s">
        <v>2477</v>
      </c>
      <c r="B719" s="33" t="s">
        <v>4277</v>
      </c>
      <c r="C719" s="33" t="s">
        <v>1980</v>
      </c>
      <c r="D719" s="33" t="s">
        <v>4047</v>
      </c>
      <c r="E719" s="33" t="s">
        <v>1808</v>
      </c>
      <c r="F719" s="33" t="s">
        <v>1787</v>
      </c>
      <c r="G719" s="33" t="s">
        <v>1981</v>
      </c>
      <c r="H719" s="33" t="s">
        <v>2370</v>
      </c>
      <c r="I719" s="33" t="s">
        <v>2370</v>
      </c>
      <c r="J719" s="33" t="s">
        <v>2479</v>
      </c>
      <c r="K719" s="33" t="s">
        <v>1791</v>
      </c>
      <c r="L719" s="33" t="s">
        <v>2370</v>
      </c>
      <c r="M719" s="33" t="s">
        <v>2480</v>
      </c>
      <c r="N719" s="33" t="s">
        <v>1849</v>
      </c>
      <c r="Q719" s="33" t="s">
        <v>4050</v>
      </c>
    </row>
    <row r="720" spans="1:17" hidden="1">
      <c r="A720" s="33" t="s">
        <v>2481</v>
      </c>
      <c r="B720" s="33" t="s">
        <v>4278</v>
      </c>
      <c r="C720" s="33" t="s">
        <v>1980</v>
      </c>
      <c r="D720" s="33" t="s">
        <v>4047</v>
      </c>
      <c r="E720" s="33" t="s">
        <v>1808</v>
      </c>
      <c r="F720" s="33" t="s">
        <v>1787</v>
      </c>
      <c r="G720" s="33" t="s">
        <v>1981</v>
      </c>
      <c r="H720" s="33" t="s">
        <v>2370</v>
      </c>
      <c r="I720" s="33" t="s">
        <v>2370</v>
      </c>
      <c r="J720" s="33" t="s">
        <v>2483</v>
      </c>
      <c r="K720" s="33" t="s">
        <v>1791</v>
      </c>
      <c r="L720" s="33" t="s">
        <v>2370</v>
      </c>
      <c r="M720" s="33" t="s">
        <v>1995</v>
      </c>
      <c r="N720" s="33" t="s">
        <v>1849</v>
      </c>
      <c r="Q720" s="33" t="s">
        <v>4050</v>
      </c>
    </row>
    <row r="721" spans="1:17" hidden="1">
      <c r="A721" s="33" t="s">
        <v>4279</v>
      </c>
      <c r="B721" s="33" t="s">
        <v>4280</v>
      </c>
      <c r="C721" s="33" t="s">
        <v>4132</v>
      </c>
      <c r="D721" s="33" t="s">
        <v>4272</v>
      </c>
      <c r="E721" s="33" t="s">
        <v>2471</v>
      </c>
      <c r="F721" s="33" t="s">
        <v>1856</v>
      </c>
      <c r="G721" s="33" t="s">
        <v>4272</v>
      </c>
      <c r="H721" s="33" t="s">
        <v>2370</v>
      </c>
      <c r="I721" s="33" t="s">
        <v>2370</v>
      </c>
      <c r="J721" s="33" t="s">
        <v>4281</v>
      </c>
      <c r="K721" s="33" t="s">
        <v>2471</v>
      </c>
      <c r="L721" s="33" t="s">
        <v>2467</v>
      </c>
      <c r="M721" s="33" t="s">
        <v>4135</v>
      </c>
      <c r="N721" s="33" t="s">
        <v>1838</v>
      </c>
      <c r="Q721" s="33" t="s">
        <v>4050</v>
      </c>
    </row>
    <row r="722" spans="1:17">
      <c r="A722" s="33" t="s">
        <v>4282</v>
      </c>
      <c r="B722" s="33" t="s">
        <v>4283</v>
      </c>
      <c r="C722" s="33" t="s">
        <v>1949</v>
      </c>
      <c r="D722" s="33" t="s">
        <v>4047</v>
      </c>
      <c r="E722" s="33" t="s">
        <v>1786</v>
      </c>
      <c r="F722" s="33" t="s">
        <v>1856</v>
      </c>
      <c r="G722" s="33" t="s">
        <v>67</v>
      </c>
      <c r="H722" s="33" t="s">
        <v>2370</v>
      </c>
      <c r="I722" s="33" t="s">
        <v>2370</v>
      </c>
      <c r="J722" s="33" t="s">
        <v>4284</v>
      </c>
      <c r="K722" s="33" t="s">
        <v>1791</v>
      </c>
      <c r="L722" s="33" t="s">
        <v>2467</v>
      </c>
      <c r="M722" s="33" t="s">
        <v>1838</v>
      </c>
      <c r="N722" s="33" t="s">
        <v>55</v>
      </c>
      <c r="Q722" s="33" t="s">
        <v>4050</v>
      </c>
    </row>
    <row r="723" spans="1:17" hidden="1">
      <c r="A723" s="33" t="s">
        <v>2500</v>
      </c>
      <c r="B723" s="33" t="s">
        <v>4285</v>
      </c>
      <c r="C723" s="33" t="s">
        <v>1949</v>
      </c>
      <c r="D723" s="33" t="s">
        <v>4047</v>
      </c>
      <c r="E723" s="33" t="s">
        <v>1808</v>
      </c>
      <c r="F723" s="33" t="s">
        <v>1787</v>
      </c>
      <c r="G723" s="33" t="s">
        <v>67</v>
      </c>
      <c r="H723" s="33" t="s">
        <v>2370</v>
      </c>
      <c r="I723" s="33" t="s">
        <v>2370</v>
      </c>
      <c r="J723" s="33" t="s">
        <v>2502</v>
      </c>
      <c r="K723" s="33" t="s">
        <v>1791</v>
      </c>
      <c r="L723" s="33" t="s">
        <v>2370</v>
      </c>
      <c r="M723" s="33" t="s">
        <v>2045</v>
      </c>
      <c r="N723" s="33" t="s">
        <v>55</v>
      </c>
      <c r="Q723" s="33" t="s">
        <v>4050</v>
      </c>
    </row>
    <row r="724" spans="1:17" hidden="1">
      <c r="A724" s="33" t="s">
        <v>2505</v>
      </c>
      <c r="B724" s="33" t="s">
        <v>4286</v>
      </c>
      <c r="C724" s="33" t="s">
        <v>2096</v>
      </c>
      <c r="D724" s="33" t="s">
        <v>4047</v>
      </c>
      <c r="E724" s="33" t="s">
        <v>1808</v>
      </c>
      <c r="F724" s="33" t="s">
        <v>1787</v>
      </c>
      <c r="G724" s="33" t="s">
        <v>2097</v>
      </c>
      <c r="H724" s="33" t="s">
        <v>2370</v>
      </c>
      <c r="I724" s="33" t="s">
        <v>2370</v>
      </c>
      <c r="J724" s="33" t="s">
        <v>2507</v>
      </c>
      <c r="K724" s="33" t="s">
        <v>1791</v>
      </c>
      <c r="L724" s="33" t="s">
        <v>2370</v>
      </c>
      <c r="M724" s="33" t="s">
        <v>1811</v>
      </c>
      <c r="N724" s="33" t="s">
        <v>1863</v>
      </c>
      <c r="Q724" s="33" t="s">
        <v>4050</v>
      </c>
    </row>
    <row r="725" spans="1:17" hidden="1">
      <c r="A725" s="33" t="s">
        <v>4287</v>
      </c>
      <c r="B725" s="33" t="s">
        <v>4288</v>
      </c>
      <c r="C725" s="33" t="s">
        <v>2205</v>
      </c>
      <c r="D725" s="33" t="s">
        <v>4075</v>
      </c>
      <c r="E725" s="33" t="s">
        <v>2471</v>
      </c>
      <c r="F725" s="33" t="s">
        <v>1787</v>
      </c>
      <c r="G725" s="33" t="s">
        <v>4075</v>
      </c>
      <c r="H725" s="33" t="s">
        <v>2370</v>
      </c>
      <c r="I725" s="33" t="s">
        <v>2370</v>
      </c>
      <c r="J725" s="33" t="s">
        <v>4289</v>
      </c>
      <c r="K725" s="33" t="s">
        <v>2471</v>
      </c>
      <c r="L725" s="33" t="s">
        <v>2467</v>
      </c>
      <c r="M725" s="33" t="s">
        <v>2284</v>
      </c>
      <c r="N725" s="33" t="s">
        <v>73</v>
      </c>
      <c r="Q725" s="33" t="s">
        <v>4050</v>
      </c>
    </row>
    <row r="726" spans="1:17" hidden="1">
      <c r="A726" s="33" t="s">
        <v>4290</v>
      </c>
      <c r="B726" s="33" t="s">
        <v>4291</v>
      </c>
      <c r="C726" s="33" t="s">
        <v>1980</v>
      </c>
      <c r="D726" s="33" t="s">
        <v>4292</v>
      </c>
      <c r="E726" s="33" t="s">
        <v>2471</v>
      </c>
      <c r="F726" s="33" t="s">
        <v>1815</v>
      </c>
      <c r="G726" s="33" t="s">
        <v>4292</v>
      </c>
      <c r="H726" s="33" t="s">
        <v>2000</v>
      </c>
      <c r="I726" s="33" t="s">
        <v>2000</v>
      </c>
      <c r="J726" s="33" t="s">
        <v>4293</v>
      </c>
      <c r="K726" s="33" t="s">
        <v>2471</v>
      </c>
      <c r="L726" s="33" t="s">
        <v>2000</v>
      </c>
      <c r="M726" s="33" t="s">
        <v>1827</v>
      </c>
      <c r="N726" s="33" t="s">
        <v>1849</v>
      </c>
      <c r="Q726" s="33" t="s">
        <v>4050</v>
      </c>
    </row>
    <row r="727" spans="1:17">
      <c r="A727" s="33" t="s">
        <v>4294</v>
      </c>
      <c r="B727" s="33" t="s">
        <v>4295</v>
      </c>
      <c r="C727" s="33" t="s">
        <v>4061</v>
      </c>
      <c r="D727" s="33" t="s">
        <v>4047</v>
      </c>
      <c r="E727" s="33" t="s">
        <v>1786</v>
      </c>
      <c r="F727" s="33" t="s">
        <v>1864</v>
      </c>
      <c r="G727" s="33" t="s">
        <v>4296</v>
      </c>
      <c r="H727" s="33" t="s">
        <v>2000</v>
      </c>
      <c r="I727" s="33" t="s">
        <v>2000</v>
      </c>
      <c r="J727" s="33" t="s">
        <v>4297</v>
      </c>
      <c r="K727" s="33" t="s">
        <v>1791</v>
      </c>
      <c r="L727" s="33" t="s">
        <v>2467</v>
      </c>
      <c r="M727" s="33" t="s">
        <v>2041</v>
      </c>
      <c r="N727" s="33" t="s">
        <v>4065</v>
      </c>
      <c r="Q727" s="33" t="s">
        <v>4050</v>
      </c>
    </row>
    <row r="728" spans="1:17">
      <c r="A728" s="33" t="s">
        <v>4298</v>
      </c>
      <c r="B728" s="33" t="s">
        <v>4299</v>
      </c>
      <c r="C728" s="33" t="s">
        <v>2205</v>
      </c>
      <c r="D728" s="33" t="s">
        <v>4047</v>
      </c>
      <c r="E728" s="33" t="s">
        <v>1786</v>
      </c>
      <c r="F728" s="33" t="s">
        <v>1787</v>
      </c>
      <c r="G728" s="33" t="s">
        <v>4300</v>
      </c>
      <c r="H728" s="33" t="s">
        <v>2000</v>
      </c>
      <c r="I728" s="33" t="s">
        <v>2000</v>
      </c>
      <c r="J728" s="33" t="s">
        <v>4301</v>
      </c>
      <c r="K728" s="33" t="s">
        <v>1791</v>
      </c>
      <c r="L728" s="33" t="s">
        <v>2467</v>
      </c>
      <c r="M728" s="33" t="s">
        <v>1838</v>
      </c>
      <c r="N728" s="33" t="s">
        <v>73</v>
      </c>
      <c r="Q728" s="33" t="s">
        <v>4050</v>
      </c>
    </row>
    <row r="729" spans="1:17">
      <c r="A729" s="33" t="s">
        <v>4302</v>
      </c>
      <c r="B729" s="33" t="s">
        <v>4303</v>
      </c>
      <c r="C729" s="33" t="s">
        <v>2273</v>
      </c>
      <c r="D729" s="33" t="s">
        <v>4047</v>
      </c>
      <c r="E729" s="33" t="s">
        <v>1786</v>
      </c>
      <c r="F729" s="33" t="s">
        <v>1787</v>
      </c>
      <c r="G729" s="33" t="s">
        <v>2274</v>
      </c>
      <c r="H729" s="33" t="s">
        <v>2000</v>
      </c>
      <c r="I729" s="33" t="s">
        <v>2000</v>
      </c>
      <c r="J729" s="33" t="s">
        <v>4304</v>
      </c>
      <c r="K729" s="33" t="s">
        <v>1791</v>
      </c>
      <c r="L729" s="33" t="s">
        <v>2467</v>
      </c>
      <c r="M729" s="33" t="s">
        <v>4119</v>
      </c>
      <c r="N729" s="33" t="s">
        <v>1811</v>
      </c>
      <c r="Q729" s="33" t="s">
        <v>4050</v>
      </c>
    </row>
    <row r="730" spans="1:17">
      <c r="A730" s="33" t="s">
        <v>4305</v>
      </c>
      <c r="B730" s="33" t="s">
        <v>4306</v>
      </c>
      <c r="C730" s="33" t="s">
        <v>3205</v>
      </c>
      <c r="D730" s="33" t="s">
        <v>4047</v>
      </c>
      <c r="E730" s="33" t="s">
        <v>1786</v>
      </c>
      <c r="F730" s="33" t="s">
        <v>1787</v>
      </c>
      <c r="G730" s="33" t="s">
        <v>4307</v>
      </c>
      <c r="H730" s="33" t="s">
        <v>2000</v>
      </c>
      <c r="I730" s="33" t="s">
        <v>2000</v>
      </c>
      <c r="J730" s="33" t="s">
        <v>4308</v>
      </c>
      <c r="K730" s="33" t="s">
        <v>1791</v>
      </c>
      <c r="L730" s="33" t="s">
        <v>2467</v>
      </c>
      <c r="M730" s="33" t="s">
        <v>4119</v>
      </c>
      <c r="N730" s="33" t="s">
        <v>95</v>
      </c>
      <c r="Q730" s="33" t="s">
        <v>4050</v>
      </c>
    </row>
    <row r="731" spans="1:17">
      <c r="A731" s="33" t="s">
        <v>4309</v>
      </c>
      <c r="B731" s="33" t="s">
        <v>4310</v>
      </c>
      <c r="C731" s="33" t="s">
        <v>3205</v>
      </c>
      <c r="D731" s="33" t="s">
        <v>4047</v>
      </c>
      <c r="E731" s="33" t="s">
        <v>1786</v>
      </c>
      <c r="F731" s="33" t="s">
        <v>1787</v>
      </c>
      <c r="G731" s="33" t="s">
        <v>4307</v>
      </c>
      <c r="H731" s="33" t="s">
        <v>2000</v>
      </c>
      <c r="I731" s="33" t="s">
        <v>2000</v>
      </c>
      <c r="J731" s="33" t="s">
        <v>4311</v>
      </c>
      <c r="K731" s="33" t="s">
        <v>1791</v>
      </c>
      <c r="L731" s="33" t="s">
        <v>2467</v>
      </c>
      <c r="M731" s="33" t="s">
        <v>4119</v>
      </c>
      <c r="N731" s="33" t="s">
        <v>95</v>
      </c>
      <c r="Q731" s="33" t="s">
        <v>4050</v>
      </c>
    </row>
    <row r="732" spans="1:17">
      <c r="A732" s="33" t="s">
        <v>4312</v>
      </c>
      <c r="B732" s="33" t="s">
        <v>4313</v>
      </c>
      <c r="C732" s="33" t="s">
        <v>4132</v>
      </c>
      <c r="D732" s="33" t="s">
        <v>4047</v>
      </c>
      <c r="E732" s="33" t="s">
        <v>1786</v>
      </c>
      <c r="F732" s="33" t="s">
        <v>1815</v>
      </c>
      <c r="G732" s="33" t="s">
        <v>4314</v>
      </c>
      <c r="H732" s="33" t="s">
        <v>2000</v>
      </c>
      <c r="I732" s="33" t="s">
        <v>2000</v>
      </c>
      <c r="J732" s="33" t="s">
        <v>4315</v>
      </c>
      <c r="K732" s="33" t="s">
        <v>1791</v>
      </c>
      <c r="L732" s="33" t="s">
        <v>2467</v>
      </c>
      <c r="M732" s="33" t="s">
        <v>2037</v>
      </c>
      <c r="N732" s="33" t="s">
        <v>4135</v>
      </c>
      <c r="Q732" s="33" t="s">
        <v>4050</v>
      </c>
    </row>
    <row r="733" spans="1:17">
      <c r="A733" s="33" t="s">
        <v>2372</v>
      </c>
      <c r="B733" s="33" t="s">
        <v>4316</v>
      </c>
      <c r="C733" s="33" t="s">
        <v>2374</v>
      </c>
      <c r="D733" s="33" t="s">
        <v>4047</v>
      </c>
      <c r="E733" s="33" t="s">
        <v>1786</v>
      </c>
      <c r="F733" s="33" t="s">
        <v>1787</v>
      </c>
      <c r="G733" s="33" t="s">
        <v>2375</v>
      </c>
      <c r="H733" s="33" t="s">
        <v>2000</v>
      </c>
      <c r="I733" s="33" t="s">
        <v>2370</v>
      </c>
      <c r="J733" s="33" t="s">
        <v>2376</v>
      </c>
      <c r="K733" s="33" t="s">
        <v>1791</v>
      </c>
      <c r="L733" s="33" t="s">
        <v>2467</v>
      </c>
      <c r="M733" s="33" t="s">
        <v>2041</v>
      </c>
      <c r="N733" s="33" t="s">
        <v>1827</v>
      </c>
      <c r="Q733" s="33" t="s">
        <v>4050</v>
      </c>
    </row>
    <row r="734" spans="1:17">
      <c r="A734" s="33" t="s">
        <v>4317</v>
      </c>
      <c r="B734" s="33" t="s">
        <v>4318</v>
      </c>
      <c r="C734" s="33" t="s">
        <v>1831</v>
      </c>
      <c r="D734" s="33" t="s">
        <v>4047</v>
      </c>
      <c r="E734" s="33" t="s">
        <v>1786</v>
      </c>
      <c r="F734" s="33" t="s">
        <v>1815</v>
      </c>
      <c r="G734" s="33" t="s">
        <v>1998</v>
      </c>
      <c r="H734" s="33" t="s">
        <v>2418</v>
      </c>
      <c r="I734" s="33" t="s">
        <v>2418</v>
      </c>
      <c r="J734" s="33" t="s">
        <v>4319</v>
      </c>
      <c r="K734" s="33" t="s">
        <v>1791</v>
      </c>
      <c r="L734" s="33" t="s">
        <v>2467</v>
      </c>
      <c r="M734" s="33" t="s">
        <v>1827</v>
      </c>
      <c r="N734" s="33" t="s">
        <v>1849</v>
      </c>
      <c r="Q734" s="33" t="s">
        <v>4050</v>
      </c>
    </row>
    <row r="735" spans="1:17" hidden="1">
      <c r="A735" s="33" t="s">
        <v>2488</v>
      </c>
      <c r="B735" s="33" t="s">
        <v>4320</v>
      </c>
      <c r="C735" s="33" t="s">
        <v>1831</v>
      </c>
      <c r="D735" s="33" t="s">
        <v>4047</v>
      </c>
      <c r="E735" s="33" t="s">
        <v>1808</v>
      </c>
      <c r="F735" s="33" t="s">
        <v>1787</v>
      </c>
      <c r="G735" s="33" t="s">
        <v>1998</v>
      </c>
      <c r="H735" s="33" t="s">
        <v>2418</v>
      </c>
      <c r="I735" s="33" t="s">
        <v>2418</v>
      </c>
      <c r="J735" s="33" t="s">
        <v>2490</v>
      </c>
      <c r="K735" s="33" t="s">
        <v>1791</v>
      </c>
      <c r="L735" s="33" t="s">
        <v>2418</v>
      </c>
      <c r="M735" s="33" t="s">
        <v>1827</v>
      </c>
      <c r="N735" s="33" t="s">
        <v>1849</v>
      </c>
      <c r="Q735" s="33" t="s">
        <v>4050</v>
      </c>
    </row>
    <row r="736" spans="1:17">
      <c r="A736" s="33" t="s">
        <v>4321</v>
      </c>
      <c r="B736" s="33" t="s">
        <v>4322</v>
      </c>
      <c r="C736" s="33" t="s">
        <v>4132</v>
      </c>
      <c r="D736" s="33" t="s">
        <v>4047</v>
      </c>
      <c r="E736" s="33" t="s">
        <v>1786</v>
      </c>
      <c r="F736" s="33" t="s">
        <v>1787</v>
      </c>
      <c r="G736" s="33" t="s">
        <v>4323</v>
      </c>
      <c r="H736" s="33" t="s">
        <v>2418</v>
      </c>
      <c r="I736" s="33" t="s">
        <v>2418</v>
      </c>
      <c r="J736" s="33" t="s">
        <v>4324</v>
      </c>
      <c r="K736" s="33" t="s">
        <v>1791</v>
      </c>
      <c r="L736" s="33" t="s">
        <v>2467</v>
      </c>
      <c r="M736" s="33" t="s">
        <v>2041</v>
      </c>
      <c r="N736" s="33" t="s">
        <v>4135</v>
      </c>
      <c r="Q736" s="33" t="s">
        <v>4050</v>
      </c>
    </row>
    <row r="737" spans="1:17">
      <c r="A737" s="33" t="s">
        <v>4325</v>
      </c>
      <c r="B737" s="33" t="s">
        <v>4326</v>
      </c>
      <c r="C737" s="33" t="s">
        <v>2443</v>
      </c>
      <c r="D737" s="33" t="s">
        <v>4047</v>
      </c>
      <c r="E737" s="33" t="s">
        <v>1786</v>
      </c>
      <c r="F737" s="33" t="s">
        <v>1864</v>
      </c>
      <c r="G737" s="33" t="s">
        <v>2444</v>
      </c>
      <c r="H737" s="33" t="s">
        <v>2418</v>
      </c>
      <c r="I737" s="33" t="s">
        <v>2418</v>
      </c>
      <c r="J737" s="33" t="s">
        <v>4327</v>
      </c>
      <c r="K737" s="33" t="s">
        <v>1791</v>
      </c>
      <c r="L737" s="33" t="s">
        <v>2467</v>
      </c>
      <c r="M737" s="33" t="s">
        <v>1863</v>
      </c>
      <c r="N737" s="33" t="s">
        <v>2050</v>
      </c>
      <c r="Q737" s="33" t="s">
        <v>4050</v>
      </c>
    </row>
    <row r="738" spans="1:17">
      <c r="A738" s="33" t="s">
        <v>4328</v>
      </c>
      <c r="B738" s="33" t="s">
        <v>4329</v>
      </c>
      <c r="C738" s="33" t="s">
        <v>3508</v>
      </c>
      <c r="D738" s="33" t="s">
        <v>4047</v>
      </c>
      <c r="E738" s="33" t="s">
        <v>1786</v>
      </c>
      <c r="F738" s="33" t="s">
        <v>1787</v>
      </c>
      <c r="G738" s="33" t="s">
        <v>4330</v>
      </c>
      <c r="H738" s="33" t="s">
        <v>2418</v>
      </c>
      <c r="I738" s="33" t="s">
        <v>2418</v>
      </c>
      <c r="J738" s="33" t="s">
        <v>4331</v>
      </c>
      <c r="K738" s="33" t="s">
        <v>1791</v>
      </c>
      <c r="L738" s="33" t="s">
        <v>2467</v>
      </c>
      <c r="M738" s="33" t="s">
        <v>95</v>
      </c>
      <c r="N738" s="33" t="s">
        <v>80</v>
      </c>
      <c r="Q738" s="33" t="s">
        <v>4050</v>
      </c>
    </row>
    <row r="739" spans="1:17">
      <c r="A739" s="33" t="s">
        <v>4332</v>
      </c>
      <c r="B739" s="33" t="s">
        <v>4333</v>
      </c>
      <c r="C739" s="33" t="s">
        <v>2443</v>
      </c>
      <c r="D739" s="33" t="s">
        <v>4047</v>
      </c>
      <c r="E739" s="33" t="s">
        <v>1786</v>
      </c>
      <c r="F739" s="33" t="s">
        <v>1815</v>
      </c>
      <c r="G739" s="33" t="s">
        <v>4334</v>
      </c>
      <c r="H739" s="33" t="s">
        <v>2418</v>
      </c>
      <c r="I739" s="33" t="s">
        <v>2418</v>
      </c>
      <c r="J739" s="33" t="s">
        <v>4335</v>
      </c>
      <c r="K739" s="33" t="s">
        <v>1791</v>
      </c>
      <c r="L739" s="33" t="s">
        <v>2467</v>
      </c>
      <c r="M739" s="33" t="s">
        <v>1849</v>
      </c>
      <c r="N739" s="33" t="s">
        <v>2050</v>
      </c>
      <c r="Q739" s="33" t="s">
        <v>4050</v>
      </c>
    </row>
    <row r="740" spans="1:17">
      <c r="A740" s="33" t="s">
        <v>4336</v>
      </c>
      <c r="B740" s="33" t="s">
        <v>4337</v>
      </c>
      <c r="C740" s="33" t="s">
        <v>2443</v>
      </c>
      <c r="D740" s="33" t="s">
        <v>4047</v>
      </c>
      <c r="E740" s="33" t="s">
        <v>1786</v>
      </c>
      <c r="F740" s="33" t="s">
        <v>1787</v>
      </c>
      <c r="G740" s="33" t="s">
        <v>4334</v>
      </c>
      <c r="H740" s="33" t="s">
        <v>2418</v>
      </c>
      <c r="I740" s="33" t="s">
        <v>2418</v>
      </c>
      <c r="J740" s="33" t="s">
        <v>4338</v>
      </c>
      <c r="K740" s="33" t="s">
        <v>1791</v>
      </c>
      <c r="L740" s="33" t="s">
        <v>2467</v>
      </c>
      <c r="M740" s="33" t="s">
        <v>1793</v>
      </c>
      <c r="N740" s="33" t="s">
        <v>2050</v>
      </c>
      <c r="Q740" s="33" t="s">
        <v>4050</v>
      </c>
    </row>
    <row r="741" spans="1:17">
      <c r="A741" s="33" t="s">
        <v>4339</v>
      </c>
      <c r="B741" s="33" t="s">
        <v>4340</v>
      </c>
      <c r="C741" s="33" t="s">
        <v>3205</v>
      </c>
      <c r="D741" s="33" t="s">
        <v>4047</v>
      </c>
      <c r="E741" s="33" t="s">
        <v>1786</v>
      </c>
      <c r="F741" s="33" t="s">
        <v>1815</v>
      </c>
      <c r="G741" s="33" t="s">
        <v>4056</v>
      </c>
      <c r="H741" s="33" t="s">
        <v>2420</v>
      </c>
      <c r="I741" s="33" t="s">
        <v>2420</v>
      </c>
      <c r="J741" s="33" t="s">
        <v>4341</v>
      </c>
      <c r="K741" s="33" t="s">
        <v>1791</v>
      </c>
      <c r="L741" s="33" t="s">
        <v>2467</v>
      </c>
      <c r="M741" s="33" t="s">
        <v>1863</v>
      </c>
      <c r="N741" s="33" t="s">
        <v>95</v>
      </c>
      <c r="Q741" s="33" t="s">
        <v>4050</v>
      </c>
    </row>
    <row r="742" spans="1:17">
      <c r="A742" s="33" t="s">
        <v>4263</v>
      </c>
      <c r="B742" s="33" t="s">
        <v>4342</v>
      </c>
      <c r="C742" s="33" t="s">
        <v>3205</v>
      </c>
      <c r="D742" s="33" t="s">
        <v>4047</v>
      </c>
      <c r="E742" s="33" t="s">
        <v>1786</v>
      </c>
      <c r="F742" s="33" t="s">
        <v>1815</v>
      </c>
      <c r="G742" s="33" t="s">
        <v>4056</v>
      </c>
      <c r="H742" s="33" t="s">
        <v>2420</v>
      </c>
      <c r="I742" s="33" t="s">
        <v>2420</v>
      </c>
      <c r="J742" s="33" t="s">
        <v>4343</v>
      </c>
      <c r="K742" s="33" t="s">
        <v>1791</v>
      </c>
      <c r="L742" s="33" t="s">
        <v>2467</v>
      </c>
      <c r="M742" s="33" t="s">
        <v>1811</v>
      </c>
      <c r="N742" s="33" t="s">
        <v>95</v>
      </c>
      <c r="Q742" s="33" t="s">
        <v>4050</v>
      </c>
    </row>
    <row r="743" spans="1:17">
      <c r="A743" s="33" t="s">
        <v>4263</v>
      </c>
      <c r="B743" s="33" t="s">
        <v>4344</v>
      </c>
      <c r="C743" s="33" t="s">
        <v>3205</v>
      </c>
      <c r="D743" s="33" t="s">
        <v>4047</v>
      </c>
      <c r="E743" s="33" t="s">
        <v>1786</v>
      </c>
      <c r="F743" s="33" t="s">
        <v>1815</v>
      </c>
      <c r="G743" s="33" t="s">
        <v>4056</v>
      </c>
      <c r="H743" s="33" t="s">
        <v>2420</v>
      </c>
      <c r="I743" s="33" t="s">
        <v>2420</v>
      </c>
      <c r="J743" s="33" t="s">
        <v>4345</v>
      </c>
      <c r="K743" s="33" t="s">
        <v>1791</v>
      </c>
      <c r="L743" s="33" t="s">
        <v>2467</v>
      </c>
      <c r="M743" s="33" t="s">
        <v>1863</v>
      </c>
      <c r="N743" s="33" t="s">
        <v>95</v>
      </c>
      <c r="Q743" s="33" t="s">
        <v>4050</v>
      </c>
    </row>
    <row r="744" spans="1:17">
      <c r="A744" s="33" t="s">
        <v>4346</v>
      </c>
      <c r="B744" s="33" t="s">
        <v>4347</v>
      </c>
      <c r="C744" s="33" t="s">
        <v>2205</v>
      </c>
      <c r="D744" s="33" t="s">
        <v>4047</v>
      </c>
      <c r="E744" s="33" t="s">
        <v>1786</v>
      </c>
      <c r="F744" s="33" t="s">
        <v>1815</v>
      </c>
      <c r="G744" s="33" t="s">
        <v>14</v>
      </c>
      <c r="H744" s="33" t="s">
        <v>2420</v>
      </c>
      <c r="I744" s="33" t="s">
        <v>2420</v>
      </c>
      <c r="J744" s="33" t="s">
        <v>4348</v>
      </c>
      <c r="K744" s="33" t="s">
        <v>1791</v>
      </c>
      <c r="L744" s="33" t="s">
        <v>2467</v>
      </c>
      <c r="M744" s="33" t="s">
        <v>1849</v>
      </c>
      <c r="N744" s="33" t="s">
        <v>4172</v>
      </c>
      <c r="Q744" s="33" t="s">
        <v>4050</v>
      </c>
    </row>
    <row r="745" spans="1:17">
      <c r="A745" s="33" t="s">
        <v>4349</v>
      </c>
      <c r="B745" s="33" t="s">
        <v>4350</v>
      </c>
      <c r="C745" s="33" t="s">
        <v>2205</v>
      </c>
      <c r="D745" s="33" t="s">
        <v>4047</v>
      </c>
      <c r="E745" s="33" t="s">
        <v>1786</v>
      </c>
      <c r="F745" s="33" t="s">
        <v>1787</v>
      </c>
      <c r="G745" s="33" t="s">
        <v>4300</v>
      </c>
      <c r="H745" s="33" t="s">
        <v>2420</v>
      </c>
      <c r="I745" s="33" t="s">
        <v>2420</v>
      </c>
      <c r="J745" s="33" t="s">
        <v>4351</v>
      </c>
      <c r="K745" s="33" t="s">
        <v>1791</v>
      </c>
      <c r="L745" s="33" t="s">
        <v>2467</v>
      </c>
      <c r="M745" s="33" t="s">
        <v>1849</v>
      </c>
      <c r="N745" s="33" t="s">
        <v>73</v>
      </c>
      <c r="Q745" s="33" t="s">
        <v>4050</v>
      </c>
    </row>
    <row r="746" spans="1:17" hidden="1">
      <c r="A746" s="33" t="s">
        <v>4352</v>
      </c>
      <c r="B746" s="33" t="s">
        <v>4353</v>
      </c>
      <c r="C746" s="33" t="s">
        <v>2147</v>
      </c>
      <c r="D746" s="33" t="s">
        <v>83</v>
      </c>
      <c r="E746" s="33" t="s">
        <v>2471</v>
      </c>
      <c r="F746" s="33" t="s">
        <v>1787</v>
      </c>
      <c r="G746" s="33" t="s">
        <v>83</v>
      </c>
      <c r="H746" s="33" t="s">
        <v>2420</v>
      </c>
      <c r="I746" s="33" t="s">
        <v>2420</v>
      </c>
      <c r="J746" s="33" t="s">
        <v>4354</v>
      </c>
      <c r="K746" s="33" t="s">
        <v>2471</v>
      </c>
      <c r="L746" s="33" t="s">
        <v>2420</v>
      </c>
      <c r="M746" s="33" t="s">
        <v>4355</v>
      </c>
      <c r="N746" s="33" t="s">
        <v>4214</v>
      </c>
      <c r="Q746" s="33" t="s">
        <v>4050</v>
      </c>
    </row>
    <row r="747" spans="1:17">
      <c r="A747" s="33" t="s">
        <v>2434</v>
      </c>
      <c r="B747" s="33" t="s">
        <v>4356</v>
      </c>
      <c r="C747" s="33" t="s">
        <v>1819</v>
      </c>
      <c r="D747" s="33" t="s">
        <v>4047</v>
      </c>
      <c r="E747" s="33" t="s">
        <v>1786</v>
      </c>
      <c r="F747" s="33" t="s">
        <v>1815</v>
      </c>
      <c r="G747" s="33" t="s">
        <v>1986</v>
      </c>
      <c r="H747" s="33" t="s">
        <v>2420</v>
      </c>
      <c r="I747" s="33" t="s">
        <v>2418</v>
      </c>
      <c r="J747" s="33" t="s">
        <v>2436</v>
      </c>
      <c r="K747" s="33" t="s">
        <v>1791</v>
      </c>
      <c r="L747" s="33" t="s">
        <v>2467</v>
      </c>
      <c r="M747" s="33" t="s">
        <v>2437</v>
      </c>
      <c r="N747" s="33" t="s">
        <v>1078</v>
      </c>
      <c r="Q747" s="33" t="s">
        <v>4050</v>
      </c>
    </row>
    <row r="748" spans="1:17">
      <c r="A748" s="33" t="s">
        <v>4357</v>
      </c>
      <c r="B748" s="33" t="s">
        <v>4358</v>
      </c>
      <c r="C748" s="33" t="s">
        <v>1831</v>
      </c>
      <c r="D748" s="33" t="s">
        <v>4047</v>
      </c>
      <c r="E748" s="33" t="s">
        <v>1786</v>
      </c>
      <c r="F748" s="33" t="s">
        <v>2069</v>
      </c>
      <c r="G748" s="33" t="s">
        <v>1872</v>
      </c>
      <c r="H748" s="33" t="s">
        <v>2420</v>
      </c>
      <c r="I748" s="33" t="s">
        <v>2420</v>
      </c>
      <c r="J748" s="33" t="s">
        <v>4359</v>
      </c>
      <c r="K748" s="33" t="s">
        <v>1791</v>
      </c>
      <c r="L748" s="33" t="s">
        <v>2467</v>
      </c>
      <c r="M748" s="33" t="s">
        <v>2041</v>
      </c>
      <c r="N748" s="33" t="s">
        <v>1827</v>
      </c>
      <c r="Q748" s="33" t="s">
        <v>4050</v>
      </c>
    </row>
    <row r="749" spans="1:17">
      <c r="A749" s="33" t="s">
        <v>4360</v>
      </c>
      <c r="B749" s="33" t="s">
        <v>4361</v>
      </c>
      <c r="C749" s="33" t="s">
        <v>3205</v>
      </c>
      <c r="D749" s="33" t="s">
        <v>4047</v>
      </c>
      <c r="E749" s="33" t="s">
        <v>1786</v>
      </c>
      <c r="F749" s="33" t="s">
        <v>1815</v>
      </c>
      <c r="G749" s="33" t="s">
        <v>4056</v>
      </c>
      <c r="H749" s="33" t="s">
        <v>2510</v>
      </c>
      <c r="I749" s="33" t="s">
        <v>2510</v>
      </c>
      <c r="J749" s="33" t="s">
        <v>4362</v>
      </c>
      <c r="K749" s="33" t="s">
        <v>1791</v>
      </c>
      <c r="L749" s="33" t="s">
        <v>2467</v>
      </c>
      <c r="M749" s="33" t="s">
        <v>1863</v>
      </c>
      <c r="N749" s="33" t="s">
        <v>95</v>
      </c>
      <c r="Q749" s="33" t="s">
        <v>4050</v>
      </c>
    </row>
    <row r="750" spans="1:17" hidden="1">
      <c r="A750" s="33" t="s">
        <v>2508</v>
      </c>
      <c r="B750" s="33" t="s">
        <v>4363</v>
      </c>
      <c r="C750" s="33" t="s">
        <v>1785</v>
      </c>
      <c r="D750" s="33" t="s">
        <v>4047</v>
      </c>
      <c r="E750" s="33" t="s">
        <v>1808</v>
      </c>
      <c r="F750" s="33" t="s">
        <v>1787</v>
      </c>
      <c r="G750" s="33" t="s">
        <v>1788</v>
      </c>
      <c r="H750" s="33" t="s">
        <v>2510</v>
      </c>
      <c r="I750" s="33" t="s">
        <v>2510</v>
      </c>
      <c r="J750" s="33" t="s">
        <v>2511</v>
      </c>
      <c r="K750" s="33" t="s">
        <v>1791</v>
      </c>
      <c r="L750" s="33" t="s">
        <v>2510</v>
      </c>
      <c r="M750" s="33" t="s">
        <v>1793</v>
      </c>
      <c r="N750" s="33" t="s">
        <v>1793</v>
      </c>
      <c r="Q750" s="33" t="s">
        <v>4050</v>
      </c>
    </row>
    <row r="751" spans="1:17" hidden="1">
      <c r="A751" s="33" t="s">
        <v>4364</v>
      </c>
      <c r="B751" s="33" t="s">
        <v>4365</v>
      </c>
      <c r="C751" s="33" t="s">
        <v>2514</v>
      </c>
      <c r="D751" s="33" t="s">
        <v>4047</v>
      </c>
      <c r="E751" s="33" t="s">
        <v>1808</v>
      </c>
      <c r="F751" s="33" t="s">
        <v>1787</v>
      </c>
      <c r="G751" s="33" t="s">
        <v>81</v>
      </c>
      <c r="H751" s="33" t="s">
        <v>2467</v>
      </c>
      <c r="I751" s="33" t="s">
        <v>2467</v>
      </c>
      <c r="J751" s="33" t="s">
        <v>4366</v>
      </c>
      <c r="K751" s="33" t="s">
        <v>1791</v>
      </c>
      <c r="L751" s="33" t="s">
        <v>2467</v>
      </c>
      <c r="M751" s="33" t="s">
        <v>1811</v>
      </c>
      <c r="N751" s="33" t="s">
        <v>82</v>
      </c>
      <c r="Q751" s="33" t="s">
        <v>4050</v>
      </c>
    </row>
    <row r="752" spans="1:17">
      <c r="A752" s="33" t="s">
        <v>4367</v>
      </c>
      <c r="B752" s="33" t="s">
        <v>4368</v>
      </c>
      <c r="C752" s="33" t="s">
        <v>4132</v>
      </c>
      <c r="D752" s="33" t="s">
        <v>4047</v>
      </c>
      <c r="E752" s="33" t="s">
        <v>1786</v>
      </c>
      <c r="F752" s="33" t="s">
        <v>1787</v>
      </c>
      <c r="G752" s="33" t="s">
        <v>4314</v>
      </c>
      <c r="H752" s="33" t="s">
        <v>2467</v>
      </c>
      <c r="I752" s="33" t="s">
        <v>2467</v>
      </c>
      <c r="J752" s="33" t="s">
        <v>4369</v>
      </c>
      <c r="K752" s="33" t="s">
        <v>1791</v>
      </c>
      <c r="L752" s="33" t="s">
        <v>2467</v>
      </c>
      <c r="M752" s="33" t="s">
        <v>1811</v>
      </c>
      <c r="N752" s="33" t="s">
        <v>4135</v>
      </c>
      <c r="Q752" s="33" t="s">
        <v>4050</v>
      </c>
    </row>
    <row r="753" spans="1:17">
      <c r="A753" s="33" t="s">
        <v>4370</v>
      </c>
      <c r="B753" s="33" t="s">
        <v>4371</v>
      </c>
      <c r="C753" s="33" t="s">
        <v>2205</v>
      </c>
      <c r="D753" s="33" t="s">
        <v>4047</v>
      </c>
      <c r="E753" s="33" t="s">
        <v>1786</v>
      </c>
      <c r="F753" s="33" t="s">
        <v>1815</v>
      </c>
      <c r="G753" s="33" t="s">
        <v>74</v>
      </c>
      <c r="H753" s="33" t="s">
        <v>2467</v>
      </c>
      <c r="I753" s="33" t="s">
        <v>2467</v>
      </c>
      <c r="J753" s="33" t="s">
        <v>4372</v>
      </c>
      <c r="K753" s="33" t="s">
        <v>1791</v>
      </c>
      <c r="L753" s="33" t="s">
        <v>2467</v>
      </c>
      <c r="M753" s="33" t="s">
        <v>82</v>
      </c>
      <c r="N753" s="33" t="s">
        <v>73</v>
      </c>
      <c r="Q753" s="33" t="s">
        <v>4050</v>
      </c>
    </row>
    <row r="754" spans="1:17">
      <c r="A754" s="33" t="s">
        <v>4373</v>
      </c>
      <c r="B754" s="33" t="s">
        <v>4374</v>
      </c>
      <c r="C754" s="33" t="s">
        <v>2205</v>
      </c>
      <c r="D754" s="33" t="s">
        <v>4047</v>
      </c>
      <c r="E754" s="33" t="s">
        <v>1786</v>
      </c>
      <c r="F754" s="33" t="s">
        <v>1815</v>
      </c>
      <c r="G754" s="33" t="s">
        <v>74</v>
      </c>
      <c r="H754" s="33" t="s">
        <v>2467</v>
      </c>
      <c r="I754" s="33" t="s">
        <v>2467</v>
      </c>
      <c r="J754" s="33" t="s">
        <v>4375</v>
      </c>
      <c r="K754" s="33" t="s">
        <v>1791</v>
      </c>
      <c r="L754" s="33" t="s">
        <v>2467</v>
      </c>
      <c r="M754" s="33" t="s">
        <v>1793</v>
      </c>
      <c r="N754" s="33" t="s">
        <v>73</v>
      </c>
      <c r="Q754" s="33" t="s">
        <v>4050</v>
      </c>
    </row>
    <row r="755" spans="1:17">
      <c r="A755" s="33" t="s">
        <v>4376</v>
      </c>
      <c r="B755" s="33" t="s">
        <v>4377</v>
      </c>
      <c r="C755" s="33" t="s">
        <v>2205</v>
      </c>
      <c r="D755" s="33" t="s">
        <v>4047</v>
      </c>
      <c r="E755" s="33" t="s">
        <v>1786</v>
      </c>
      <c r="F755" s="33" t="s">
        <v>1815</v>
      </c>
      <c r="G755" s="33" t="s">
        <v>74</v>
      </c>
      <c r="H755" s="33" t="s">
        <v>2467</v>
      </c>
      <c r="I755" s="33" t="s">
        <v>2467</v>
      </c>
      <c r="J755" s="33" t="s">
        <v>4375</v>
      </c>
      <c r="K755" s="33" t="s">
        <v>1791</v>
      </c>
      <c r="L755" s="33" t="s">
        <v>2467</v>
      </c>
      <c r="M755" s="33" t="s">
        <v>1838</v>
      </c>
      <c r="N755" s="33" t="s">
        <v>73</v>
      </c>
      <c r="Q755" s="33" t="s">
        <v>4050</v>
      </c>
    </row>
    <row r="756" spans="1:17">
      <c r="A756" s="33" t="s">
        <v>4163</v>
      </c>
      <c r="B756" s="33" t="s">
        <v>4378</v>
      </c>
      <c r="C756" s="33" t="s">
        <v>2205</v>
      </c>
      <c r="D756" s="33" t="s">
        <v>4047</v>
      </c>
      <c r="E756" s="33" t="s">
        <v>1786</v>
      </c>
      <c r="F756" s="33" t="s">
        <v>1815</v>
      </c>
      <c r="G756" s="33" t="s">
        <v>74</v>
      </c>
      <c r="H756" s="33" t="s">
        <v>2467</v>
      </c>
      <c r="I756" s="33" t="s">
        <v>2467</v>
      </c>
      <c r="J756" s="33" t="s">
        <v>4375</v>
      </c>
      <c r="K756" s="33" t="s">
        <v>1791</v>
      </c>
      <c r="L756" s="33" t="s">
        <v>2467</v>
      </c>
      <c r="M756" s="33" t="s">
        <v>1844</v>
      </c>
      <c r="N756" s="33" t="s">
        <v>73</v>
      </c>
      <c r="Q756" s="33" t="s">
        <v>4050</v>
      </c>
    </row>
    <row r="757" spans="1:17">
      <c r="A757" s="33" t="s">
        <v>4379</v>
      </c>
      <c r="B757" s="33" t="s">
        <v>4380</v>
      </c>
      <c r="C757" s="33" t="s">
        <v>4381</v>
      </c>
      <c r="D757" s="33" t="s">
        <v>4047</v>
      </c>
      <c r="E757" s="33" t="s">
        <v>1786</v>
      </c>
      <c r="F757" s="33" t="s">
        <v>1856</v>
      </c>
      <c r="G757" s="33" t="s">
        <v>20</v>
      </c>
      <c r="H757" s="33" t="s">
        <v>2467</v>
      </c>
      <c r="I757" s="33" t="s">
        <v>2467</v>
      </c>
      <c r="J757" s="33" t="s">
        <v>4382</v>
      </c>
      <c r="K757" s="33" t="s">
        <v>1791</v>
      </c>
      <c r="L757" s="33" t="s">
        <v>2467</v>
      </c>
      <c r="M757" s="33" t="s">
        <v>1811</v>
      </c>
      <c r="N757" s="33" t="s">
        <v>19</v>
      </c>
      <c r="Q757" s="33" t="s">
        <v>4050</v>
      </c>
    </row>
    <row r="758" spans="1:17">
      <c r="A758" s="33" t="s">
        <v>4383</v>
      </c>
      <c r="B758" s="33" t="s">
        <v>4384</v>
      </c>
      <c r="C758" s="33" t="s">
        <v>4116</v>
      </c>
      <c r="D758" s="33" t="s">
        <v>4047</v>
      </c>
      <c r="E758" s="33" t="s">
        <v>1786</v>
      </c>
      <c r="F758" s="33" t="s">
        <v>1787</v>
      </c>
      <c r="G758" s="33" t="s">
        <v>4385</v>
      </c>
      <c r="H758" s="33" t="s">
        <v>2467</v>
      </c>
      <c r="I758" s="33" t="s">
        <v>2467</v>
      </c>
      <c r="J758" s="33" t="s">
        <v>4386</v>
      </c>
      <c r="K758" s="33" t="s">
        <v>1791</v>
      </c>
      <c r="L758" s="33" t="s">
        <v>2529</v>
      </c>
      <c r="M758" s="33" t="s">
        <v>1827</v>
      </c>
      <c r="N758" s="33" t="s">
        <v>4119</v>
      </c>
      <c r="Q758" s="33" t="s">
        <v>4050</v>
      </c>
    </row>
    <row r="759" spans="1:17">
      <c r="A759" s="33" t="s">
        <v>4387</v>
      </c>
      <c r="B759" s="33" t="s">
        <v>4388</v>
      </c>
      <c r="C759" s="33" t="s">
        <v>4381</v>
      </c>
      <c r="D759" s="33" t="s">
        <v>4047</v>
      </c>
      <c r="E759" s="33" t="s">
        <v>1786</v>
      </c>
      <c r="F759" s="33" t="s">
        <v>1787</v>
      </c>
      <c r="G759" s="33" t="s">
        <v>20</v>
      </c>
      <c r="H759" s="33" t="s">
        <v>2521</v>
      </c>
      <c r="I759" s="33" t="s">
        <v>2521</v>
      </c>
      <c r="J759" s="33" t="s">
        <v>4389</v>
      </c>
      <c r="K759" s="33" t="s">
        <v>1791</v>
      </c>
      <c r="L759" s="33" t="s">
        <v>2529</v>
      </c>
      <c r="M759" s="33" t="s">
        <v>1078</v>
      </c>
      <c r="N759" s="33" t="s">
        <v>19</v>
      </c>
      <c r="Q759" s="33" t="s">
        <v>4050</v>
      </c>
    </row>
    <row r="760" spans="1:17">
      <c r="A760" s="33" t="s">
        <v>4390</v>
      </c>
      <c r="B760" s="33" t="s">
        <v>4391</v>
      </c>
      <c r="C760" s="33" t="s">
        <v>4381</v>
      </c>
      <c r="D760" s="33" t="s">
        <v>4047</v>
      </c>
      <c r="E760" s="33" t="s">
        <v>1786</v>
      </c>
      <c r="F760" s="33" t="s">
        <v>1787</v>
      </c>
      <c r="G760" s="33" t="s">
        <v>20</v>
      </c>
      <c r="H760" s="33" t="s">
        <v>2521</v>
      </c>
      <c r="I760" s="33" t="s">
        <v>2521</v>
      </c>
      <c r="J760" s="33" t="s">
        <v>4392</v>
      </c>
      <c r="K760" s="33" t="s">
        <v>1791</v>
      </c>
      <c r="L760" s="33" t="s">
        <v>2529</v>
      </c>
      <c r="M760" s="33" t="s">
        <v>4065</v>
      </c>
      <c r="N760" s="33" t="s">
        <v>19</v>
      </c>
      <c r="Q760" s="33" t="s">
        <v>4050</v>
      </c>
    </row>
    <row r="761" spans="1:17">
      <c r="A761" s="33" t="s">
        <v>4393</v>
      </c>
      <c r="B761" s="33" t="s">
        <v>4394</v>
      </c>
      <c r="C761" s="33" t="s">
        <v>4381</v>
      </c>
      <c r="D761" s="33" t="s">
        <v>4047</v>
      </c>
      <c r="E761" s="33" t="s">
        <v>1786</v>
      </c>
      <c r="F761" s="33" t="s">
        <v>1815</v>
      </c>
      <c r="G761" s="33" t="s">
        <v>20</v>
      </c>
      <c r="H761" s="33" t="s">
        <v>2521</v>
      </c>
      <c r="I761" s="33" t="s">
        <v>2521</v>
      </c>
      <c r="J761" s="33" t="s">
        <v>4395</v>
      </c>
      <c r="K761" s="33" t="s">
        <v>1791</v>
      </c>
      <c r="L761" s="33" t="s">
        <v>2529</v>
      </c>
      <c r="M761" s="33" t="s">
        <v>66</v>
      </c>
      <c r="N761" s="33" t="s">
        <v>19</v>
      </c>
      <c r="Q761" s="33" t="s">
        <v>4050</v>
      </c>
    </row>
    <row r="762" spans="1:17">
      <c r="A762" s="33" t="s">
        <v>4396</v>
      </c>
      <c r="B762" s="33" t="s">
        <v>4397</v>
      </c>
      <c r="C762" s="33" t="s">
        <v>4132</v>
      </c>
      <c r="D762" s="33" t="s">
        <v>4047</v>
      </c>
      <c r="E762" s="33" t="s">
        <v>1786</v>
      </c>
      <c r="F762" s="33" t="s">
        <v>1787</v>
      </c>
      <c r="G762" s="33" t="s">
        <v>4398</v>
      </c>
      <c r="H762" s="33" t="s">
        <v>2521</v>
      </c>
      <c r="I762" s="33" t="s">
        <v>2521</v>
      </c>
      <c r="J762" s="33" t="s">
        <v>4399</v>
      </c>
      <c r="K762" s="33" t="s">
        <v>1791</v>
      </c>
      <c r="L762" s="33" t="s">
        <v>2529</v>
      </c>
      <c r="M762" s="33" t="s">
        <v>1838</v>
      </c>
      <c r="N762" s="33" t="s">
        <v>4135</v>
      </c>
      <c r="Q762" s="33" t="s">
        <v>4050</v>
      </c>
    </row>
    <row r="763" spans="1:17">
      <c r="A763" s="33" t="s">
        <v>4400</v>
      </c>
      <c r="B763" s="33" t="s">
        <v>4401</v>
      </c>
      <c r="C763" s="33" t="s">
        <v>4381</v>
      </c>
      <c r="D763" s="33" t="s">
        <v>4047</v>
      </c>
      <c r="E763" s="33" t="s">
        <v>1786</v>
      </c>
      <c r="F763" s="33" t="s">
        <v>1815</v>
      </c>
      <c r="G763" s="33" t="s">
        <v>20</v>
      </c>
      <c r="H763" s="33" t="s">
        <v>2521</v>
      </c>
      <c r="I763" s="33" t="s">
        <v>2521</v>
      </c>
      <c r="J763" s="33" t="s">
        <v>4402</v>
      </c>
      <c r="K763" s="33" t="s">
        <v>1791</v>
      </c>
      <c r="L763" s="33" t="s">
        <v>2529</v>
      </c>
      <c r="M763" s="33" t="s">
        <v>43</v>
      </c>
      <c r="N763" s="33" t="s">
        <v>19</v>
      </c>
      <c r="Q763" s="33" t="s">
        <v>4050</v>
      </c>
    </row>
    <row r="764" spans="1:17">
      <c r="A764" s="33" t="s">
        <v>4403</v>
      </c>
      <c r="B764" s="33" t="s">
        <v>4404</v>
      </c>
      <c r="C764" s="33" t="s">
        <v>4405</v>
      </c>
      <c r="D764" s="33" t="s">
        <v>4047</v>
      </c>
      <c r="E764" s="33" t="s">
        <v>1786</v>
      </c>
      <c r="F764" s="33" t="s">
        <v>1787</v>
      </c>
      <c r="G764" s="33" t="s">
        <v>4406</v>
      </c>
      <c r="H764" s="33" t="s">
        <v>2521</v>
      </c>
      <c r="I764" s="33" t="s">
        <v>2521</v>
      </c>
      <c r="J764" s="33" t="s">
        <v>4407</v>
      </c>
      <c r="K764" s="33" t="s">
        <v>1791</v>
      </c>
      <c r="L764" s="33" t="s">
        <v>2529</v>
      </c>
      <c r="M764" s="33" t="s">
        <v>4135</v>
      </c>
      <c r="N764" s="33" t="s">
        <v>73</v>
      </c>
      <c r="Q764" s="33" t="s">
        <v>4050</v>
      </c>
    </row>
    <row r="765" spans="1:17">
      <c r="A765" s="33" t="s">
        <v>2521</v>
      </c>
      <c r="B765" s="33" t="s">
        <v>4408</v>
      </c>
      <c r="C765" s="33" t="s">
        <v>2273</v>
      </c>
      <c r="D765" s="33" t="s">
        <v>4047</v>
      </c>
      <c r="E765" s="33" t="s">
        <v>1786</v>
      </c>
      <c r="F765" s="33" t="s">
        <v>1787</v>
      </c>
      <c r="G765" s="33" t="s">
        <v>2274</v>
      </c>
      <c r="H765" s="33" t="s">
        <v>2521</v>
      </c>
      <c r="I765" s="33" t="s">
        <v>2521</v>
      </c>
      <c r="J765" s="33" t="s">
        <v>4409</v>
      </c>
      <c r="K765" s="33" t="s">
        <v>1791</v>
      </c>
      <c r="L765" s="33" t="s">
        <v>2529</v>
      </c>
      <c r="M765" s="33" t="s">
        <v>1811</v>
      </c>
      <c r="N765" s="33" t="s">
        <v>1811</v>
      </c>
      <c r="Q765" s="33" t="s">
        <v>4050</v>
      </c>
    </row>
    <row r="766" spans="1:17" hidden="1">
      <c r="A766" s="33" t="s">
        <v>4410</v>
      </c>
      <c r="B766" s="33" t="s">
        <v>4411</v>
      </c>
      <c r="C766" s="33" t="s">
        <v>2273</v>
      </c>
      <c r="D766" s="33" t="s">
        <v>4047</v>
      </c>
      <c r="E766" s="33" t="s">
        <v>1808</v>
      </c>
      <c r="F766" s="33" t="s">
        <v>1787</v>
      </c>
      <c r="G766" s="33" t="s">
        <v>4412</v>
      </c>
      <c r="H766" s="33" t="s">
        <v>2521</v>
      </c>
      <c r="I766" s="33" t="s">
        <v>2521</v>
      </c>
      <c r="J766" s="33" t="s">
        <v>4413</v>
      </c>
      <c r="K766" s="33" t="s">
        <v>1791</v>
      </c>
      <c r="L766" s="33" t="s">
        <v>2521</v>
      </c>
      <c r="M766" s="33" t="s">
        <v>2041</v>
      </c>
      <c r="N766" s="33" t="s">
        <v>4214</v>
      </c>
      <c r="Q766" s="33" t="s">
        <v>4050</v>
      </c>
    </row>
    <row r="767" spans="1:17">
      <c r="A767" s="33" t="s">
        <v>4414</v>
      </c>
      <c r="B767" s="33" t="s">
        <v>4415</v>
      </c>
      <c r="C767" s="33" t="s">
        <v>1980</v>
      </c>
      <c r="D767" s="33" t="s">
        <v>4047</v>
      </c>
      <c r="E767" s="33" t="s">
        <v>1786</v>
      </c>
      <c r="F767" s="33" t="s">
        <v>1856</v>
      </c>
      <c r="G767" s="33" t="s">
        <v>1981</v>
      </c>
      <c r="H767" s="33" t="s">
        <v>2529</v>
      </c>
      <c r="I767" s="33" t="s">
        <v>2529</v>
      </c>
      <c r="J767" s="33" t="s">
        <v>4416</v>
      </c>
      <c r="K767" s="33" t="s">
        <v>1791</v>
      </c>
      <c r="L767" s="33" t="s">
        <v>2529</v>
      </c>
      <c r="M767" s="33" t="s">
        <v>1849</v>
      </c>
      <c r="N767" s="33" t="s">
        <v>95</v>
      </c>
      <c r="Q767" s="33" t="s">
        <v>4050</v>
      </c>
    </row>
    <row r="768" spans="1:17" hidden="1">
      <c r="A768" s="33" t="s">
        <v>4417</v>
      </c>
      <c r="B768" s="33" t="s">
        <v>4418</v>
      </c>
      <c r="C768" s="33" t="s">
        <v>2205</v>
      </c>
      <c r="D768" s="33" t="s">
        <v>4419</v>
      </c>
      <c r="E768" s="33" t="s">
        <v>3857</v>
      </c>
      <c r="F768" s="33" t="s">
        <v>1815</v>
      </c>
      <c r="G768" s="33" t="s">
        <v>14</v>
      </c>
      <c r="H768" s="33" t="s">
        <v>2529</v>
      </c>
      <c r="I768" s="33" t="s">
        <v>2529</v>
      </c>
      <c r="J768" s="33" t="s">
        <v>4420</v>
      </c>
      <c r="K768" s="33" t="s">
        <v>3859</v>
      </c>
      <c r="L768" s="33" t="s">
        <v>2838</v>
      </c>
      <c r="M768" s="33" t="s">
        <v>66</v>
      </c>
      <c r="N768" s="33" t="s">
        <v>4172</v>
      </c>
      <c r="Q768" s="33" t="s">
        <v>4050</v>
      </c>
    </row>
    <row r="769" spans="1:17">
      <c r="A769" s="33" t="s">
        <v>4421</v>
      </c>
      <c r="B769" s="33" t="s">
        <v>4422</v>
      </c>
      <c r="C769" s="33" t="s">
        <v>2205</v>
      </c>
      <c r="D769" s="33" t="s">
        <v>4047</v>
      </c>
      <c r="E769" s="33" t="s">
        <v>1786</v>
      </c>
      <c r="F769" s="33" t="s">
        <v>1856</v>
      </c>
      <c r="G769" s="33" t="s">
        <v>14</v>
      </c>
      <c r="H769" s="33" t="s">
        <v>2529</v>
      </c>
      <c r="I769" s="33" t="s">
        <v>2529</v>
      </c>
      <c r="J769" s="33" t="s">
        <v>4423</v>
      </c>
      <c r="K769" s="33" t="s">
        <v>1791</v>
      </c>
      <c r="L769" s="33" t="s">
        <v>2529</v>
      </c>
      <c r="M769" s="33" t="s">
        <v>1849</v>
      </c>
      <c r="N769" s="33" t="s">
        <v>4172</v>
      </c>
      <c r="Q769" s="33" t="s">
        <v>4050</v>
      </c>
    </row>
    <row r="770" spans="1:17">
      <c r="A770" s="33" t="s">
        <v>4424</v>
      </c>
      <c r="B770" s="33" t="s">
        <v>4425</v>
      </c>
      <c r="C770" s="33" t="s">
        <v>2205</v>
      </c>
      <c r="D770" s="33" t="s">
        <v>4047</v>
      </c>
      <c r="E770" s="33" t="s">
        <v>1786</v>
      </c>
      <c r="F770" s="33" t="s">
        <v>1856</v>
      </c>
      <c r="G770" s="33" t="s">
        <v>14</v>
      </c>
      <c r="H770" s="33" t="s">
        <v>2529</v>
      </c>
      <c r="I770" s="33" t="s">
        <v>2529</v>
      </c>
      <c r="J770" s="33" t="s">
        <v>4426</v>
      </c>
      <c r="K770" s="33" t="s">
        <v>1791</v>
      </c>
      <c r="L770" s="33" t="s">
        <v>2529</v>
      </c>
      <c r="M770" s="33" t="s">
        <v>1849</v>
      </c>
      <c r="N770" s="33" t="s">
        <v>4172</v>
      </c>
      <c r="Q770" s="33" t="s">
        <v>4050</v>
      </c>
    </row>
    <row r="771" spans="1:17" hidden="1">
      <c r="A771" s="33" t="s">
        <v>4427</v>
      </c>
      <c r="B771" s="33" t="s">
        <v>4428</v>
      </c>
      <c r="C771" s="33" t="s">
        <v>4061</v>
      </c>
      <c r="D771" s="33" t="s">
        <v>4062</v>
      </c>
      <c r="E771" s="33" t="s">
        <v>2471</v>
      </c>
      <c r="F771" s="33" t="s">
        <v>1787</v>
      </c>
      <c r="G771" s="33" t="s">
        <v>4062</v>
      </c>
      <c r="H771" s="33" t="s">
        <v>2529</v>
      </c>
      <c r="I771" s="33" t="s">
        <v>2529</v>
      </c>
      <c r="J771" s="33" t="s">
        <v>4429</v>
      </c>
      <c r="K771" s="33" t="s">
        <v>2471</v>
      </c>
      <c r="L771" s="33" t="s">
        <v>2529</v>
      </c>
      <c r="M771" s="33" t="s">
        <v>1811</v>
      </c>
      <c r="N771" s="33" t="s">
        <v>4065</v>
      </c>
      <c r="Q771" s="33" t="s">
        <v>4050</v>
      </c>
    </row>
    <row r="772" spans="1:17">
      <c r="A772" s="33" t="s">
        <v>4430</v>
      </c>
      <c r="B772" s="33" t="s">
        <v>4431</v>
      </c>
      <c r="C772" s="33" t="s">
        <v>4132</v>
      </c>
      <c r="D772" s="33" t="s">
        <v>4047</v>
      </c>
      <c r="E772" s="33" t="s">
        <v>1786</v>
      </c>
      <c r="F772" s="33" t="s">
        <v>1787</v>
      </c>
      <c r="G772" s="33" t="s">
        <v>4323</v>
      </c>
      <c r="H772" s="33" t="s">
        <v>2529</v>
      </c>
      <c r="I772" s="33" t="s">
        <v>2529</v>
      </c>
      <c r="J772" s="33" t="s">
        <v>4432</v>
      </c>
      <c r="K772" s="33" t="s">
        <v>1791</v>
      </c>
      <c r="L772" s="33" t="s">
        <v>2529</v>
      </c>
      <c r="M772" s="33" t="s">
        <v>82</v>
      </c>
      <c r="N772" s="33" t="s">
        <v>4135</v>
      </c>
      <c r="Q772" s="33" t="s">
        <v>4050</v>
      </c>
    </row>
    <row r="773" spans="1:17">
      <c r="A773" s="33" t="s">
        <v>4421</v>
      </c>
      <c r="B773" s="33" t="s">
        <v>4433</v>
      </c>
      <c r="C773" s="33" t="s">
        <v>2205</v>
      </c>
      <c r="D773" s="33" t="s">
        <v>4047</v>
      </c>
      <c r="E773" s="33" t="s">
        <v>1786</v>
      </c>
      <c r="F773" s="33" t="s">
        <v>1856</v>
      </c>
      <c r="G773" s="33" t="s">
        <v>14</v>
      </c>
      <c r="H773" s="33" t="s">
        <v>2529</v>
      </c>
      <c r="I773" s="33" t="s">
        <v>2529</v>
      </c>
      <c r="J773" s="33" t="s">
        <v>4434</v>
      </c>
      <c r="K773" s="33" t="s">
        <v>1791</v>
      </c>
      <c r="L773" s="33" t="s">
        <v>2529</v>
      </c>
      <c r="M773" s="33" t="s">
        <v>1849</v>
      </c>
      <c r="N773" s="33" t="s">
        <v>4172</v>
      </c>
      <c r="Q773" s="33" t="s">
        <v>4050</v>
      </c>
    </row>
    <row r="774" spans="1:17">
      <c r="A774" s="33" t="s">
        <v>4421</v>
      </c>
      <c r="B774" s="33" t="s">
        <v>4435</v>
      </c>
      <c r="C774" s="33" t="s">
        <v>2205</v>
      </c>
      <c r="D774" s="33" t="s">
        <v>4047</v>
      </c>
      <c r="E774" s="33" t="s">
        <v>1786</v>
      </c>
      <c r="F774" s="33" t="s">
        <v>1856</v>
      </c>
      <c r="G774" s="33" t="s">
        <v>14</v>
      </c>
      <c r="H774" s="33" t="s">
        <v>2529</v>
      </c>
      <c r="I774" s="33" t="s">
        <v>2529</v>
      </c>
      <c r="J774" s="33" t="s">
        <v>4436</v>
      </c>
      <c r="K774" s="33" t="s">
        <v>1791</v>
      </c>
      <c r="L774" s="33" t="s">
        <v>2529</v>
      </c>
      <c r="M774" s="33" t="s">
        <v>1849</v>
      </c>
      <c r="N774" s="33" t="s">
        <v>4172</v>
      </c>
      <c r="Q774" s="33" t="s">
        <v>4050</v>
      </c>
    </row>
    <row r="775" spans="1:17">
      <c r="A775" s="33" t="s">
        <v>4437</v>
      </c>
      <c r="B775" s="33" t="s">
        <v>4438</v>
      </c>
      <c r="C775" s="33" t="s">
        <v>4116</v>
      </c>
      <c r="D775" s="33" t="s">
        <v>4047</v>
      </c>
      <c r="E775" s="33" t="s">
        <v>1786</v>
      </c>
      <c r="F775" s="33" t="s">
        <v>1787</v>
      </c>
      <c r="G775" s="33" t="s">
        <v>27</v>
      </c>
      <c r="H775" s="33" t="s">
        <v>2529</v>
      </c>
      <c r="I775" s="33" t="s">
        <v>2529</v>
      </c>
      <c r="J775" s="33" t="s">
        <v>4439</v>
      </c>
      <c r="K775" s="33" t="s">
        <v>1791</v>
      </c>
      <c r="L775" s="33" t="s">
        <v>2529</v>
      </c>
      <c r="M775" s="33" t="s">
        <v>1811</v>
      </c>
      <c r="N775" s="33" t="s">
        <v>4119</v>
      </c>
      <c r="Q775" s="33" t="s">
        <v>4050</v>
      </c>
    </row>
    <row r="776" spans="1:17">
      <c r="A776" s="33" t="s">
        <v>4440</v>
      </c>
      <c r="B776" s="33" t="s">
        <v>4441</v>
      </c>
      <c r="C776" s="33" t="s">
        <v>1949</v>
      </c>
      <c r="D776" s="33" t="s">
        <v>4047</v>
      </c>
      <c r="E776" s="33" t="s">
        <v>1786</v>
      </c>
      <c r="F776" s="33" t="s">
        <v>1815</v>
      </c>
      <c r="G776" s="33" t="s">
        <v>4233</v>
      </c>
      <c r="H776" s="33" t="s">
        <v>2529</v>
      </c>
      <c r="I776" s="33" t="s">
        <v>2529</v>
      </c>
      <c r="J776" s="33" t="s">
        <v>4442</v>
      </c>
      <c r="K776" s="33" t="s">
        <v>1791</v>
      </c>
      <c r="L776" s="33" t="s">
        <v>2529</v>
      </c>
      <c r="M776" s="33" t="s">
        <v>1811</v>
      </c>
      <c r="N776" s="33" t="s">
        <v>55</v>
      </c>
      <c r="Q776" s="33" t="s">
        <v>4050</v>
      </c>
    </row>
    <row r="777" spans="1:17">
      <c r="A777" s="33" t="s">
        <v>4424</v>
      </c>
      <c r="B777" s="33" t="s">
        <v>4443</v>
      </c>
      <c r="C777" s="33" t="s">
        <v>2205</v>
      </c>
      <c r="D777" s="33" t="s">
        <v>4047</v>
      </c>
      <c r="E777" s="33" t="s">
        <v>1786</v>
      </c>
      <c r="F777" s="33" t="s">
        <v>1856</v>
      </c>
      <c r="G777" s="33" t="s">
        <v>14</v>
      </c>
      <c r="H777" s="33" t="s">
        <v>2529</v>
      </c>
      <c r="I777" s="33" t="s">
        <v>2529</v>
      </c>
      <c r="J777" s="33" t="s">
        <v>4444</v>
      </c>
      <c r="K777" s="33" t="s">
        <v>1791</v>
      </c>
      <c r="L777" s="33" t="s">
        <v>2529</v>
      </c>
      <c r="M777" s="33" t="s">
        <v>1849</v>
      </c>
      <c r="N777" s="33" t="s">
        <v>4172</v>
      </c>
      <c r="Q777" s="33" t="s">
        <v>4050</v>
      </c>
    </row>
    <row r="778" spans="1:17">
      <c r="A778" s="33" t="s">
        <v>4445</v>
      </c>
      <c r="B778" s="33" t="s">
        <v>4446</v>
      </c>
      <c r="C778" s="33" t="s">
        <v>1819</v>
      </c>
      <c r="D778" s="33" t="s">
        <v>4068</v>
      </c>
      <c r="E778" s="33" t="s">
        <v>1786</v>
      </c>
      <c r="F778" s="33" t="s">
        <v>1856</v>
      </c>
      <c r="G778" s="33" t="s">
        <v>2324</v>
      </c>
      <c r="H778" s="33" t="s">
        <v>2541</v>
      </c>
      <c r="I778" s="33" t="s">
        <v>2541</v>
      </c>
      <c r="J778" s="33" t="s">
        <v>4447</v>
      </c>
      <c r="K778" s="33" t="s">
        <v>1791</v>
      </c>
      <c r="L778" s="33" t="s">
        <v>3194</v>
      </c>
      <c r="M778" s="33" t="s">
        <v>1995</v>
      </c>
      <c r="N778" s="33" t="s">
        <v>1078</v>
      </c>
      <c r="Q778" s="33" t="s">
        <v>4050</v>
      </c>
    </row>
    <row r="779" spans="1:17" hidden="1">
      <c r="A779" s="33" t="s">
        <v>4448</v>
      </c>
      <c r="B779" s="33" t="s">
        <v>4449</v>
      </c>
      <c r="C779" s="33" t="s">
        <v>2205</v>
      </c>
      <c r="D779" s="33" t="s">
        <v>4419</v>
      </c>
      <c r="E779" s="33" t="s">
        <v>3857</v>
      </c>
      <c r="F779" s="33" t="s">
        <v>1787</v>
      </c>
      <c r="G779" s="33" t="s">
        <v>4450</v>
      </c>
      <c r="H779" s="33" t="s">
        <v>2541</v>
      </c>
      <c r="I779" s="33" t="s">
        <v>2541</v>
      </c>
      <c r="J779" s="33" t="s">
        <v>4451</v>
      </c>
      <c r="K779" s="33" t="s">
        <v>3859</v>
      </c>
      <c r="L779" s="33" t="s">
        <v>2541</v>
      </c>
      <c r="M779" s="33" t="s">
        <v>2041</v>
      </c>
      <c r="N779" s="33" t="s">
        <v>1844</v>
      </c>
      <c r="Q779" s="33" t="s">
        <v>4050</v>
      </c>
    </row>
    <row r="780" spans="1:17" hidden="1">
      <c r="A780" s="33" t="s">
        <v>4452</v>
      </c>
      <c r="B780" s="33" t="s">
        <v>4453</v>
      </c>
      <c r="C780" s="33" t="s">
        <v>3205</v>
      </c>
      <c r="D780" s="33" t="s">
        <v>4419</v>
      </c>
      <c r="E780" s="33" t="s">
        <v>3857</v>
      </c>
      <c r="F780" s="33" t="s">
        <v>1787</v>
      </c>
      <c r="G780" s="33" t="s">
        <v>96</v>
      </c>
      <c r="H780" s="33" t="s">
        <v>2541</v>
      </c>
      <c r="I780" s="33" t="s">
        <v>2541</v>
      </c>
      <c r="J780" s="33" t="s">
        <v>4454</v>
      </c>
      <c r="K780" s="33" t="s">
        <v>3859</v>
      </c>
      <c r="L780" s="33" t="s">
        <v>2541</v>
      </c>
      <c r="M780" s="33" t="s">
        <v>2480</v>
      </c>
      <c r="N780" s="33" t="s">
        <v>95</v>
      </c>
      <c r="Q780" s="33" t="s">
        <v>4050</v>
      </c>
    </row>
    <row r="781" spans="1:17">
      <c r="A781" s="33" t="s">
        <v>4455</v>
      </c>
      <c r="B781" s="33" t="s">
        <v>4456</v>
      </c>
      <c r="C781" s="33" t="s">
        <v>3205</v>
      </c>
      <c r="D781" s="33" t="s">
        <v>4068</v>
      </c>
      <c r="E781" s="33" t="s">
        <v>1786</v>
      </c>
      <c r="F781" s="33" t="s">
        <v>1787</v>
      </c>
      <c r="G781" s="33" t="s">
        <v>96</v>
      </c>
      <c r="H781" s="33" t="s">
        <v>2541</v>
      </c>
      <c r="I781" s="33" t="s">
        <v>2541</v>
      </c>
      <c r="J781" s="33" t="s">
        <v>4457</v>
      </c>
      <c r="K781" s="33" t="s">
        <v>1791</v>
      </c>
      <c r="L781" s="33" t="s">
        <v>3175</v>
      </c>
      <c r="M781" s="33" t="s">
        <v>2480</v>
      </c>
      <c r="N781" s="33" t="s">
        <v>95</v>
      </c>
      <c r="Q781" s="33" t="s">
        <v>4050</v>
      </c>
    </row>
    <row r="782" spans="1:17">
      <c r="A782" s="33" t="s">
        <v>4458</v>
      </c>
      <c r="B782" s="33" t="s">
        <v>4459</v>
      </c>
      <c r="C782" s="33" t="s">
        <v>3205</v>
      </c>
      <c r="D782" s="33" t="s">
        <v>4068</v>
      </c>
      <c r="E782" s="33" t="s">
        <v>1786</v>
      </c>
      <c r="F782" s="33" t="s">
        <v>1787</v>
      </c>
      <c r="G782" s="33" t="s">
        <v>96</v>
      </c>
      <c r="H782" s="33" t="s">
        <v>2541</v>
      </c>
      <c r="I782" s="33" t="s">
        <v>2541</v>
      </c>
      <c r="J782" s="33" t="s">
        <v>4460</v>
      </c>
      <c r="K782" s="33" t="s">
        <v>1791</v>
      </c>
      <c r="L782" s="33" t="s">
        <v>3194</v>
      </c>
      <c r="M782" s="33" t="s">
        <v>1863</v>
      </c>
      <c r="N782" s="33" t="s">
        <v>95</v>
      </c>
      <c r="Q782" s="33" t="s">
        <v>4050</v>
      </c>
    </row>
    <row r="783" spans="1:17">
      <c r="A783" s="33" t="s">
        <v>4461</v>
      </c>
      <c r="B783" s="33" t="s">
        <v>4462</v>
      </c>
      <c r="C783" s="33" t="s">
        <v>3205</v>
      </c>
      <c r="D783" s="33" t="s">
        <v>4068</v>
      </c>
      <c r="E783" s="33" t="s">
        <v>1786</v>
      </c>
      <c r="F783" s="33" t="s">
        <v>1787</v>
      </c>
      <c r="G783" s="33" t="s">
        <v>96</v>
      </c>
      <c r="H783" s="33" t="s">
        <v>2541</v>
      </c>
      <c r="I783" s="33" t="s">
        <v>2541</v>
      </c>
      <c r="J783" s="33" t="s">
        <v>4460</v>
      </c>
      <c r="K783" s="33" t="s">
        <v>1791</v>
      </c>
      <c r="L783" s="33" t="s">
        <v>3194</v>
      </c>
      <c r="M783" s="33" t="s">
        <v>1793</v>
      </c>
      <c r="N783" s="33" t="s">
        <v>95</v>
      </c>
      <c r="Q783" s="33" t="s">
        <v>4050</v>
      </c>
    </row>
    <row r="784" spans="1:17">
      <c r="A784" s="33" t="s">
        <v>4463</v>
      </c>
      <c r="B784" s="33" t="s">
        <v>4464</v>
      </c>
      <c r="C784" s="33" t="s">
        <v>3205</v>
      </c>
      <c r="D784" s="33" t="s">
        <v>4068</v>
      </c>
      <c r="E784" s="33" t="s">
        <v>1786</v>
      </c>
      <c r="F784" s="33" t="s">
        <v>1787</v>
      </c>
      <c r="G784" s="33" t="s">
        <v>96</v>
      </c>
      <c r="H784" s="33" t="s">
        <v>2541</v>
      </c>
      <c r="I784" s="33" t="s">
        <v>2541</v>
      </c>
      <c r="J784" s="33" t="s">
        <v>4460</v>
      </c>
      <c r="K784" s="33" t="s">
        <v>1791</v>
      </c>
      <c r="L784" s="33" t="s">
        <v>3175</v>
      </c>
      <c r="M784" s="33" t="s">
        <v>1838</v>
      </c>
      <c r="N784" s="33" t="s">
        <v>95</v>
      </c>
      <c r="Q784" s="33" t="s">
        <v>4050</v>
      </c>
    </row>
    <row r="785" spans="1:17">
      <c r="A785" s="33" t="s">
        <v>4465</v>
      </c>
      <c r="B785" s="33" t="s">
        <v>4466</v>
      </c>
      <c r="C785" s="33" t="s">
        <v>1831</v>
      </c>
      <c r="D785" s="33" t="s">
        <v>4068</v>
      </c>
      <c r="E785" s="33" t="s">
        <v>1786</v>
      </c>
      <c r="F785" s="33" t="s">
        <v>1815</v>
      </c>
      <c r="G785" s="33" t="s">
        <v>1998</v>
      </c>
      <c r="H785" s="33" t="s">
        <v>2541</v>
      </c>
      <c r="I785" s="33" t="s">
        <v>2541</v>
      </c>
      <c r="J785" s="33" t="s">
        <v>4467</v>
      </c>
      <c r="K785" s="33" t="s">
        <v>1791</v>
      </c>
      <c r="L785" s="33" t="s">
        <v>3175</v>
      </c>
      <c r="M785" s="33" t="s">
        <v>1827</v>
      </c>
      <c r="N785" s="33" t="s">
        <v>1849</v>
      </c>
      <c r="Q785" s="33" t="s">
        <v>4050</v>
      </c>
    </row>
    <row r="786" spans="1:17">
      <c r="A786" s="33" t="s">
        <v>4468</v>
      </c>
      <c r="B786" s="33" t="s">
        <v>4469</v>
      </c>
      <c r="C786" s="33" t="s">
        <v>3205</v>
      </c>
      <c r="D786" s="33" t="s">
        <v>4068</v>
      </c>
      <c r="E786" s="33" t="s">
        <v>1786</v>
      </c>
      <c r="F786" s="33" t="s">
        <v>1787</v>
      </c>
      <c r="G786" s="33" t="s">
        <v>96</v>
      </c>
      <c r="H786" s="33" t="s">
        <v>2541</v>
      </c>
      <c r="I786" s="33" t="s">
        <v>2541</v>
      </c>
      <c r="J786" s="33" t="s">
        <v>4460</v>
      </c>
      <c r="K786" s="33" t="s">
        <v>1791</v>
      </c>
      <c r="L786" s="33" t="s">
        <v>3091</v>
      </c>
      <c r="M786" s="33" t="s">
        <v>1894</v>
      </c>
      <c r="N786" s="33" t="s">
        <v>95</v>
      </c>
      <c r="Q786" s="33" t="s">
        <v>4050</v>
      </c>
    </row>
    <row r="787" spans="1:17">
      <c r="A787" s="33" t="s">
        <v>4470</v>
      </c>
      <c r="B787" s="33" t="s">
        <v>4471</v>
      </c>
      <c r="C787" s="33" t="s">
        <v>3205</v>
      </c>
      <c r="D787" s="33" t="s">
        <v>4068</v>
      </c>
      <c r="E787" s="33" t="s">
        <v>1786</v>
      </c>
      <c r="F787" s="33" t="s">
        <v>1787</v>
      </c>
      <c r="G787" s="33" t="s">
        <v>96</v>
      </c>
      <c r="H787" s="33" t="s">
        <v>2541</v>
      </c>
      <c r="I787" s="33" t="s">
        <v>2541</v>
      </c>
      <c r="J787" s="33" t="s">
        <v>4460</v>
      </c>
      <c r="K787" s="33" t="s">
        <v>1791</v>
      </c>
      <c r="L787" s="33" t="s">
        <v>3091</v>
      </c>
      <c r="M787" s="33" t="s">
        <v>1811</v>
      </c>
      <c r="N787" s="33" t="s">
        <v>95</v>
      </c>
      <c r="Q787" s="33" t="s">
        <v>4050</v>
      </c>
    </row>
    <row r="788" spans="1:17">
      <c r="A788" s="33" t="s">
        <v>4470</v>
      </c>
      <c r="B788" s="33" t="s">
        <v>4472</v>
      </c>
      <c r="C788" s="33" t="s">
        <v>3205</v>
      </c>
      <c r="D788" s="33" t="s">
        <v>4068</v>
      </c>
      <c r="E788" s="33" t="s">
        <v>1786</v>
      </c>
      <c r="F788" s="33" t="s">
        <v>1787</v>
      </c>
      <c r="G788" s="33" t="s">
        <v>96</v>
      </c>
      <c r="H788" s="33" t="s">
        <v>2541</v>
      </c>
      <c r="I788" s="33" t="s">
        <v>2541</v>
      </c>
      <c r="J788" s="33" t="s">
        <v>4460</v>
      </c>
      <c r="K788" s="33" t="s">
        <v>1791</v>
      </c>
      <c r="L788" s="33" t="s">
        <v>3091</v>
      </c>
      <c r="M788" s="33" t="s">
        <v>82</v>
      </c>
      <c r="N788" s="33" t="s">
        <v>95</v>
      </c>
      <c r="Q788" s="33" t="s">
        <v>4050</v>
      </c>
    </row>
    <row r="789" spans="1:17">
      <c r="A789" s="33" t="s">
        <v>4470</v>
      </c>
      <c r="B789" s="33" t="s">
        <v>4473</v>
      </c>
      <c r="C789" s="33" t="s">
        <v>3205</v>
      </c>
      <c r="D789" s="33" t="s">
        <v>4068</v>
      </c>
      <c r="E789" s="33" t="s">
        <v>1786</v>
      </c>
      <c r="F789" s="33" t="s">
        <v>1787</v>
      </c>
      <c r="G789" s="33" t="s">
        <v>96</v>
      </c>
      <c r="H789" s="33" t="s">
        <v>2541</v>
      </c>
      <c r="I789" s="33" t="s">
        <v>2541</v>
      </c>
      <c r="J789" s="33" t="s">
        <v>4460</v>
      </c>
      <c r="K789" s="33" t="s">
        <v>1791</v>
      </c>
      <c r="L789" s="33" t="s">
        <v>2902</v>
      </c>
      <c r="M789" s="33" t="s">
        <v>4474</v>
      </c>
      <c r="N789" s="33" t="s">
        <v>95</v>
      </c>
      <c r="Q789" s="33" t="s">
        <v>4050</v>
      </c>
    </row>
    <row r="790" spans="1:17">
      <c r="A790" s="33" t="s">
        <v>4475</v>
      </c>
      <c r="B790" s="33" t="s">
        <v>4476</v>
      </c>
      <c r="C790" s="33" t="s">
        <v>2147</v>
      </c>
      <c r="D790" s="33" t="s">
        <v>4068</v>
      </c>
      <c r="E790" s="33" t="s">
        <v>1786</v>
      </c>
      <c r="F790" s="33" t="s">
        <v>1787</v>
      </c>
      <c r="G790" s="33" t="s">
        <v>86</v>
      </c>
      <c r="H790" s="33" t="s">
        <v>2541</v>
      </c>
      <c r="I790" s="33" t="s">
        <v>2541</v>
      </c>
      <c r="J790" s="33" t="s">
        <v>4477</v>
      </c>
      <c r="K790" s="33" t="s">
        <v>1791</v>
      </c>
      <c r="L790" s="33" t="s">
        <v>2902</v>
      </c>
      <c r="M790" s="33" t="s">
        <v>1849</v>
      </c>
      <c r="N790" s="33" t="s">
        <v>4355</v>
      </c>
      <c r="Q790" s="33" t="s">
        <v>4050</v>
      </c>
    </row>
    <row r="791" spans="1:17">
      <c r="A791" s="33" t="s">
        <v>4478</v>
      </c>
      <c r="B791" s="33" t="s">
        <v>4479</v>
      </c>
      <c r="C791" s="33" t="s">
        <v>2147</v>
      </c>
      <c r="D791" s="33" t="s">
        <v>4068</v>
      </c>
      <c r="E791" s="33" t="s">
        <v>1786</v>
      </c>
      <c r="F791" s="33" t="s">
        <v>1787</v>
      </c>
      <c r="G791" s="33" t="s">
        <v>83</v>
      </c>
      <c r="H791" s="33" t="s">
        <v>2541</v>
      </c>
      <c r="I791" s="33" t="s">
        <v>2541</v>
      </c>
      <c r="J791" s="33" t="s">
        <v>4480</v>
      </c>
      <c r="K791" s="33" t="s">
        <v>1791</v>
      </c>
      <c r="L791" s="33" t="s">
        <v>2902</v>
      </c>
      <c r="M791" s="33" t="s">
        <v>1849</v>
      </c>
      <c r="N791" s="33" t="s">
        <v>4214</v>
      </c>
      <c r="Q791" s="33" t="s">
        <v>4050</v>
      </c>
    </row>
    <row r="792" spans="1:17" hidden="1">
      <c r="A792" s="33" t="s">
        <v>4481</v>
      </c>
      <c r="B792" s="33" t="s">
        <v>4482</v>
      </c>
      <c r="C792" s="33" t="s">
        <v>1980</v>
      </c>
      <c r="D792" s="33" t="s">
        <v>4068</v>
      </c>
      <c r="E792" s="33" t="s">
        <v>1808</v>
      </c>
      <c r="F792" s="33" t="s">
        <v>1787</v>
      </c>
      <c r="G792" s="33" t="s">
        <v>1981</v>
      </c>
      <c r="H792" s="33" t="s">
        <v>2569</v>
      </c>
      <c r="I792" s="33" t="s">
        <v>2569</v>
      </c>
      <c r="J792" s="33" t="s">
        <v>3143</v>
      </c>
      <c r="K792" s="33" t="s">
        <v>1791</v>
      </c>
      <c r="L792" s="33" t="s">
        <v>2569</v>
      </c>
      <c r="M792" s="33" t="s">
        <v>1849</v>
      </c>
      <c r="N792" s="33" t="s">
        <v>1811</v>
      </c>
      <c r="Q792" s="33" t="s">
        <v>4050</v>
      </c>
    </row>
    <row r="793" spans="1:17">
      <c r="A793" s="33" t="s">
        <v>4483</v>
      </c>
      <c r="B793" s="33" t="s">
        <v>4484</v>
      </c>
      <c r="C793" s="33" t="s">
        <v>4132</v>
      </c>
      <c r="D793" s="33" t="s">
        <v>4068</v>
      </c>
      <c r="E793" s="33" t="s">
        <v>1786</v>
      </c>
      <c r="F793" s="33" t="s">
        <v>1787</v>
      </c>
      <c r="G793" s="33" t="s">
        <v>4398</v>
      </c>
      <c r="H793" s="33" t="s">
        <v>2569</v>
      </c>
      <c r="I793" s="33" t="s">
        <v>2569</v>
      </c>
      <c r="J793" s="33" t="s">
        <v>4485</v>
      </c>
      <c r="K793" s="33" t="s">
        <v>1791</v>
      </c>
      <c r="L793" s="33" t="s">
        <v>2902</v>
      </c>
      <c r="M793" s="33" t="s">
        <v>2033</v>
      </c>
      <c r="N793" s="33" t="s">
        <v>4135</v>
      </c>
      <c r="Q793" s="33" t="s">
        <v>4050</v>
      </c>
    </row>
    <row r="794" spans="1:17" hidden="1">
      <c r="A794" s="33" t="s">
        <v>4486</v>
      </c>
      <c r="B794" s="33" t="s">
        <v>4487</v>
      </c>
      <c r="C794" s="33" t="s">
        <v>3205</v>
      </c>
      <c r="D794" s="33" t="s">
        <v>4419</v>
      </c>
      <c r="E794" s="33" t="s">
        <v>3857</v>
      </c>
      <c r="F794" s="33" t="s">
        <v>1815</v>
      </c>
      <c r="G794" s="33" t="s">
        <v>4056</v>
      </c>
      <c r="H794" s="33" t="s">
        <v>2584</v>
      </c>
      <c r="I794" s="33" t="s">
        <v>2584</v>
      </c>
      <c r="J794" s="33" t="s">
        <v>4488</v>
      </c>
      <c r="K794" s="33" t="s">
        <v>3859</v>
      </c>
      <c r="L794" s="33" t="s">
        <v>2584</v>
      </c>
      <c r="M794" s="33" t="s">
        <v>1849</v>
      </c>
      <c r="N794" s="33" t="s">
        <v>95</v>
      </c>
      <c r="Q794" s="33" t="s">
        <v>4050</v>
      </c>
    </row>
    <row r="795" spans="1:17">
      <c r="A795" s="33" t="s">
        <v>4489</v>
      </c>
      <c r="B795" s="33" t="s">
        <v>4490</v>
      </c>
      <c r="C795" s="33" t="s">
        <v>3205</v>
      </c>
      <c r="D795" s="33" t="s">
        <v>4068</v>
      </c>
      <c r="E795" s="33" t="s">
        <v>1786</v>
      </c>
      <c r="F795" s="33" t="s">
        <v>1815</v>
      </c>
      <c r="G795" s="33" t="s">
        <v>4056</v>
      </c>
      <c r="H795" s="33" t="s">
        <v>2584</v>
      </c>
      <c r="I795" s="33" t="s">
        <v>2584</v>
      </c>
      <c r="J795" s="33" t="s">
        <v>4491</v>
      </c>
      <c r="K795" s="33" t="s">
        <v>1791</v>
      </c>
      <c r="L795" s="33" t="s">
        <v>2902</v>
      </c>
      <c r="M795" s="33" t="s">
        <v>1849</v>
      </c>
      <c r="N795" s="33" t="s">
        <v>95</v>
      </c>
      <c r="Q795" s="33" t="s">
        <v>4050</v>
      </c>
    </row>
    <row r="796" spans="1:17" hidden="1">
      <c r="A796" s="33" t="s">
        <v>4492</v>
      </c>
      <c r="B796" s="33" t="s">
        <v>4493</v>
      </c>
      <c r="C796" s="33" t="s">
        <v>1831</v>
      </c>
      <c r="D796" s="33" t="s">
        <v>4068</v>
      </c>
      <c r="E796" s="33" t="s">
        <v>1808</v>
      </c>
      <c r="F796" s="33" t="s">
        <v>1787</v>
      </c>
      <c r="G796" s="33" t="s">
        <v>3089</v>
      </c>
      <c r="H796" s="33" t="s">
        <v>2584</v>
      </c>
      <c r="I796" s="33" t="s">
        <v>2584</v>
      </c>
      <c r="J796" s="33" t="s">
        <v>3090</v>
      </c>
      <c r="K796" s="33" t="s">
        <v>1791</v>
      </c>
      <c r="L796" s="33" t="s">
        <v>2584</v>
      </c>
      <c r="M796" s="33" t="s">
        <v>3092</v>
      </c>
      <c r="N796" s="33" t="s">
        <v>1827</v>
      </c>
      <c r="Q796" s="33" t="s">
        <v>4050</v>
      </c>
    </row>
    <row r="797" spans="1:17">
      <c r="A797" s="33" t="s">
        <v>4494</v>
      </c>
      <c r="B797" s="33" t="s">
        <v>4495</v>
      </c>
      <c r="C797" s="33" t="s">
        <v>1980</v>
      </c>
      <c r="D797" s="33" t="s">
        <v>4068</v>
      </c>
      <c r="E797" s="33" t="s">
        <v>1786</v>
      </c>
      <c r="F797" s="33" t="s">
        <v>1856</v>
      </c>
      <c r="G797" s="33" t="s">
        <v>1981</v>
      </c>
      <c r="H797" s="33" t="s">
        <v>4496</v>
      </c>
      <c r="I797" s="33" t="s">
        <v>4496</v>
      </c>
      <c r="J797" s="33" t="s">
        <v>4497</v>
      </c>
      <c r="K797" s="33" t="s">
        <v>1791</v>
      </c>
      <c r="L797" s="33" t="s">
        <v>2902</v>
      </c>
      <c r="M797" s="33" t="s">
        <v>95</v>
      </c>
      <c r="N797" s="33" t="s">
        <v>1849</v>
      </c>
      <c r="Q797" s="33" t="s">
        <v>4050</v>
      </c>
    </row>
    <row r="798" spans="1:17">
      <c r="A798" s="33" t="s">
        <v>2141</v>
      </c>
      <c r="B798" s="33" t="s">
        <v>4498</v>
      </c>
      <c r="C798" s="33" t="s">
        <v>1980</v>
      </c>
      <c r="D798" s="33" t="s">
        <v>4068</v>
      </c>
      <c r="E798" s="33" t="s">
        <v>1786</v>
      </c>
      <c r="F798" s="33" t="s">
        <v>1787</v>
      </c>
      <c r="G798" s="33" t="s">
        <v>1981</v>
      </c>
      <c r="H798" s="33" t="s">
        <v>4496</v>
      </c>
      <c r="I798" s="33" t="s">
        <v>4496</v>
      </c>
      <c r="J798" s="33" t="s">
        <v>4499</v>
      </c>
      <c r="K798" s="33" t="s">
        <v>1791</v>
      </c>
      <c r="L798" s="33" t="s">
        <v>3091</v>
      </c>
      <c r="M798" s="33" t="s">
        <v>82</v>
      </c>
      <c r="N798" s="33" t="s">
        <v>1849</v>
      </c>
      <c r="Q798" s="33" t="s">
        <v>4050</v>
      </c>
    </row>
    <row r="799" spans="1:17">
      <c r="A799" s="33" t="s">
        <v>2141</v>
      </c>
      <c r="B799" s="33" t="s">
        <v>4500</v>
      </c>
      <c r="C799" s="33" t="s">
        <v>1980</v>
      </c>
      <c r="D799" s="33" t="s">
        <v>4068</v>
      </c>
      <c r="E799" s="33" t="s">
        <v>1786</v>
      </c>
      <c r="F799" s="33" t="s">
        <v>1787</v>
      </c>
      <c r="G799" s="33" t="s">
        <v>1981</v>
      </c>
      <c r="H799" s="33" t="s">
        <v>4496</v>
      </c>
      <c r="I799" s="33" t="s">
        <v>4496</v>
      </c>
      <c r="J799" s="33" t="s">
        <v>4501</v>
      </c>
      <c r="K799" s="33" t="s">
        <v>1791</v>
      </c>
      <c r="L799" s="33" t="s">
        <v>3175</v>
      </c>
      <c r="M799" s="33" t="s">
        <v>1827</v>
      </c>
      <c r="N799" s="33" t="s">
        <v>1849</v>
      </c>
      <c r="Q799" s="33" t="s">
        <v>4050</v>
      </c>
    </row>
    <row r="800" spans="1:17">
      <c r="A800" s="33" t="s">
        <v>4502</v>
      </c>
      <c r="B800" s="33" t="s">
        <v>4503</v>
      </c>
      <c r="C800" s="33" t="s">
        <v>4132</v>
      </c>
      <c r="D800" s="33" t="s">
        <v>4068</v>
      </c>
      <c r="E800" s="33" t="s">
        <v>1786</v>
      </c>
      <c r="F800" s="33" t="s">
        <v>1787</v>
      </c>
      <c r="G800" s="33" t="s">
        <v>4398</v>
      </c>
      <c r="H800" s="33" t="s">
        <v>2589</v>
      </c>
      <c r="I800" s="33" t="s">
        <v>2589</v>
      </c>
      <c r="J800" s="33" t="s">
        <v>4504</v>
      </c>
      <c r="K800" s="33" t="s">
        <v>1791</v>
      </c>
      <c r="L800" s="33" t="s">
        <v>2902</v>
      </c>
      <c r="M800" s="33" t="s">
        <v>1849</v>
      </c>
      <c r="N800" s="33" t="s">
        <v>4135</v>
      </c>
      <c r="Q800" s="33" t="s">
        <v>4050</v>
      </c>
    </row>
    <row r="801" spans="1:17">
      <c r="A801" s="33" t="s">
        <v>4505</v>
      </c>
      <c r="B801" s="33" t="s">
        <v>4506</v>
      </c>
      <c r="C801" s="33" t="s">
        <v>1807</v>
      </c>
      <c r="D801" s="33" t="s">
        <v>4068</v>
      </c>
      <c r="E801" s="33" t="s">
        <v>1786</v>
      </c>
      <c r="F801" s="33" t="s">
        <v>1787</v>
      </c>
      <c r="G801" s="33" t="s">
        <v>94</v>
      </c>
      <c r="H801" s="33" t="s">
        <v>2589</v>
      </c>
      <c r="I801" s="33" t="s">
        <v>2589</v>
      </c>
      <c r="J801" s="33" t="s">
        <v>4507</v>
      </c>
      <c r="K801" s="33" t="s">
        <v>1791</v>
      </c>
      <c r="L801" s="33" t="s">
        <v>2902</v>
      </c>
      <c r="M801" s="33" t="s">
        <v>2050</v>
      </c>
      <c r="N801" s="33" t="s">
        <v>93</v>
      </c>
      <c r="Q801" s="33" t="s">
        <v>4050</v>
      </c>
    </row>
    <row r="802" spans="1:17">
      <c r="A802" s="33" t="s">
        <v>4508</v>
      </c>
      <c r="B802" s="33" t="s">
        <v>4509</v>
      </c>
      <c r="C802" s="33" t="s">
        <v>2026</v>
      </c>
      <c r="D802" s="33" t="s">
        <v>4068</v>
      </c>
      <c r="E802" s="33" t="s">
        <v>1786</v>
      </c>
      <c r="F802" s="33" t="s">
        <v>1815</v>
      </c>
      <c r="G802" s="33" t="s">
        <v>90</v>
      </c>
      <c r="H802" s="33" t="s">
        <v>2589</v>
      </c>
      <c r="I802" s="33" t="s">
        <v>2589</v>
      </c>
      <c r="J802" s="33" t="s">
        <v>4510</v>
      </c>
      <c r="K802" s="33" t="s">
        <v>1791</v>
      </c>
      <c r="L802" s="33" t="s">
        <v>3175</v>
      </c>
      <c r="M802" s="33" t="s">
        <v>2343</v>
      </c>
      <c r="N802" s="33" t="s">
        <v>1894</v>
      </c>
      <c r="Q802" s="33" t="s">
        <v>4050</v>
      </c>
    </row>
    <row r="803" spans="1:17">
      <c r="A803" s="33" t="s">
        <v>4511</v>
      </c>
      <c r="B803" s="33" t="s">
        <v>4512</v>
      </c>
      <c r="C803" s="33" t="s">
        <v>1980</v>
      </c>
      <c r="D803" s="33" t="s">
        <v>4068</v>
      </c>
      <c r="E803" s="33" t="s">
        <v>1786</v>
      </c>
      <c r="F803" s="33" t="s">
        <v>1815</v>
      </c>
      <c r="G803" s="33" t="s">
        <v>1981</v>
      </c>
      <c r="H803" s="33" t="s">
        <v>2625</v>
      </c>
      <c r="I803" s="33" t="s">
        <v>2625</v>
      </c>
      <c r="J803" s="33" t="s">
        <v>4513</v>
      </c>
      <c r="K803" s="33" t="s">
        <v>1791</v>
      </c>
      <c r="L803" s="33" t="s">
        <v>3194</v>
      </c>
      <c r="M803" s="33" t="s">
        <v>1863</v>
      </c>
      <c r="N803" s="33" t="s">
        <v>1849</v>
      </c>
      <c r="Q803" s="33" t="s">
        <v>4050</v>
      </c>
    </row>
    <row r="804" spans="1:17">
      <c r="A804" s="33" t="s">
        <v>4263</v>
      </c>
      <c r="B804" s="33" t="s">
        <v>4514</v>
      </c>
      <c r="C804" s="33" t="s">
        <v>3205</v>
      </c>
      <c r="D804" s="33" t="s">
        <v>4068</v>
      </c>
      <c r="E804" s="33" t="s">
        <v>1786</v>
      </c>
      <c r="F804" s="33" t="s">
        <v>1815</v>
      </c>
      <c r="G804" s="33" t="s">
        <v>4056</v>
      </c>
      <c r="H804" s="33" t="s">
        <v>2625</v>
      </c>
      <c r="I804" s="33" t="s">
        <v>2625</v>
      </c>
      <c r="J804" s="33" t="s">
        <v>4515</v>
      </c>
      <c r="K804" s="33" t="s">
        <v>1791</v>
      </c>
      <c r="L804" s="33" t="s">
        <v>3091</v>
      </c>
      <c r="M804" s="33" t="s">
        <v>1811</v>
      </c>
      <c r="N804" s="33" t="s">
        <v>95</v>
      </c>
      <c r="Q804" s="33" t="s">
        <v>4050</v>
      </c>
    </row>
    <row r="805" spans="1:17">
      <c r="A805" s="33" t="s">
        <v>4263</v>
      </c>
      <c r="B805" s="33" t="s">
        <v>4516</v>
      </c>
      <c r="C805" s="33" t="s">
        <v>3205</v>
      </c>
      <c r="D805" s="33" t="s">
        <v>4068</v>
      </c>
      <c r="E805" s="33" t="s">
        <v>1786</v>
      </c>
      <c r="F805" s="33" t="s">
        <v>1815</v>
      </c>
      <c r="G805" s="33" t="s">
        <v>4056</v>
      </c>
      <c r="H805" s="33" t="s">
        <v>2625</v>
      </c>
      <c r="I805" s="33" t="s">
        <v>2625</v>
      </c>
      <c r="J805" s="33" t="s">
        <v>4517</v>
      </c>
      <c r="K805" s="33" t="s">
        <v>1791</v>
      </c>
      <c r="L805" s="33" t="s">
        <v>3175</v>
      </c>
      <c r="M805" s="33" t="s">
        <v>196</v>
      </c>
      <c r="N805" s="33" t="s">
        <v>95</v>
      </c>
      <c r="Q805" s="33" t="s">
        <v>4050</v>
      </c>
    </row>
    <row r="806" spans="1:17">
      <c r="A806" s="33" t="s">
        <v>4518</v>
      </c>
      <c r="B806" s="33" t="s">
        <v>4519</v>
      </c>
      <c r="C806" s="33" t="s">
        <v>3205</v>
      </c>
      <c r="D806" s="33" t="s">
        <v>4068</v>
      </c>
      <c r="E806" s="33" t="s">
        <v>1786</v>
      </c>
      <c r="F806" s="33" t="s">
        <v>1815</v>
      </c>
      <c r="G806" s="33" t="s">
        <v>96</v>
      </c>
      <c r="H806" s="33" t="s">
        <v>2633</v>
      </c>
      <c r="I806" s="33" t="s">
        <v>2633</v>
      </c>
      <c r="J806" s="33" t="s">
        <v>4520</v>
      </c>
      <c r="K806" s="33" t="s">
        <v>1791</v>
      </c>
      <c r="L806" s="33" t="s">
        <v>3175</v>
      </c>
      <c r="M806" s="33" t="s">
        <v>196</v>
      </c>
      <c r="N806" s="33" t="s">
        <v>95</v>
      </c>
      <c r="Q806" s="33" t="s">
        <v>4050</v>
      </c>
    </row>
    <row r="807" spans="1:17">
      <c r="A807" s="33" t="s">
        <v>4521</v>
      </c>
      <c r="B807" s="33" t="s">
        <v>4522</v>
      </c>
      <c r="C807" s="33" t="s">
        <v>4132</v>
      </c>
      <c r="D807" s="33" t="s">
        <v>4068</v>
      </c>
      <c r="E807" s="33" t="s">
        <v>1786</v>
      </c>
      <c r="F807" s="33" t="s">
        <v>1787</v>
      </c>
      <c r="G807" s="33" t="s">
        <v>4323</v>
      </c>
      <c r="H807" s="33" t="s">
        <v>2428</v>
      </c>
      <c r="I807" s="33" t="s">
        <v>2428</v>
      </c>
      <c r="J807" s="33" t="s">
        <v>4523</v>
      </c>
      <c r="K807" s="33" t="s">
        <v>1791</v>
      </c>
      <c r="L807" s="33" t="s">
        <v>2666</v>
      </c>
      <c r="M807" s="33" t="s">
        <v>1838</v>
      </c>
      <c r="N807" s="33" t="s">
        <v>4135</v>
      </c>
      <c r="Q807" s="33" t="s">
        <v>4050</v>
      </c>
    </row>
    <row r="808" spans="1:17">
      <c r="A808" s="33" t="s">
        <v>4524</v>
      </c>
      <c r="B808" s="33" t="s">
        <v>4525</v>
      </c>
      <c r="C808" s="33" t="s">
        <v>2205</v>
      </c>
      <c r="D808" s="33" t="s">
        <v>4068</v>
      </c>
      <c r="E808" s="33" t="s">
        <v>1786</v>
      </c>
      <c r="F808" s="33" t="s">
        <v>1787</v>
      </c>
      <c r="G808" s="33" t="s">
        <v>4075</v>
      </c>
      <c r="H808" s="33" t="s">
        <v>2428</v>
      </c>
      <c r="I808" s="33" t="s">
        <v>2428</v>
      </c>
      <c r="J808" s="33" t="s">
        <v>4526</v>
      </c>
      <c r="K808" s="33" t="s">
        <v>1791</v>
      </c>
      <c r="L808" s="33" t="s">
        <v>2666</v>
      </c>
      <c r="M808" s="33" t="s">
        <v>1838</v>
      </c>
      <c r="N808" s="33" t="s">
        <v>73</v>
      </c>
      <c r="Q808" s="33" t="s">
        <v>4050</v>
      </c>
    </row>
    <row r="809" spans="1:17">
      <c r="A809" s="33" t="s">
        <v>4527</v>
      </c>
      <c r="B809" s="33" t="s">
        <v>4528</v>
      </c>
      <c r="C809" s="33" t="s">
        <v>4529</v>
      </c>
      <c r="D809" s="33" t="s">
        <v>4068</v>
      </c>
      <c r="E809" s="33" t="s">
        <v>1786</v>
      </c>
      <c r="F809" s="33" t="s">
        <v>1787</v>
      </c>
      <c r="G809" s="33" t="s">
        <v>4530</v>
      </c>
      <c r="H809" s="33" t="s">
        <v>2428</v>
      </c>
      <c r="I809" s="33" t="s">
        <v>2428</v>
      </c>
      <c r="J809" s="33" t="s">
        <v>4531</v>
      </c>
      <c r="K809" s="33" t="s">
        <v>1791</v>
      </c>
      <c r="L809" s="33" t="s">
        <v>2666</v>
      </c>
      <c r="M809" s="33" t="s">
        <v>4532</v>
      </c>
      <c r="N809" s="33" t="s">
        <v>4533</v>
      </c>
      <c r="Q809" s="33" t="s">
        <v>4050</v>
      </c>
    </row>
    <row r="810" spans="1:17">
      <c r="A810" s="33" t="s">
        <v>2481</v>
      </c>
      <c r="B810" s="33" t="s">
        <v>4534</v>
      </c>
      <c r="C810" s="33" t="s">
        <v>1980</v>
      </c>
      <c r="D810" s="33" t="s">
        <v>4068</v>
      </c>
      <c r="E810" s="33" t="s">
        <v>1786</v>
      </c>
      <c r="F810" s="33" t="s">
        <v>1787</v>
      </c>
      <c r="G810" s="33" t="s">
        <v>1981</v>
      </c>
      <c r="H810" s="33" t="s">
        <v>2428</v>
      </c>
      <c r="I810" s="33" t="s">
        <v>2370</v>
      </c>
      <c r="J810" s="33" t="s">
        <v>2483</v>
      </c>
      <c r="K810" s="33" t="s">
        <v>1791</v>
      </c>
      <c r="L810" s="33" t="s">
        <v>2666</v>
      </c>
      <c r="M810" s="33" t="s">
        <v>1995</v>
      </c>
      <c r="N810" s="33" t="s">
        <v>1849</v>
      </c>
      <c r="Q810" s="33" t="s">
        <v>4050</v>
      </c>
    </row>
    <row r="811" spans="1:17">
      <c r="A811" s="33" t="s">
        <v>4535</v>
      </c>
      <c r="B811" s="33" t="s">
        <v>4536</v>
      </c>
      <c r="C811" s="33" t="s">
        <v>2205</v>
      </c>
      <c r="D811" s="33" t="s">
        <v>4068</v>
      </c>
      <c r="E811" s="33" t="s">
        <v>1786</v>
      </c>
      <c r="F811" s="33" t="s">
        <v>1815</v>
      </c>
      <c r="G811" s="33" t="s">
        <v>74</v>
      </c>
      <c r="H811" s="33" t="s">
        <v>2666</v>
      </c>
      <c r="I811" s="33" t="s">
        <v>2666</v>
      </c>
      <c r="J811" s="33" t="s">
        <v>4537</v>
      </c>
      <c r="K811" s="33" t="s">
        <v>1791</v>
      </c>
      <c r="L811" s="33" t="s">
        <v>2666</v>
      </c>
      <c r="M811" s="33" t="s">
        <v>1793</v>
      </c>
      <c r="N811" s="33" t="s">
        <v>73</v>
      </c>
      <c r="Q811" s="33" t="s">
        <v>4050</v>
      </c>
    </row>
    <row r="812" spans="1:17">
      <c r="A812" s="33" t="s">
        <v>4538</v>
      </c>
      <c r="B812" s="33" t="s">
        <v>4539</v>
      </c>
      <c r="C812" s="33" t="s">
        <v>2205</v>
      </c>
      <c r="D812" s="33" t="s">
        <v>4068</v>
      </c>
      <c r="E812" s="33" t="s">
        <v>1786</v>
      </c>
      <c r="F812" s="33" t="s">
        <v>1815</v>
      </c>
      <c r="G812" s="33" t="s">
        <v>74</v>
      </c>
      <c r="H812" s="33" t="s">
        <v>2666</v>
      </c>
      <c r="I812" s="33" t="s">
        <v>2666</v>
      </c>
      <c r="J812" s="33" t="s">
        <v>4540</v>
      </c>
      <c r="K812" s="33" t="s">
        <v>1791</v>
      </c>
      <c r="L812" s="33" t="s">
        <v>2666</v>
      </c>
      <c r="M812" s="33" t="s">
        <v>1863</v>
      </c>
      <c r="N812" s="33" t="s">
        <v>73</v>
      </c>
      <c r="Q812" s="33" t="s">
        <v>4050</v>
      </c>
    </row>
    <row r="813" spans="1:17">
      <c r="A813" s="33" t="s">
        <v>4541</v>
      </c>
      <c r="B813" s="33" t="s">
        <v>4542</v>
      </c>
      <c r="C813" s="33" t="s">
        <v>2205</v>
      </c>
      <c r="D813" s="33" t="s">
        <v>4068</v>
      </c>
      <c r="E813" s="33" t="s">
        <v>1786</v>
      </c>
      <c r="F813" s="33" t="s">
        <v>1787</v>
      </c>
      <c r="G813" s="33" t="s">
        <v>74</v>
      </c>
      <c r="H813" s="33" t="s">
        <v>2666</v>
      </c>
      <c r="I813" s="33" t="s">
        <v>2666</v>
      </c>
      <c r="J813" s="33" t="s">
        <v>4543</v>
      </c>
      <c r="K813" s="33" t="s">
        <v>1791</v>
      </c>
      <c r="L813" s="33" t="s">
        <v>2666</v>
      </c>
      <c r="M813" s="33" t="s">
        <v>1838</v>
      </c>
      <c r="N813" s="33" t="s">
        <v>73</v>
      </c>
      <c r="Q813" s="33" t="s">
        <v>4050</v>
      </c>
    </row>
    <row r="814" spans="1:17">
      <c r="A814" s="33" t="s">
        <v>4544</v>
      </c>
      <c r="B814" s="33" t="s">
        <v>4545</v>
      </c>
      <c r="C814" s="33" t="s">
        <v>1949</v>
      </c>
      <c r="D814" s="33" t="s">
        <v>4068</v>
      </c>
      <c r="E814" s="33" t="s">
        <v>1786</v>
      </c>
      <c r="F814" s="33" t="s">
        <v>1815</v>
      </c>
      <c r="G814" s="33" t="s">
        <v>4233</v>
      </c>
      <c r="H814" s="33" t="s">
        <v>2666</v>
      </c>
      <c r="I814" s="33" t="s">
        <v>2666</v>
      </c>
      <c r="J814" s="33" t="s">
        <v>4546</v>
      </c>
      <c r="K814" s="33" t="s">
        <v>1791</v>
      </c>
      <c r="L814" s="33" t="s">
        <v>2666</v>
      </c>
      <c r="M814" s="33" t="s">
        <v>1811</v>
      </c>
      <c r="N814" s="33" t="s">
        <v>55</v>
      </c>
      <c r="Q814" s="33" t="s">
        <v>4050</v>
      </c>
    </row>
    <row r="815" spans="1:17">
      <c r="A815" s="33" t="s">
        <v>4547</v>
      </c>
      <c r="B815" s="33" t="s">
        <v>4548</v>
      </c>
      <c r="C815" s="33" t="s">
        <v>1949</v>
      </c>
      <c r="D815" s="33" t="s">
        <v>4068</v>
      </c>
      <c r="E815" s="33" t="s">
        <v>1786</v>
      </c>
      <c r="F815" s="33" t="s">
        <v>1815</v>
      </c>
      <c r="G815" s="33" t="s">
        <v>4233</v>
      </c>
      <c r="H815" s="33" t="s">
        <v>2666</v>
      </c>
      <c r="I815" s="33" t="s">
        <v>2666</v>
      </c>
      <c r="J815" s="33" t="s">
        <v>4546</v>
      </c>
      <c r="K815" s="33" t="s">
        <v>1791</v>
      </c>
      <c r="L815" s="33" t="s">
        <v>2666</v>
      </c>
      <c r="M815" s="33" t="s">
        <v>1811</v>
      </c>
      <c r="N815" s="33" t="s">
        <v>55</v>
      </c>
      <c r="Q815" s="33" t="s">
        <v>4050</v>
      </c>
    </row>
    <row r="816" spans="1:17">
      <c r="A816" s="33" t="s">
        <v>4549</v>
      </c>
      <c r="B816" s="33" t="s">
        <v>4550</v>
      </c>
      <c r="C816" s="33" t="s">
        <v>3205</v>
      </c>
      <c r="D816" s="33" t="s">
        <v>4068</v>
      </c>
      <c r="E816" s="33" t="s">
        <v>1786</v>
      </c>
      <c r="F816" s="33" t="s">
        <v>1815</v>
      </c>
      <c r="G816" s="33" t="s">
        <v>4551</v>
      </c>
      <c r="H816" s="33" t="s">
        <v>2666</v>
      </c>
      <c r="I816" s="33" t="s">
        <v>2666</v>
      </c>
      <c r="J816" s="33" t="s">
        <v>4552</v>
      </c>
      <c r="K816" s="33" t="s">
        <v>1791</v>
      </c>
      <c r="L816" s="33" t="s">
        <v>2692</v>
      </c>
      <c r="M816" s="33" t="s">
        <v>1849</v>
      </c>
      <c r="N816" s="33" t="s">
        <v>95</v>
      </c>
      <c r="Q816" s="33" t="s">
        <v>4050</v>
      </c>
    </row>
    <row r="817" spans="1:17">
      <c r="A817" s="33" t="s">
        <v>4553</v>
      </c>
      <c r="B817" s="33" t="s">
        <v>4554</v>
      </c>
      <c r="C817" s="33" t="s">
        <v>1980</v>
      </c>
      <c r="D817" s="33" t="s">
        <v>4068</v>
      </c>
      <c r="E817" s="33" t="s">
        <v>1786</v>
      </c>
      <c r="F817" s="33" t="s">
        <v>1787</v>
      </c>
      <c r="G817" s="33" t="s">
        <v>1981</v>
      </c>
      <c r="H817" s="33" t="s">
        <v>2693</v>
      </c>
      <c r="I817" s="33" t="s">
        <v>2693</v>
      </c>
      <c r="J817" s="33" t="s">
        <v>4555</v>
      </c>
      <c r="K817" s="33" t="s">
        <v>1791</v>
      </c>
      <c r="L817" s="33" t="s">
        <v>2692</v>
      </c>
      <c r="M817" s="33" t="s">
        <v>82</v>
      </c>
      <c r="N817" s="33" t="s">
        <v>1849</v>
      </c>
      <c r="Q817" s="33" t="s">
        <v>4050</v>
      </c>
    </row>
    <row r="818" spans="1:17">
      <c r="A818" s="33" t="s">
        <v>4556</v>
      </c>
      <c r="B818" s="33" t="s">
        <v>4557</v>
      </c>
      <c r="C818" s="33" t="s">
        <v>1980</v>
      </c>
      <c r="D818" s="33" t="s">
        <v>4068</v>
      </c>
      <c r="E818" s="33" t="s">
        <v>1786</v>
      </c>
      <c r="F818" s="33" t="s">
        <v>1815</v>
      </c>
      <c r="G818" s="33" t="s">
        <v>1981</v>
      </c>
      <c r="H818" s="33" t="s">
        <v>2693</v>
      </c>
      <c r="I818" s="33" t="s">
        <v>2693</v>
      </c>
      <c r="J818" s="33" t="s">
        <v>4558</v>
      </c>
      <c r="K818" s="33" t="s">
        <v>1791</v>
      </c>
      <c r="L818" s="33" t="s">
        <v>2692</v>
      </c>
      <c r="M818" s="33" t="s">
        <v>82</v>
      </c>
      <c r="N818" s="33" t="s">
        <v>1849</v>
      </c>
      <c r="Q818" s="33" t="s">
        <v>4050</v>
      </c>
    </row>
    <row r="819" spans="1:17" hidden="1">
      <c r="A819" s="33" t="s">
        <v>2690</v>
      </c>
      <c r="B819" s="33" t="s">
        <v>4559</v>
      </c>
      <c r="C819" s="33" t="s">
        <v>1980</v>
      </c>
      <c r="D819" s="33" t="s">
        <v>4068</v>
      </c>
      <c r="E819" s="33" t="s">
        <v>1808</v>
      </c>
      <c r="F819" s="33" t="s">
        <v>1787</v>
      </c>
      <c r="G819" s="33" t="s">
        <v>1981</v>
      </c>
      <c r="H819" s="33" t="s">
        <v>2693</v>
      </c>
      <c r="I819" s="33" t="s">
        <v>2693</v>
      </c>
      <c r="J819" s="33" t="s">
        <v>2694</v>
      </c>
      <c r="K819" s="33" t="s">
        <v>1791</v>
      </c>
      <c r="L819" s="33" t="s">
        <v>2693</v>
      </c>
      <c r="M819" s="33" t="s">
        <v>82</v>
      </c>
      <c r="N819" s="33" t="s">
        <v>1849</v>
      </c>
      <c r="Q819" s="33" t="s">
        <v>4050</v>
      </c>
    </row>
    <row r="820" spans="1:17" hidden="1">
      <c r="A820" s="33" t="s">
        <v>4560</v>
      </c>
      <c r="B820" s="33" t="s">
        <v>4561</v>
      </c>
      <c r="C820" s="33" t="s">
        <v>1980</v>
      </c>
      <c r="D820" s="33" t="s">
        <v>4068</v>
      </c>
      <c r="E820" s="33" t="s">
        <v>1808</v>
      </c>
      <c r="F820" s="33" t="s">
        <v>1787</v>
      </c>
      <c r="G820" s="33" t="s">
        <v>1981</v>
      </c>
      <c r="H820" s="33" t="s">
        <v>2693</v>
      </c>
      <c r="I820" s="33" t="s">
        <v>2693</v>
      </c>
      <c r="J820" s="33" t="s">
        <v>2708</v>
      </c>
      <c r="K820" s="33" t="s">
        <v>1791</v>
      </c>
      <c r="L820" s="33" t="s">
        <v>2693</v>
      </c>
      <c r="M820" s="33" t="s">
        <v>1827</v>
      </c>
      <c r="N820" s="33" t="s">
        <v>1849</v>
      </c>
      <c r="Q820" s="33" t="s">
        <v>4050</v>
      </c>
    </row>
    <row r="821" spans="1:17" hidden="1">
      <c r="A821" s="33" t="s">
        <v>4562</v>
      </c>
      <c r="B821" s="33" t="s">
        <v>4563</v>
      </c>
      <c r="C821" s="33" t="s">
        <v>1980</v>
      </c>
      <c r="D821" s="33" t="s">
        <v>2820</v>
      </c>
      <c r="E821" s="33" t="s">
        <v>2471</v>
      </c>
      <c r="F821" s="33" t="s">
        <v>1787</v>
      </c>
      <c r="G821" s="33" t="s">
        <v>2820</v>
      </c>
      <c r="H821" s="33" t="s">
        <v>2693</v>
      </c>
      <c r="I821" s="33" t="s">
        <v>2693</v>
      </c>
      <c r="J821" s="33" t="s">
        <v>4564</v>
      </c>
      <c r="K821" s="33" t="s">
        <v>2471</v>
      </c>
      <c r="L821" s="33" t="s">
        <v>2692</v>
      </c>
      <c r="M821" s="33" t="s">
        <v>1827</v>
      </c>
      <c r="N821" s="33" t="s">
        <v>1849</v>
      </c>
      <c r="Q821" s="33" t="s">
        <v>4050</v>
      </c>
    </row>
    <row r="822" spans="1:17">
      <c r="A822" s="33" t="s">
        <v>4565</v>
      </c>
      <c r="B822" s="33" t="s">
        <v>4566</v>
      </c>
      <c r="C822" s="33" t="s">
        <v>2205</v>
      </c>
      <c r="D822" s="33" t="s">
        <v>4068</v>
      </c>
      <c r="E822" s="33" t="s">
        <v>1786</v>
      </c>
      <c r="F822" s="33" t="s">
        <v>1864</v>
      </c>
      <c r="G822" s="33" t="s">
        <v>4567</v>
      </c>
      <c r="H822" s="33" t="s">
        <v>2692</v>
      </c>
      <c r="I822" s="33" t="s">
        <v>2692</v>
      </c>
      <c r="J822" s="33" t="s">
        <v>4568</v>
      </c>
      <c r="K822" s="33" t="s">
        <v>1791</v>
      </c>
      <c r="L822" s="33" t="s">
        <v>2692</v>
      </c>
      <c r="M822" s="33" t="s">
        <v>1863</v>
      </c>
      <c r="N822" s="33" t="s">
        <v>2041</v>
      </c>
      <c r="Q822" s="33" t="s">
        <v>4050</v>
      </c>
    </row>
    <row r="823" spans="1:17">
      <c r="A823" s="33" t="s">
        <v>4569</v>
      </c>
      <c r="B823" s="33" t="s">
        <v>4570</v>
      </c>
      <c r="C823" s="33" t="s">
        <v>4132</v>
      </c>
      <c r="D823" s="33" t="s">
        <v>4068</v>
      </c>
      <c r="E823" s="33" t="s">
        <v>1786</v>
      </c>
      <c r="F823" s="33" t="s">
        <v>1787</v>
      </c>
      <c r="G823" s="33" t="s">
        <v>4272</v>
      </c>
      <c r="H823" s="33" t="s">
        <v>2692</v>
      </c>
      <c r="I823" s="33" t="s">
        <v>2692</v>
      </c>
      <c r="J823" s="33" t="s">
        <v>4571</v>
      </c>
      <c r="K823" s="33" t="s">
        <v>1791</v>
      </c>
      <c r="L823" s="33" t="s">
        <v>2692</v>
      </c>
      <c r="M823" s="33" t="s">
        <v>2041</v>
      </c>
      <c r="N823" s="33" t="s">
        <v>4135</v>
      </c>
      <c r="Q823" s="33" t="s">
        <v>4050</v>
      </c>
    </row>
    <row r="824" spans="1:17">
      <c r="A824" s="33" t="s">
        <v>4572</v>
      </c>
      <c r="B824" s="33" t="s">
        <v>4573</v>
      </c>
      <c r="C824" s="33" t="s">
        <v>4061</v>
      </c>
      <c r="D824" s="33" t="s">
        <v>4068</v>
      </c>
      <c r="E824" s="33" t="s">
        <v>1786</v>
      </c>
      <c r="F824" s="33" t="s">
        <v>1856</v>
      </c>
      <c r="G824" s="33" t="s">
        <v>4062</v>
      </c>
      <c r="H824" s="33" t="s">
        <v>2692</v>
      </c>
      <c r="I824" s="33" t="s">
        <v>2692</v>
      </c>
      <c r="J824" s="33" t="s">
        <v>4574</v>
      </c>
      <c r="K824" s="33" t="s">
        <v>1791</v>
      </c>
      <c r="L824" s="33" t="s">
        <v>2692</v>
      </c>
      <c r="M824" s="33" t="s">
        <v>1811</v>
      </c>
      <c r="N824" s="33" t="s">
        <v>4065</v>
      </c>
      <c r="Q824" s="33" t="s">
        <v>4050</v>
      </c>
    </row>
    <row r="825" spans="1:17">
      <c r="A825" s="33" t="s">
        <v>4575</v>
      </c>
      <c r="B825" s="33" t="s">
        <v>4576</v>
      </c>
      <c r="C825" s="33" t="s">
        <v>1831</v>
      </c>
      <c r="D825" s="33" t="s">
        <v>4068</v>
      </c>
      <c r="E825" s="33" t="s">
        <v>1786</v>
      </c>
      <c r="F825" s="33" t="s">
        <v>2069</v>
      </c>
      <c r="G825" s="33" t="s">
        <v>1872</v>
      </c>
      <c r="H825" s="33" t="s">
        <v>2692</v>
      </c>
      <c r="I825" s="33" t="s">
        <v>2692</v>
      </c>
      <c r="J825" s="33" t="s">
        <v>4577</v>
      </c>
      <c r="K825" s="33" t="s">
        <v>1791</v>
      </c>
      <c r="L825" s="33" t="s">
        <v>2692</v>
      </c>
      <c r="M825" s="33" t="s">
        <v>2041</v>
      </c>
      <c r="N825" s="33" t="s">
        <v>1827</v>
      </c>
      <c r="Q825" s="33" t="s">
        <v>4050</v>
      </c>
    </row>
    <row r="826" spans="1:17" hidden="1">
      <c r="A826" s="33" t="s">
        <v>4578</v>
      </c>
      <c r="B826" s="33" t="s">
        <v>4579</v>
      </c>
      <c r="C826" s="33" t="s">
        <v>2374</v>
      </c>
      <c r="D826" s="33" t="s">
        <v>4068</v>
      </c>
      <c r="E826" s="33" t="s">
        <v>1808</v>
      </c>
      <c r="F826" s="33" t="s">
        <v>1787</v>
      </c>
      <c r="G826" s="33" t="s">
        <v>67</v>
      </c>
      <c r="H826" s="33" t="s">
        <v>2692</v>
      </c>
      <c r="I826" s="33" t="s">
        <v>2692</v>
      </c>
      <c r="J826" s="33" t="s">
        <v>4580</v>
      </c>
      <c r="K826" s="33" t="s">
        <v>1791</v>
      </c>
      <c r="L826" s="33" t="s">
        <v>2692</v>
      </c>
      <c r="M826" s="33" t="s">
        <v>1811</v>
      </c>
      <c r="N826" s="33" t="s">
        <v>3092</v>
      </c>
      <c r="Q826" s="33" t="s">
        <v>4050</v>
      </c>
    </row>
    <row r="827" spans="1:17" hidden="1">
      <c r="A827" s="33" t="s">
        <v>4581</v>
      </c>
      <c r="B827" s="33" t="s">
        <v>4582</v>
      </c>
      <c r="C827" s="33" t="s">
        <v>2374</v>
      </c>
      <c r="D827" s="33" t="s">
        <v>4068</v>
      </c>
      <c r="E827" s="33" t="s">
        <v>1808</v>
      </c>
      <c r="F827" s="33" t="s">
        <v>1787</v>
      </c>
      <c r="G827" s="33" t="s">
        <v>67</v>
      </c>
      <c r="H827" s="33" t="s">
        <v>2692</v>
      </c>
      <c r="I827" s="33" t="s">
        <v>2692</v>
      </c>
      <c r="J827" s="33" t="s">
        <v>4583</v>
      </c>
      <c r="K827" s="33" t="s">
        <v>1791</v>
      </c>
      <c r="L827" s="33" t="s">
        <v>2692</v>
      </c>
      <c r="M827" s="33" t="s">
        <v>1811</v>
      </c>
      <c r="N827" s="33" t="s">
        <v>1839</v>
      </c>
      <c r="Q827" s="33" t="s">
        <v>4050</v>
      </c>
    </row>
    <row r="828" spans="1:17" hidden="1">
      <c r="A828" s="33" t="s">
        <v>4584</v>
      </c>
      <c r="B828" s="33" t="s">
        <v>4585</v>
      </c>
      <c r="C828" s="33" t="s">
        <v>2374</v>
      </c>
      <c r="D828" s="33" t="s">
        <v>4068</v>
      </c>
      <c r="E828" s="33" t="s">
        <v>1808</v>
      </c>
      <c r="F828" s="33" t="s">
        <v>1787</v>
      </c>
      <c r="G828" s="33" t="s">
        <v>67</v>
      </c>
      <c r="H828" s="33" t="s">
        <v>2692</v>
      </c>
      <c r="I828" s="33" t="s">
        <v>2692</v>
      </c>
      <c r="J828" s="33" t="s">
        <v>4586</v>
      </c>
      <c r="K828" s="33" t="s">
        <v>1791</v>
      </c>
      <c r="L828" s="33" t="s">
        <v>2692</v>
      </c>
      <c r="M828" s="33" t="s">
        <v>1811</v>
      </c>
      <c r="N828" s="33" t="s">
        <v>1839</v>
      </c>
      <c r="Q828" s="33" t="s">
        <v>4050</v>
      </c>
    </row>
    <row r="829" spans="1:17" hidden="1">
      <c r="A829" s="33" t="s">
        <v>4587</v>
      </c>
      <c r="B829" s="33" t="s">
        <v>4588</v>
      </c>
      <c r="C829" s="33" t="s">
        <v>1980</v>
      </c>
      <c r="D829" s="33" t="s">
        <v>2155</v>
      </c>
      <c r="E829" s="33" t="s">
        <v>2471</v>
      </c>
      <c r="F829" s="33" t="s">
        <v>1815</v>
      </c>
      <c r="G829" s="33" t="s">
        <v>2155</v>
      </c>
      <c r="H829" s="33" t="s">
        <v>2692</v>
      </c>
      <c r="I829" s="33" t="s">
        <v>2692</v>
      </c>
      <c r="J829" s="33" t="s">
        <v>4589</v>
      </c>
      <c r="K829" s="33" t="s">
        <v>2471</v>
      </c>
      <c r="L829" s="33" t="s">
        <v>2692</v>
      </c>
      <c r="M829" s="33" t="s">
        <v>82</v>
      </c>
      <c r="N829" s="33" t="s">
        <v>1849</v>
      </c>
      <c r="Q829" s="33" t="s">
        <v>4050</v>
      </c>
    </row>
    <row r="830" spans="1:17">
      <c r="A830" s="33" t="s">
        <v>4590</v>
      </c>
      <c r="B830" s="33" t="s">
        <v>4591</v>
      </c>
      <c r="C830" s="33" t="s">
        <v>3205</v>
      </c>
      <c r="D830" s="33" t="s">
        <v>4068</v>
      </c>
      <c r="E830" s="33" t="s">
        <v>1786</v>
      </c>
      <c r="F830" s="33" t="s">
        <v>1815</v>
      </c>
      <c r="G830" s="33" t="s">
        <v>3883</v>
      </c>
      <c r="H830" s="33" t="s">
        <v>2692</v>
      </c>
      <c r="I830" s="33" t="s">
        <v>2692</v>
      </c>
      <c r="J830" s="33" t="s">
        <v>4592</v>
      </c>
      <c r="K830" s="33" t="s">
        <v>1791</v>
      </c>
      <c r="L830" s="33" t="s">
        <v>2735</v>
      </c>
      <c r="M830" s="33" t="s">
        <v>1849</v>
      </c>
      <c r="N830" s="33" t="s">
        <v>95</v>
      </c>
      <c r="Q830" s="33" t="s">
        <v>4050</v>
      </c>
    </row>
    <row r="831" spans="1:17">
      <c r="A831" s="33" t="s">
        <v>4502</v>
      </c>
      <c r="B831" s="33" t="s">
        <v>4593</v>
      </c>
      <c r="C831" s="33" t="s">
        <v>4132</v>
      </c>
      <c r="D831" s="33" t="s">
        <v>4068</v>
      </c>
      <c r="E831" s="33" t="s">
        <v>1786</v>
      </c>
      <c r="F831" s="33" t="s">
        <v>1787</v>
      </c>
      <c r="G831" s="33" t="s">
        <v>4398</v>
      </c>
      <c r="H831" s="33" t="s">
        <v>2735</v>
      </c>
      <c r="I831" s="33" t="s">
        <v>2735</v>
      </c>
      <c r="J831" s="33" t="s">
        <v>4594</v>
      </c>
      <c r="K831" s="33" t="s">
        <v>1791</v>
      </c>
      <c r="L831" s="33" t="s">
        <v>2735</v>
      </c>
      <c r="M831" s="33" t="s">
        <v>1849</v>
      </c>
      <c r="N831" s="33" t="s">
        <v>4135</v>
      </c>
      <c r="Q831" s="33" t="s">
        <v>4050</v>
      </c>
    </row>
    <row r="832" spans="1:17">
      <c r="A832" s="33" t="s">
        <v>4595</v>
      </c>
      <c r="B832" s="33" t="s">
        <v>4596</v>
      </c>
      <c r="C832" s="33" t="s">
        <v>2205</v>
      </c>
      <c r="D832" s="33" t="s">
        <v>4068</v>
      </c>
      <c r="E832" s="33" t="s">
        <v>1786</v>
      </c>
      <c r="F832" s="33" t="s">
        <v>1787</v>
      </c>
      <c r="G832" s="33" t="s">
        <v>4300</v>
      </c>
      <c r="H832" s="33" t="s">
        <v>2735</v>
      </c>
      <c r="I832" s="33" t="s">
        <v>2735</v>
      </c>
      <c r="J832" s="33" t="s">
        <v>4597</v>
      </c>
      <c r="K832" s="33" t="s">
        <v>1791</v>
      </c>
      <c r="L832" s="33" t="s">
        <v>2735</v>
      </c>
      <c r="M832" s="33" t="s">
        <v>1765</v>
      </c>
      <c r="N832" s="33" t="s">
        <v>73</v>
      </c>
      <c r="Q832" s="33" t="s">
        <v>4050</v>
      </c>
    </row>
    <row r="833" spans="1:17">
      <c r="A833" s="33" t="s">
        <v>4598</v>
      </c>
      <c r="B833" s="33" t="s">
        <v>4599</v>
      </c>
      <c r="C833" s="33" t="s">
        <v>1819</v>
      </c>
      <c r="D833" s="33" t="s">
        <v>4068</v>
      </c>
      <c r="E833" s="33" t="s">
        <v>1786</v>
      </c>
      <c r="F833" s="33" t="s">
        <v>1815</v>
      </c>
      <c r="G833" s="33" t="s">
        <v>2324</v>
      </c>
      <c r="H833" s="33" t="s">
        <v>2735</v>
      </c>
      <c r="I833" s="33" t="s">
        <v>2735</v>
      </c>
      <c r="J833" s="33" t="s">
        <v>4600</v>
      </c>
      <c r="K833" s="33" t="s">
        <v>1791</v>
      </c>
      <c r="L833" s="33" t="s">
        <v>2735</v>
      </c>
      <c r="M833" s="33" t="s">
        <v>1995</v>
      </c>
      <c r="N833" s="33" t="s">
        <v>1078</v>
      </c>
      <c r="Q833" s="33" t="s">
        <v>4050</v>
      </c>
    </row>
    <row r="834" spans="1:17">
      <c r="A834" s="33" t="s">
        <v>4601</v>
      </c>
      <c r="B834" s="33" t="s">
        <v>4602</v>
      </c>
      <c r="C834" s="33" t="s">
        <v>2374</v>
      </c>
      <c r="D834" s="33" t="s">
        <v>4068</v>
      </c>
      <c r="E834" s="33" t="s">
        <v>1786</v>
      </c>
      <c r="F834" s="33" t="s">
        <v>1787</v>
      </c>
      <c r="G834" s="33" t="s">
        <v>67</v>
      </c>
      <c r="H834" s="33" t="s">
        <v>2735</v>
      </c>
      <c r="I834" s="33" t="s">
        <v>2735</v>
      </c>
      <c r="J834" s="33" t="s">
        <v>4603</v>
      </c>
      <c r="K834" s="33" t="s">
        <v>1791</v>
      </c>
      <c r="L834" s="33" t="s">
        <v>2735</v>
      </c>
      <c r="M834" s="33" t="s">
        <v>1838</v>
      </c>
      <c r="N834" s="33" t="s">
        <v>1839</v>
      </c>
      <c r="Q834" s="33" t="s">
        <v>4050</v>
      </c>
    </row>
    <row r="835" spans="1:17">
      <c r="A835" s="33" t="s">
        <v>4601</v>
      </c>
      <c r="B835" s="33" t="s">
        <v>4604</v>
      </c>
      <c r="C835" s="33" t="s">
        <v>2374</v>
      </c>
      <c r="D835" s="33" t="s">
        <v>4068</v>
      </c>
      <c r="E835" s="33" t="s">
        <v>1786</v>
      </c>
      <c r="F835" s="33" t="s">
        <v>1787</v>
      </c>
      <c r="G835" s="33" t="s">
        <v>67</v>
      </c>
      <c r="H835" s="33" t="s">
        <v>2735</v>
      </c>
      <c r="I835" s="33" t="s">
        <v>2735</v>
      </c>
      <c r="J835" s="33" t="s">
        <v>4603</v>
      </c>
      <c r="K835" s="33" t="s">
        <v>1791</v>
      </c>
      <c r="L835" s="33" t="s">
        <v>2735</v>
      </c>
      <c r="M835" s="33" t="s">
        <v>1995</v>
      </c>
      <c r="N835" s="33" t="s">
        <v>1839</v>
      </c>
      <c r="Q835" s="33" t="s">
        <v>4050</v>
      </c>
    </row>
    <row r="836" spans="1:17">
      <c r="A836" s="33" t="s">
        <v>4605</v>
      </c>
      <c r="B836" s="33" t="s">
        <v>4606</v>
      </c>
      <c r="C836" s="33" t="s">
        <v>2374</v>
      </c>
      <c r="D836" s="33" t="s">
        <v>4068</v>
      </c>
      <c r="E836" s="33" t="s">
        <v>1786</v>
      </c>
      <c r="F836" s="33" t="s">
        <v>1787</v>
      </c>
      <c r="G836" s="33" t="s">
        <v>67</v>
      </c>
      <c r="H836" s="33" t="s">
        <v>2735</v>
      </c>
      <c r="I836" s="33" t="s">
        <v>2735</v>
      </c>
      <c r="J836" s="33" t="s">
        <v>4603</v>
      </c>
      <c r="K836" s="33" t="s">
        <v>1791</v>
      </c>
      <c r="L836" s="33" t="s">
        <v>2735</v>
      </c>
      <c r="M836" s="33" t="s">
        <v>1793</v>
      </c>
      <c r="N836" s="33" t="s">
        <v>1839</v>
      </c>
      <c r="Q836" s="33" t="s">
        <v>4050</v>
      </c>
    </row>
    <row r="837" spans="1:17">
      <c r="A837" s="33" t="s">
        <v>4605</v>
      </c>
      <c r="B837" s="33" t="s">
        <v>4607</v>
      </c>
      <c r="C837" s="33" t="s">
        <v>2374</v>
      </c>
      <c r="D837" s="33" t="s">
        <v>4068</v>
      </c>
      <c r="E837" s="33" t="s">
        <v>1786</v>
      </c>
      <c r="F837" s="33" t="s">
        <v>1787</v>
      </c>
      <c r="G837" s="33" t="s">
        <v>67</v>
      </c>
      <c r="H837" s="33" t="s">
        <v>2735</v>
      </c>
      <c r="I837" s="33" t="s">
        <v>2735</v>
      </c>
      <c r="J837" s="33" t="s">
        <v>4603</v>
      </c>
      <c r="K837" s="33" t="s">
        <v>1791</v>
      </c>
      <c r="L837" s="33" t="s">
        <v>2735</v>
      </c>
      <c r="M837" s="33" t="s">
        <v>196</v>
      </c>
      <c r="N837" s="33" t="s">
        <v>1839</v>
      </c>
      <c r="Q837" s="33" t="s">
        <v>4050</v>
      </c>
    </row>
    <row r="838" spans="1:17">
      <c r="A838" s="33" t="s">
        <v>4605</v>
      </c>
      <c r="B838" s="33" t="s">
        <v>4608</v>
      </c>
      <c r="C838" s="33" t="s">
        <v>2374</v>
      </c>
      <c r="D838" s="33" t="s">
        <v>4068</v>
      </c>
      <c r="E838" s="33" t="s">
        <v>1786</v>
      </c>
      <c r="F838" s="33" t="s">
        <v>1787</v>
      </c>
      <c r="G838" s="33" t="s">
        <v>67</v>
      </c>
      <c r="H838" s="33" t="s">
        <v>2735</v>
      </c>
      <c r="I838" s="33" t="s">
        <v>2735</v>
      </c>
      <c r="J838" s="33" t="s">
        <v>4603</v>
      </c>
      <c r="K838" s="33" t="s">
        <v>1791</v>
      </c>
      <c r="L838" s="33" t="s">
        <v>2735</v>
      </c>
      <c r="M838" s="33" t="s">
        <v>1811</v>
      </c>
      <c r="N838" s="33" t="s">
        <v>1839</v>
      </c>
      <c r="Q838" s="33" t="s">
        <v>4050</v>
      </c>
    </row>
    <row r="839" spans="1:17">
      <c r="A839" s="33" t="s">
        <v>4605</v>
      </c>
      <c r="B839" s="33" t="s">
        <v>4609</v>
      </c>
      <c r="C839" s="33" t="s">
        <v>2374</v>
      </c>
      <c r="D839" s="33" t="s">
        <v>4068</v>
      </c>
      <c r="E839" s="33" t="s">
        <v>1786</v>
      </c>
      <c r="F839" s="33" t="s">
        <v>1787</v>
      </c>
      <c r="G839" s="33" t="s">
        <v>67</v>
      </c>
      <c r="H839" s="33" t="s">
        <v>2735</v>
      </c>
      <c r="I839" s="33" t="s">
        <v>2735</v>
      </c>
      <c r="J839" s="33" t="s">
        <v>4603</v>
      </c>
      <c r="K839" s="33" t="s">
        <v>1791</v>
      </c>
      <c r="L839" s="33" t="s">
        <v>2735</v>
      </c>
      <c r="M839" s="33" t="s">
        <v>1894</v>
      </c>
      <c r="N839" s="33" t="s">
        <v>1839</v>
      </c>
      <c r="Q839" s="33" t="s">
        <v>4050</v>
      </c>
    </row>
    <row r="840" spans="1:17">
      <c r="A840" s="33" t="s">
        <v>2764</v>
      </c>
      <c r="B840" s="33" t="s">
        <v>4610</v>
      </c>
      <c r="C840" s="33" t="s">
        <v>2096</v>
      </c>
      <c r="D840" s="33" t="s">
        <v>2097</v>
      </c>
      <c r="E840" s="33" t="s">
        <v>3976</v>
      </c>
      <c r="F840" s="33" t="s">
        <v>1787</v>
      </c>
      <c r="G840" s="33" t="s">
        <v>2097</v>
      </c>
      <c r="H840" s="33" t="s">
        <v>2735</v>
      </c>
      <c r="I840" s="33" t="s">
        <v>2735</v>
      </c>
      <c r="J840" s="33" t="s">
        <v>4611</v>
      </c>
      <c r="K840" s="33" t="s">
        <v>1791</v>
      </c>
      <c r="L840" s="33" t="s">
        <v>4612</v>
      </c>
      <c r="M840" s="33" t="s">
        <v>1863</v>
      </c>
      <c r="N840" s="33" t="s">
        <v>1863</v>
      </c>
      <c r="Q840" s="33" t="s">
        <v>4050</v>
      </c>
    </row>
    <row r="841" spans="1:17">
      <c r="A841" s="33" t="s">
        <v>4613</v>
      </c>
      <c r="B841" s="33" t="s">
        <v>4614</v>
      </c>
      <c r="C841" s="33" t="s">
        <v>2096</v>
      </c>
      <c r="D841" s="33" t="s">
        <v>4068</v>
      </c>
      <c r="E841" s="33" t="s">
        <v>1786</v>
      </c>
      <c r="F841" s="33" t="s">
        <v>1787</v>
      </c>
      <c r="G841" s="33" t="s">
        <v>2097</v>
      </c>
      <c r="H841" s="33" t="s">
        <v>2735</v>
      </c>
      <c r="I841" s="33" t="s">
        <v>2735</v>
      </c>
      <c r="J841" s="33" t="s">
        <v>4615</v>
      </c>
      <c r="K841" s="33" t="s">
        <v>1791</v>
      </c>
      <c r="L841" s="33" t="s">
        <v>2735</v>
      </c>
      <c r="M841" s="33" t="s">
        <v>1863</v>
      </c>
      <c r="N841" s="33" t="s">
        <v>1863</v>
      </c>
      <c r="Q841" s="33" t="s">
        <v>4050</v>
      </c>
    </row>
    <row r="842" spans="1:17" hidden="1">
      <c r="A842" s="33" t="s">
        <v>4616</v>
      </c>
      <c r="B842" s="33" t="s">
        <v>4617</v>
      </c>
      <c r="C842" s="33" t="s">
        <v>2205</v>
      </c>
      <c r="D842" s="33" t="s">
        <v>4618</v>
      </c>
      <c r="E842" s="33" t="s">
        <v>2471</v>
      </c>
      <c r="F842" s="33" t="s">
        <v>1815</v>
      </c>
      <c r="G842" s="33" t="s">
        <v>4618</v>
      </c>
      <c r="H842" s="33" t="s">
        <v>2769</v>
      </c>
      <c r="I842" s="33" t="s">
        <v>2769</v>
      </c>
      <c r="J842" s="33" t="s">
        <v>4619</v>
      </c>
      <c r="K842" s="33" t="s">
        <v>2471</v>
      </c>
      <c r="L842" s="33" t="s">
        <v>2769</v>
      </c>
      <c r="M842" s="33" t="s">
        <v>49</v>
      </c>
      <c r="N842" s="33" t="s">
        <v>2041</v>
      </c>
      <c r="Q842" s="33" t="s">
        <v>4050</v>
      </c>
    </row>
    <row r="843" spans="1:17">
      <c r="A843" s="33" t="s">
        <v>4620</v>
      </c>
      <c r="B843" s="33" t="s">
        <v>4621</v>
      </c>
      <c r="C843" s="33" t="s">
        <v>3205</v>
      </c>
      <c r="D843" s="33" t="s">
        <v>4068</v>
      </c>
      <c r="E843" s="33" t="s">
        <v>1786</v>
      </c>
      <c r="F843" s="33" t="s">
        <v>1787</v>
      </c>
      <c r="G843" s="33" t="s">
        <v>3883</v>
      </c>
      <c r="H843" s="33" t="s">
        <v>2769</v>
      </c>
      <c r="I843" s="33" t="s">
        <v>2769</v>
      </c>
      <c r="J843" s="33" t="s">
        <v>4622</v>
      </c>
      <c r="K843" s="33" t="s">
        <v>1791</v>
      </c>
      <c r="L843" s="33" t="s">
        <v>2769</v>
      </c>
      <c r="M843" s="33" t="s">
        <v>4172</v>
      </c>
      <c r="N843" s="33" t="s">
        <v>95</v>
      </c>
      <c r="Q843" s="33" t="s">
        <v>4050</v>
      </c>
    </row>
    <row r="844" spans="1:17">
      <c r="A844" s="33" t="s">
        <v>4623</v>
      </c>
      <c r="B844" s="33" t="s">
        <v>4624</v>
      </c>
      <c r="C844" s="33" t="s">
        <v>3205</v>
      </c>
      <c r="D844" s="33" t="s">
        <v>4068</v>
      </c>
      <c r="E844" s="33" t="s">
        <v>1786</v>
      </c>
      <c r="F844" s="33" t="s">
        <v>1787</v>
      </c>
      <c r="G844" s="33" t="s">
        <v>3883</v>
      </c>
      <c r="H844" s="33" t="s">
        <v>2769</v>
      </c>
      <c r="I844" s="33" t="s">
        <v>2769</v>
      </c>
      <c r="J844" s="33" t="s">
        <v>4625</v>
      </c>
      <c r="K844" s="33" t="s">
        <v>1791</v>
      </c>
      <c r="L844" s="33" t="s">
        <v>2769</v>
      </c>
      <c r="M844" s="33" t="s">
        <v>4172</v>
      </c>
      <c r="N844" s="33" t="s">
        <v>95</v>
      </c>
      <c r="Q844" s="33" t="s">
        <v>4050</v>
      </c>
    </row>
    <row r="845" spans="1:17">
      <c r="A845" s="33" t="s">
        <v>4626</v>
      </c>
      <c r="B845" s="33" t="s">
        <v>4627</v>
      </c>
      <c r="C845" s="33" t="s">
        <v>1949</v>
      </c>
      <c r="D845" s="33" t="s">
        <v>4068</v>
      </c>
      <c r="E845" s="33" t="s">
        <v>1786</v>
      </c>
      <c r="F845" s="33" t="s">
        <v>1787</v>
      </c>
      <c r="G845" s="33" t="s">
        <v>67</v>
      </c>
      <c r="H845" s="33" t="s">
        <v>2769</v>
      </c>
      <c r="I845" s="33" t="s">
        <v>2769</v>
      </c>
      <c r="J845" s="33" t="s">
        <v>4628</v>
      </c>
      <c r="K845" s="33" t="s">
        <v>1791</v>
      </c>
      <c r="L845" s="33" t="s">
        <v>2473</v>
      </c>
      <c r="M845" s="33" t="s">
        <v>1838</v>
      </c>
      <c r="N845" s="33" t="s">
        <v>55</v>
      </c>
      <c r="Q845" s="33" t="s">
        <v>4050</v>
      </c>
    </row>
    <row r="846" spans="1:17">
      <c r="A846" s="33" t="s">
        <v>4629</v>
      </c>
      <c r="B846" s="33" t="s">
        <v>4630</v>
      </c>
      <c r="C846" s="33" t="s">
        <v>1949</v>
      </c>
      <c r="D846" s="33" t="s">
        <v>4068</v>
      </c>
      <c r="E846" s="33" t="s">
        <v>1786</v>
      </c>
      <c r="F846" s="33" t="s">
        <v>1815</v>
      </c>
      <c r="G846" s="33" t="s">
        <v>67</v>
      </c>
      <c r="H846" s="33" t="s">
        <v>2769</v>
      </c>
      <c r="I846" s="33" t="s">
        <v>2769</v>
      </c>
      <c r="J846" s="33" t="s">
        <v>4631</v>
      </c>
      <c r="K846" s="33" t="s">
        <v>1791</v>
      </c>
      <c r="L846" s="33" t="s">
        <v>2473</v>
      </c>
      <c r="M846" s="33" t="s">
        <v>1849</v>
      </c>
      <c r="N846" s="33" t="s">
        <v>55</v>
      </c>
      <c r="Q846" s="33" t="s">
        <v>4050</v>
      </c>
    </row>
    <row r="847" spans="1:17">
      <c r="A847" s="33" t="s">
        <v>4629</v>
      </c>
      <c r="B847" s="33" t="s">
        <v>4632</v>
      </c>
      <c r="C847" s="33" t="s">
        <v>1949</v>
      </c>
      <c r="D847" s="33" t="s">
        <v>4068</v>
      </c>
      <c r="E847" s="33" t="s">
        <v>1786</v>
      </c>
      <c r="F847" s="33" t="s">
        <v>1787</v>
      </c>
      <c r="G847" s="33" t="s">
        <v>67</v>
      </c>
      <c r="H847" s="33" t="s">
        <v>2769</v>
      </c>
      <c r="I847" s="33" t="s">
        <v>2769</v>
      </c>
      <c r="J847" s="33" t="s">
        <v>4633</v>
      </c>
      <c r="K847" s="33" t="s">
        <v>1791</v>
      </c>
      <c r="L847" s="33" t="s">
        <v>2473</v>
      </c>
      <c r="M847" s="33" t="s">
        <v>1827</v>
      </c>
      <c r="N847" s="33" t="s">
        <v>55</v>
      </c>
      <c r="Q847" s="33" t="s">
        <v>4050</v>
      </c>
    </row>
    <row r="848" spans="1:17">
      <c r="A848" s="33" t="s">
        <v>4634</v>
      </c>
      <c r="B848" s="33" t="s">
        <v>4635</v>
      </c>
      <c r="C848" s="33" t="s">
        <v>1980</v>
      </c>
      <c r="D848" s="33" t="s">
        <v>4068</v>
      </c>
      <c r="E848" s="33" t="s">
        <v>1786</v>
      </c>
      <c r="F848" s="33" t="s">
        <v>1815</v>
      </c>
      <c r="G848" s="33" t="s">
        <v>4636</v>
      </c>
      <c r="H848" s="33" t="s">
        <v>2769</v>
      </c>
      <c r="I848" s="33" t="s">
        <v>2769</v>
      </c>
      <c r="J848" s="33" t="s">
        <v>4637</v>
      </c>
      <c r="K848" s="33" t="s">
        <v>1791</v>
      </c>
      <c r="L848" s="33" t="s">
        <v>2473</v>
      </c>
      <c r="M848" s="33" t="s">
        <v>1849</v>
      </c>
      <c r="N848" s="33" t="s">
        <v>1849</v>
      </c>
      <c r="Q848" s="33" t="s">
        <v>4050</v>
      </c>
    </row>
    <row r="849" spans="1:17">
      <c r="A849" s="33" t="s">
        <v>4360</v>
      </c>
      <c r="B849" s="33" t="s">
        <v>4638</v>
      </c>
      <c r="C849" s="33" t="s">
        <v>3205</v>
      </c>
      <c r="D849" s="33" t="s">
        <v>4068</v>
      </c>
      <c r="E849" s="33" t="s">
        <v>1786</v>
      </c>
      <c r="F849" s="33" t="s">
        <v>1815</v>
      </c>
      <c r="G849" s="33" t="s">
        <v>4056</v>
      </c>
      <c r="H849" s="33" t="s">
        <v>2473</v>
      </c>
      <c r="I849" s="33" t="s">
        <v>2473</v>
      </c>
      <c r="J849" s="33" t="s">
        <v>4639</v>
      </c>
      <c r="K849" s="33" t="s">
        <v>1791</v>
      </c>
      <c r="L849" s="33" t="s">
        <v>2473</v>
      </c>
      <c r="M849" s="33" t="s">
        <v>1849</v>
      </c>
      <c r="N849" s="33" t="s">
        <v>95</v>
      </c>
      <c r="Q849" s="33" t="s">
        <v>4050</v>
      </c>
    </row>
    <row r="850" spans="1:17">
      <c r="A850" s="33" t="s">
        <v>4640</v>
      </c>
      <c r="B850" s="33" t="s">
        <v>4641</v>
      </c>
      <c r="C850" s="33" t="s">
        <v>2273</v>
      </c>
      <c r="D850" s="33" t="s">
        <v>4068</v>
      </c>
      <c r="E850" s="33" t="s">
        <v>1786</v>
      </c>
      <c r="F850" s="33" t="s">
        <v>1787</v>
      </c>
      <c r="G850" s="33" t="s">
        <v>2274</v>
      </c>
      <c r="H850" s="33" t="s">
        <v>2473</v>
      </c>
      <c r="I850" s="33" t="s">
        <v>2473</v>
      </c>
      <c r="J850" s="33" t="s">
        <v>4642</v>
      </c>
      <c r="K850" s="33" t="s">
        <v>1791</v>
      </c>
      <c r="L850" s="33" t="s">
        <v>2473</v>
      </c>
      <c r="M850" s="33" t="s">
        <v>4119</v>
      </c>
      <c r="N850" s="33" t="s">
        <v>1811</v>
      </c>
      <c r="Q850" s="33" t="s">
        <v>4050</v>
      </c>
    </row>
    <row r="851" spans="1:17" hidden="1">
      <c r="A851" s="33" t="s">
        <v>2818</v>
      </c>
      <c r="B851" s="33" t="s">
        <v>4643</v>
      </c>
      <c r="C851" s="33" t="s">
        <v>1980</v>
      </c>
      <c r="D851" s="33" t="s">
        <v>4068</v>
      </c>
      <c r="E851" s="33" t="s">
        <v>1808</v>
      </c>
      <c r="F851" s="33" t="s">
        <v>1787</v>
      </c>
      <c r="G851" s="33" t="s">
        <v>2820</v>
      </c>
      <c r="H851" s="33" t="s">
        <v>2473</v>
      </c>
      <c r="I851" s="33" t="s">
        <v>2473</v>
      </c>
      <c r="J851" s="33" t="s">
        <v>2821</v>
      </c>
      <c r="K851" s="33" t="s">
        <v>1791</v>
      </c>
      <c r="L851" s="33" t="s">
        <v>2473</v>
      </c>
      <c r="M851" s="33" t="s">
        <v>82</v>
      </c>
      <c r="N851" s="33" t="s">
        <v>1849</v>
      </c>
      <c r="Q851" s="33" t="s">
        <v>4050</v>
      </c>
    </row>
    <row r="852" spans="1:17">
      <c r="A852" s="33" t="s">
        <v>4421</v>
      </c>
      <c r="B852" s="33" t="s">
        <v>4644</v>
      </c>
      <c r="C852" s="33" t="s">
        <v>2205</v>
      </c>
      <c r="D852" s="33" t="s">
        <v>4068</v>
      </c>
      <c r="E852" s="33" t="s">
        <v>1786</v>
      </c>
      <c r="F852" s="33" t="s">
        <v>1856</v>
      </c>
      <c r="G852" s="33" t="s">
        <v>14</v>
      </c>
      <c r="H852" s="33" t="s">
        <v>2473</v>
      </c>
      <c r="I852" s="33" t="s">
        <v>2473</v>
      </c>
      <c r="J852" s="33" t="s">
        <v>4645</v>
      </c>
      <c r="K852" s="33" t="s">
        <v>1791</v>
      </c>
      <c r="L852" s="33" t="s">
        <v>2473</v>
      </c>
      <c r="M852" s="33" t="s">
        <v>1849</v>
      </c>
      <c r="N852" s="33" t="s">
        <v>4172</v>
      </c>
      <c r="Q852" s="33" t="s">
        <v>4050</v>
      </c>
    </row>
    <row r="853" spans="1:17">
      <c r="A853" s="33" t="s">
        <v>4424</v>
      </c>
      <c r="B853" s="33" t="s">
        <v>4646</v>
      </c>
      <c r="C853" s="33" t="s">
        <v>2205</v>
      </c>
      <c r="D853" s="33" t="s">
        <v>4068</v>
      </c>
      <c r="E853" s="33" t="s">
        <v>1786</v>
      </c>
      <c r="F853" s="33" t="s">
        <v>1864</v>
      </c>
      <c r="G853" s="33" t="s">
        <v>14</v>
      </c>
      <c r="H853" s="33" t="s">
        <v>2473</v>
      </c>
      <c r="I853" s="33" t="s">
        <v>2473</v>
      </c>
      <c r="J853" s="33" t="s">
        <v>4647</v>
      </c>
      <c r="K853" s="33" t="s">
        <v>1791</v>
      </c>
      <c r="L853" s="33" t="s">
        <v>2473</v>
      </c>
      <c r="M853" s="33" t="s">
        <v>1849</v>
      </c>
      <c r="N853" s="33" t="s">
        <v>4172</v>
      </c>
      <c r="Q853" s="33" t="s">
        <v>4050</v>
      </c>
    </row>
    <row r="854" spans="1:17">
      <c r="A854" s="33" t="s">
        <v>4648</v>
      </c>
      <c r="B854" s="33" t="s">
        <v>4649</v>
      </c>
      <c r="C854" s="33" t="s">
        <v>3205</v>
      </c>
      <c r="D854" s="33" t="s">
        <v>4068</v>
      </c>
      <c r="E854" s="33" t="s">
        <v>1786</v>
      </c>
      <c r="F854" s="33" t="s">
        <v>1787</v>
      </c>
      <c r="G854" s="33" t="s">
        <v>96</v>
      </c>
      <c r="H854" s="33" t="s">
        <v>2473</v>
      </c>
      <c r="I854" s="33" t="s">
        <v>2473</v>
      </c>
      <c r="J854" s="33" t="s">
        <v>4650</v>
      </c>
      <c r="K854" s="33" t="s">
        <v>1791</v>
      </c>
      <c r="L854" s="33" t="s">
        <v>2473</v>
      </c>
      <c r="M854" s="33" t="s">
        <v>1863</v>
      </c>
      <c r="N854" s="33" t="s">
        <v>95</v>
      </c>
      <c r="Q854" s="33" t="s">
        <v>4050</v>
      </c>
    </row>
    <row r="855" spans="1:17">
      <c r="A855" s="33" t="s">
        <v>4651</v>
      </c>
      <c r="B855" s="33" t="s">
        <v>4652</v>
      </c>
      <c r="C855" s="33" t="s">
        <v>3205</v>
      </c>
      <c r="D855" s="33" t="s">
        <v>4068</v>
      </c>
      <c r="E855" s="33" t="s">
        <v>1786</v>
      </c>
      <c r="F855" s="33" t="s">
        <v>1787</v>
      </c>
      <c r="G855" s="33" t="s">
        <v>96</v>
      </c>
      <c r="H855" s="33" t="s">
        <v>2473</v>
      </c>
      <c r="I855" s="33" t="s">
        <v>2473</v>
      </c>
      <c r="J855" s="33" t="s">
        <v>4653</v>
      </c>
      <c r="K855" s="33" t="s">
        <v>1791</v>
      </c>
      <c r="L855" s="33" t="s">
        <v>2473</v>
      </c>
      <c r="M855" s="33" t="s">
        <v>1838</v>
      </c>
      <c r="N855" s="33" t="s">
        <v>95</v>
      </c>
      <c r="Q855" s="33" t="s">
        <v>4050</v>
      </c>
    </row>
    <row r="856" spans="1:17">
      <c r="A856" s="33" t="s">
        <v>4654</v>
      </c>
      <c r="B856" s="33" t="s">
        <v>4655</v>
      </c>
      <c r="C856" s="33" t="s">
        <v>3205</v>
      </c>
      <c r="D856" s="33" t="s">
        <v>4068</v>
      </c>
      <c r="E856" s="33" t="s">
        <v>1786</v>
      </c>
      <c r="F856" s="33" t="s">
        <v>1787</v>
      </c>
      <c r="G856" s="33" t="s">
        <v>96</v>
      </c>
      <c r="H856" s="33" t="s">
        <v>2473</v>
      </c>
      <c r="I856" s="33" t="s">
        <v>2473</v>
      </c>
      <c r="J856" s="33" t="s">
        <v>4656</v>
      </c>
      <c r="K856" s="33" t="s">
        <v>1791</v>
      </c>
      <c r="L856" s="33" t="s">
        <v>2473</v>
      </c>
      <c r="M856" s="33" t="s">
        <v>1827</v>
      </c>
      <c r="N856" s="33" t="s">
        <v>95</v>
      </c>
      <c r="Q856" s="33" t="s">
        <v>4050</v>
      </c>
    </row>
    <row r="857" spans="1:17">
      <c r="A857" s="33" t="s">
        <v>4657</v>
      </c>
      <c r="B857" s="33" t="s">
        <v>4658</v>
      </c>
      <c r="C857" s="33" t="s">
        <v>4405</v>
      </c>
      <c r="D857" s="33" t="s">
        <v>4068</v>
      </c>
      <c r="E857" s="33" t="s">
        <v>1786</v>
      </c>
      <c r="F857" s="33" t="s">
        <v>1787</v>
      </c>
      <c r="G857" s="33" t="s">
        <v>4406</v>
      </c>
      <c r="H857" s="33" t="s">
        <v>2473</v>
      </c>
      <c r="I857" s="33" t="s">
        <v>2473</v>
      </c>
      <c r="J857" s="33" t="s">
        <v>4659</v>
      </c>
      <c r="K857" s="33" t="s">
        <v>1791</v>
      </c>
      <c r="L857" s="33" t="s">
        <v>2473</v>
      </c>
      <c r="M857" s="33" t="s">
        <v>1849</v>
      </c>
      <c r="N857" s="33" t="s">
        <v>77</v>
      </c>
      <c r="Q857" s="33" t="s">
        <v>4050</v>
      </c>
    </row>
    <row r="858" spans="1:17">
      <c r="A858" s="33" t="s">
        <v>4657</v>
      </c>
      <c r="B858" s="33" t="s">
        <v>4660</v>
      </c>
      <c r="C858" s="33" t="s">
        <v>4405</v>
      </c>
      <c r="D858" s="33" t="s">
        <v>4068</v>
      </c>
      <c r="E858" s="33" t="s">
        <v>1786</v>
      </c>
      <c r="F858" s="33" t="s">
        <v>1787</v>
      </c>
      <c r="G858" s="33" t="s">
        <v>4406</v>
      </c>
      <c r="H858" s="33" t="s">
        <v>2473</v>
      </c>
      <c r="I858" s="33" t="s">
        <v>2473</v>
      </c>
      <c r="J858" s="33" t="s">
        <v>4661</v>
      </c>
      <c r="K858" s="33" t="s">
        <v>1791</v>
      </c>
      <c r="L858" s="33" t="s">
        <v>2473</v>
      </c>
      <c r="M858" s="33" t="s">
        <v>1849</v>
      </c>
      <c r="N858" s="33" t="s">
        <v>77</v>
      </c>
      <c r="Q858" s="33" t="s">
        <v>4050</v>
      </c>
    </row>
    <row r="859" spans="1:17" hidden="1">
      <c r="A859" s="33" t="s">
        <v>2823</v>
      </c>
      <c r="B859" s="33" t="s">
        <v>4662</v>
      </c>
      <c r="C859" s="33" t="s">
        <v>2825</v>
      </c>
      <c r="D859" s="33" t="s">
        <v>4068</v>
      </c>
      <c r="E859" s="33" t="s">
        <v>1808</v>
      </c>
      <c r="F859" s="33" t="s">
        <v>1787</v>
      </c>
      <c r="G859" s="33" t="s">
        <v>71</v>
      </c>
      <c r="H859" s="33" t="s">
        <v>2473</v>
      </c>
      <c r="I859" s="33" t="s">
        <v>2473</v>
      </c>
      <c r="J859" s="33" t="s">
        <v>2826</v>
      </c>
      <c r="K859" s="33" t="s">
        <v>1791</v>
      </c>
      <c r="L859" s="33" t="s">
        <v>2473</v>
      </c>
      <c r="M859" s="33" t="s">
        <v>196</v>
      </c>
      <c r="N859" s="33" t="s">
        <v>2827</v>
      </c>
      <c r="Q859" s="33" t="s">
        <v>4050</v>
      </c>
    </row>
    <row r="860" spans="1:17">
      <c r="A860" s="33" t="s">
        <v>4663</v>
      </c>
      <c r="B860" s="33" t="s">
        <v>4664</v>
      </c>
      <c r="C860" s="33" t="s">
        <v>3205</v>
      </c>
      <c r="D860" s="33" t="s">
        <v>4068</v>
      </c>
      <c r="E860" s="33" t="s">
        <v>1786</v>
      </c>
      <c r="F860" s="33" t="s">
        <v>1815</v>
      </c>
      <c r="G860" s="33" t="s">
        <v>4551</v>
      </c>
      <c r="H860" s="33" t="s">
        <v>2473</v>
      </c>
      <c r="I860" s="33" t="s">
        <v>2473</v>
      </c>
      <c r="J860" s="33" t="s">
        <v>4665</v>
      </c>
      <c r="K860" s="33" t="s">
        <v>1791</v>
      </c>
      <c r="L860" s="33" t="s">
        <v>2473</v>
      </c>
      <c r="M860" s="33" t="s">
        <v>1995</v>
      </c>
      <c r="N860" s="33" t="s">
        <v>95</v>
      </c>
      <c r="Q860" s="33" t="s">
        <v>4050</v>
      </c>
    </row>
    <row r="861" spans="1:17">
      <c r="A861" s="33" t="s">
        <v>4421</v>
      </c>
      <c r="B861" s="33" t="s">
        <v>4666</v>
      </c>
      <c r="C861" s="33" t="s">
        <v>2205</v>
      </c>
      <c r="D861" s="33" t="s">
        <v>4068</v>
      </c>
      <c r="E861" s="33" t="s">
        <v>1786</v>
      </c>
      <c r="F861" s="33" t="s">
        <v>1856</v>
      </c>
      <c r="G861" s="33" t="s">
        <v>14</v>
      </c>
      <c r="H861" s="33" t="s">
        <v>2473</v>
      </c>
      <c r="I861" s="33" t="s">
        <v>2473</v>
      </c>
      <c r="J861" s="33" t="s">
        <v>4667</v>
      </c>
      <c r="K861" s="33" t="s">
        <v>1791</v>
      </c>
      <c r="L861" s="33" t="s">
        <v>2473</v>
      </c>
      <c r="M861" s="33" t="s">
        <v>1849</v>
      </c>
      <c r="N861" s="33" t="s">
        <v>4172</v>
      </c>
      <c r="Q861" s="33" t="s">
        <v>4050</v>
      </c>
    </row>
    <row r="862" spans="1:17">
      <c r="A862" s="33" t="s">
        <v>2678</v>
      </c>
      <c r="B862" s="33" t="s">
        <v>4668</v>
      </c>
      <c r="C862" s="33" t="s">
        <v>1831</v>
      </c>
      <c r="D862" s="33" t="s">
        <v>4068</v>
      </c>
      <c r="E862" s="33" t="s">
        <v>1786</v>
      </c>
      <c r="F862" s="33" t="s">
        <v>1787</v>
      </c>
      <c r="G862" s="33" t="s">
        <v>1872</v>
      </c>
      <c r="H862" s="33" t="s">
        <v>2473</v>
      </c>
      <c r="I862" s="33" t="s">
        <v>2666</v>
      </c>
      <c r="J862" s="33" t="s">
        <v>2680</v>
      </c>
      <c r="K862" s="33" t="s">
        <v>1791</v>
      </c>
      <c r="L862" s="33" t="s">
        <v>2830</v>
      </c>
      <c r="M862" s="33" t="s">
        <v>2037</v>
      </c>
      <c r="N862" s="33" t="s">
        <v>1827</v>
      </c>
      <c r="Q862" s="33" t="s">
        <v>4050</v>
      </c>
    </row>
    <row r="863" spans="1:17">
      <c r="A863" s="33" t="s">
        <v>4669</v>
      </c>
      <c r="B863" s="33" t="s">
        <v>4670</v>
      </c>
      <c r="C863" s="33" t="s">
        <v>2147</v>
      </c>
      <c r="D863" s="33" t="s">
        <v>4068</v>
      </c>
      <c r="E863" s="33" t="s">
        <v>1786</v>
      </c>
      <c r="F863" s="33" t="s">
        <v>1787</v>
      </c>
      <c r="G863" s="33" t="s">
        <v>86</v>
      </c>
      <c r="H863" s="33" t="s">
        <v>2830</v>
      </c>
      <c r="I863" s="33" t="s">
        <v>2830</v>
      </c>
      <c r="J863" s="33" t="s">
        <v>4671</v>
      </c>
      <c r="K863" s="33" t="s">
        <v>1791</v>
      </c>
      <c r="L863" s="33" t="s">
        <v>2830</v>
      </c>
      <c r="M863" s="33" t="s">
        <v>1811</v>
      </c>
      <c r="N863" s="33" t="s">
        <v>4355</v>
      </c>
      <c r="Q863" s="33" t="s">
        <v>4050</v>
      </c>
    </row>
    <row r="864" spans="1:17">
      <c r="A864" s="33" t="s">
        <v>4672</v>
      </c>
      <c r="B864" s="33" t="s">
        <v>4673</v>
      </c>
      <c r="C864" s="33" t="s">
        <v>3205</v>
      </c>
      <c r="D864" s="33" t="s">
        <v>4068</v>
      </c>
      <c r="E864" s="33" t="s">
        <v>1786</v>
      </c>
      <c r="F864" s="33" t="s">
        <v>1815</v>
      </c>
      <c r="G864" s="33" t="s">
        <v>3883</v>
      </c>
      <c r="H864" s="33" t="s">
        <v>2830</v>
      </c>
      <c r="I864" s="33" t="s">
        <v>2830</v>
      </c>
      <c r="J864" s="33" t="s">
        <v>4674</v>
      </c>
      <c r="K864" s="33" t="s">
        <v>1791</v>
      </c>
      <c r="L864" s="33" t="s">
        <v>2964</v>
      </c>
      <c r="M864" s="33" t="s">
        <v>1863</v>
      </c>
      <c r="N864" s="33" t="s">
        <v>95</v>
      </c>
      <c r="Q864" s="33" t="s">
        <v>4050</v>
      </c>
    </row>
    <row r="865" spans="1:17">
      <c r="A865" s="33" t="s">
        <v>4675</v>
      </c>
      <c r="B865" s="33" t="s">
        <v>4676</v>
      </c>
      <c r="C865" s="33" t="s">
        <v>3508</v>
      </c>
      <c r="D865" s="33" t="s">
        <v>4068</v>
      </c>
      <c r="E865" s="33" t="s">
        <v>1786</v>
      </c>
      <c r="F865" s="33" t="s">
        <v>1787</v>
      </c>
      <c r="G865" s="33" t="s">
        <v>4677</v>
      </c>
      <c r="H865" s="33" t="s">
        <v>2981</v>
      </c>
      <c r="I865" s="33" t="s">
        <v>2981</v>
      </c>
      <c r="J865" s="33" t="s">
        <v>4678</v>
      </c>
      <c r="K865" s="33" t="s">
        <v>1791</v>
      </c>
      <c r="L865" s="33" t="s">
        <v>2964</v>
      </c>
      <c r="M865" s="33" t="s">
        <v>2050</v>
      </c>
      <c r="N865" s="33" t="s">
        <v>80</v>
      </c>
      <c r="Q865" s="33" t="s">
        <v>4050</v>
      </c>
    </row>
    <row r="866" spans="1:17" hidden="1">
      <c r="A866" s="33" t="s">
        <v>2979</v>
      </c>
      <c r="B866" s="33" t="s">
        <v>4679</v>
      </c>
      <c r="C866" s="33" t="s">
        <v>1980</v>
      </c>
      <c r="D866" s="33" t="s">
        <v>4068</v>
      </c>
      <c r="E866" s="33" t="s">
        <v>1808</v>
      </c>
      <c r="F866" s="33" t="s">
        <v>1787</v>
      </c>
      <c r="G866" s="33" t="s">
        <v>2820</v>
      </c>
      <c r="H866" s="33" t="s">
        <v>2981</v>
      </c>
      <c r="I866" s="33" t="s">
        <v>2981</v>
      </c>
      <c r="J866" s="33" t="s">
        <v>2982</v>
      </c>
      <c r="K866" s="33" t="s">
        <v>1791</v>
      </c>
      <c r="L866" s="33" t="s">
        <v>2981</v>
      </c>
      <c r="M866" s="33" t="s">
        <v>1811</v>
      </c>
      <c r="N866" s="33" t="s">
        <v>1849</v>
      </c>
      <c r="Q866" s="33" t="s">
        <v>4050</v>
      </c>
    </row>
    <row r="867" spans="1:17">
      <c r="A867" s="33" t="s">
        <v>4680</v>
      </c>
      <c r="B867" s="33" t="s">
        <v>4681</v>
      </c>
      <c r="C867" s="33" t="s">
        <v>3205</v>
      </c>
      <c r="D867" s="33" t="s">
        <v>4068</v>
      </c>
      <c r="E867" s="33" t="s">
        <v>1786</v>
      </c>
      <c r="F867" s="33" t="s">
        <v>1815</v>
      </c>
      <c r="G867" s="33" t="s">
        <v>3883</v>
      </c>
      <c r="H867" s="33" t="s">
        <v>4682</v>
      </c>
      <c r="I867" s="33" t="s">
        <v>4682</v>
      </c>
      <c r="J867" s="33" t="s">
        <v>4683</v>
      </c>
      <c r="K867" s="33" t="s">
        <v>1791</v>
      </c>
      <c r="L867" s="33" t="s">
        <v>2964</v>
      </c>
      <c r="M867" s="33" t="s">
        <v>196</v>
      </c>
      <c r="N867" s="33" t="s">
        <v>95</v>
      </c>
      <c r="Q867" s="33" t="s">
        <v>4050</v>
      </c>
    </row>
    <row r="868" spans="1:17">
      <c r="A868" s="33" t="s">
        <v>4684</v>
      </c>
      <c r="B868" s="33" t="s">
        <v>4685</v>
      </c>
      <c r="C868" s="33" t="s">
        <v>2205</v>
      </c>
      <c r="D868" s="33" t="s">
        <v>4068</v>
      </c>
      <c r="E868" s="33" t="s">
        <v>1786</v>
      </c>
      <c r="F868" s="33" t="s">
        <v>1815</v>
      </c>
      <c r="G868" s="33" t="s">
        <v>14</v>
      </c>
      <c r="H868" s="33" t="s">
        <v>2964</v>
      </c>
      <c r="I868" s="33" t="s">
        <v>2964</v>
      </c>
      <c r="J868" s="33" t="s">
        <v>4686</v>
      </c>
      <c r="K868" s="33" t="s">
        <v>1791</v>
      </c>
      <c r="L868" s="33" t="s">
        <v>2964</v>
      </c>
      <c r="M868" s="33" t="s">
        <v>1849</v>
      </c>
      <c r="N868" s="33" t="s">
        <v>4172</v>
      </c>
      <c r="Q868" s="33" t="s">
        <v>4050</v>
      </c>
    </row>
    <row r="869" spans="1:17">
      <c r="A869" s="33" t="s">
        <v>4687</v>
      </c>
      <c r="B869" s="33" t="s">
        <v>4688</v>
      </c>
      <c r="C869" s="33" t="s">
        <v>1980</v>
      </c>
      <c r="D869" s="33" t="s">
        <v>4068</v>
      </c>
      <c r="E869" s="33" t="s">
        <v>1786</v>
      </c>
      <c r="F869" s="33" t="s">
        <v>1787</v>
      </c>
      <c r="G869" s="33" t="s">
        <v>2820</v>
      </c>
      <c r="H869" s="33" t="s">
        <v>2964</v>
      </c>
      <c r="I869" s="33" t="s">
        <v>2964</v>
      </c>
      <c r="J869" s="33" t="s">
        <v>4689</v>
      </c>
      <c r="K869" s="33" t="s">
        <v>1791</v>
      </c>
      <c r="L869" s="33" t="s">
        <v>3006</v>
      </c>
      <c r="M869" s="33" t="s">
        <v>82</v>
      </c>
      <c r="N869" s="33" t="s">
        <v>1849</v>
      </c>
      <c r="Q869" s="33" t="s">
        <v>4050</v>
      </c>
    </row>
    <row r="870" spans="1:17" hidden="1">
      <c r="A870" s="33" t="s">
        <v>4690</v>
      </c>
      <c r="B870" s="33" t="s">
        <v>4691</v>
      </c>
      <c r="C870" s="33" t="s">
        <v>2205</v>
      </c>
      <c r="D870" s="33" t="s">
        <v>4068</v>
      </c>
      <c r="E870" s="33" t="s">
        <v>1836</v>
      </c>
      <c r="F870" s="33" t="s">
        <v>1815</v>
      </c>
      <c r="G870" s="33" t="s">
        <v>4618</v>
      </c>
      <c r="H870" s="33" t="s">
        <v>3006</v>
      </c>
      <c r="I870" s="33" t="s">
        <v>3006</v>
      </c>
      <c r="J870" s="33" t="s">
        <v>4692</v>
      </c>
      <c r="K870" s="33" t="s">
        <v>1791</v>
      </c>
      <c r="L870" s="33" t="s">
        <v>3006</v>
      </c>
      <c r="M870" s="33" t="s">
        <v>1849</v>
      </c>
      <c r="N870" s="33" t="s">
        <v>2041</v>
      </c>
      <c r="Q870" s="33" t="s">
        <v>4050</v>
      </c>
    </row>
    <row r="871" spans="1:17" hidden="1">
      <c r="A871" s="33" t="s">
        <v>3032</v>
      </c>
      <c r="B871" s="33" t="s">
        <v>4693</v>
      </c>
      <c r="C871" s="33" t="s">
        <v>2147</v>
      </c>
      <c r="D871" s="33" t="s">
        <v>4068</v>
      </c>
      <c r="E871" s="33" t="s">
        <v>1808</v>
      </c>
      <c r="F871" s="33" t="s">
        <v>1787</v>
      </c>
      <c r="G871" s="33" t="s">
        <v>86</v>
      </c>
      <c r="H871" s="33" t="s">
        <v>3006</v>
      </c>
      <c r="I871" s="33" t="s">
        <v>3006</v>
      </c>
      <c r="J871" s="33" t="s">
        <v>3034</v>
      </c>
      <c r="K871" s="33" t="s">
        <v>1791</v>
      </c>
      <c r="L871" s="33" t="s">
        <v>3006</v>
      </c>
      <c r="M871" s="33" t="s">
        <v>1811</v>
      </c>
      <c r="N871" s="33" t="s">
        <v>4355</v>
      </c>
      <c r="Q871" s="33" t="s">
        <v>4050</v>
      </c>
    </row>
    <row r="872" spans="1:17">
      <c r="A872" s="33" t="s">
        <v>4694</v>
      </c>
      <c r="B872" s="33" t="s">
        <v>4695</v>
      </c>
      <c r="C872" s="33" t="s">
        <v>4094</v>
      </c>
      <c r="D872" s="33" t="s">
        <v>4068</v>
      </c>
      <c r="E872" s="33" t="s">
        <v>1786</v>
      </c>
      <c r="F872" s="33" t="s">
        <v>1856</v>
      </c>
      <c r="G872" s="33" t="s">
        <v>4095</v>
      </c>
      <c r="H872" s="33" t="s">
        <v>3006</v>
      </c>
      <c r="I872" s="33" t="s">
        <v>3006</v>
      </c>
      <c r="J872" s="33" t="s">
        <v>4696</v>
      </c>
      <c r="K872" s="33" t="s">
        <v>1791</v>
      </c>
      <c r="L872" s="33" t="s">
        <v>3067</v>
      </c>
      <c r="M872" s="33" t="s">
        <v>1849</v>
      </c>
      <c r="N872" s="33" t="s">
        <v>4097</v>
      </c>
      <c r="Q872" s="33" t="s">
        <v>4050</v>
      </c>
    </row>
    <row r="873" spans="1:17">
      <c r="A873" s="33" t="s">
        <v>4697</v>
      </c>
      <c r="B873" s="33" t="s">
        <v>4698</v>
      </c>
      <c r="C873" s="33" t="s">
        <v>4094</v>
      </c>
      <c r="D873" s="33" t="s">
        <v>4068</v>
      </c>
      <c r="E873" s="33" t="s">
        <v>1786</v>
      </c>
      <c r="F873" s="33" t="s">
        <v>1856</v>
      </c>
      <c r="G873" s="33" t="s">
        <v>4095</v>
      </c>
      <c r="H873" s="33" t="s">
        <v>3006</v>
      </c>
      <c r="I873" s="33" t="s">
        <v>3006</v>
      </c>
      <c r="J873" s="33" t="s">
        <v>4699</v>
      </c>
      <c r="K873" s="33" t="s">
        <v>1791</v>
      </c>
      <c r="L873" s="33" t="s">
        <v>3067</v>
      </c>
      <c r="M873" s="33" t="s">
        <v>1863</v>
      </c>
      <c r="N873" s="33" t="s">
        <v>4097</v>
      </c>
      <c r="Q873" s="33" t="s">
        <v>4050</v>
      </c>
    </row>
    <row r="874" spans="1:17">
      <c r="A874" s="33" t="s">
        <v>4700</v>
      </c>
      <c r="B874" s="33" t="s">
        <v>4701</v>
      </c>
      <c r="C874" s="33" t="s">
        <v>2205</v>
      </c>
      <c r="D874" s="33" t="s">
        <v>4068</v>
      </c>
      <c r="E874" s="33" t="s">
        <v>1786</v>
      </c>
      <c r="F874" s="33" t="s">
        <v>1856</v>
      </c>
      <c r="G874" s="33" t="s">
        <v>74</v>
      </c>
      <c r="H874" s="33" t="s">
        <v>3006</v>
      </c>
      <c r="I874" s="33" t="s">
        <v>3006</v>
      </c>
      <c r="J874" s="33" t="s">
        <v>4702</v>
      </c>
      <c r="K874" s="33" t="s">
        <v>1791</v>
      </c>
      <c r="L874" s="33" t="s">
        <v>3067</v>
      </c>
      <c r="M874" s="33" t="s">
        <v>2151</v>
      </c>
      <c r="N874" s="33" t="s">
        <v>73</v>
      </c>
      <c r="Q874" s="33" t="s">
        <v>4050</v>
      </c>
    </row>
    <row r="875" spans="1:17">
      <c r="A875" s="33" t="s">
        <v>4703</v>
      </c>
      <c r="B875" s="33" t="s">
        <v>4704</v>
      </c>
      <c r="C875" s="33" t="s">
        <v>2205</v>
      </c>
      <c r="D875" s="33" t="s">
        <v>4068</v>
      </c>
      <c r="E875" s="33" t="s">
        <v>1786</v>
      </c>
      <c r="F875" s="33" t="s">
        <v>1815</v>
      </c>
      <c r="G875" s="33" t="s">
        <v>74</v>
      </c>
      <c r="H875" s="33" t="s">
        <v>3006</v>
      </c>
      <c r="I875" s="33" t="s">
        <v>3006</v>
      </c>
      <c r="J875" s="33" t="s">
        <v>4705</v>
      </c>
      <c r="K875" s="33" t="s">
        <v>1791</v>
      </c>
      <c r="L875" s="33" t="s">
        <v>3067</v>
      </c>
      <c r="M875" s="33" t="s">
        <v>1811</v>
      </c>
      <c r="N875" s="33" t="s">
        <v>73</v>
      </c>
      <c r="Q875" s="33" t="s">
        <v>4050</v>
      </c>
    </row>
    <row r="876" spans="1:17">
      <c r="A876" s="33" t="s">
        <v>4706</v>
      </c>
      <c r="B876" s="33" t="s">
        <v>4707</v>
      </c>
      <c r="C876" s="33" t="s">
        <v>2205</v>
      </c>
      <c r="D876" s="33" t="s">
        <v>4068</v>
      </c>
      <c r="E876" s="33" t="s">
        <v>1786</v>
      </c>
      <c r="F876" s="33" t="s">
        <v>1787</v>
      </c>
      <c r="G876" s="33" t="s">
        <v>14</v>
      </c>
      <c r="H876" s="33" t="s">
        <v>3067</v>
      </c>
      <c r="I876" s="33" t="s">
        <v>3067</v>
      </c>
      <c r="J876" s="33" t="s">
        <v>4708</v>
      </c>
      <c r="K876" s="33" t="s">
        <v>1791</v>
      </c>
      <c r="L876" s="33" t="s">
        <v>3067</v>
      </c>
      <c r="M876" s="33" t="s">
        <v>95</v>
      </c>
      <c r="N876" s="33" t="s">
        <v>4172</v>
      </c>
      <c r="Q876" s="33" t="s">
        <v>4050</v>
      </c>
    </row>
    <row r="877" spans="1:17">
      <c r="A877" s="33" t="s">
        <v>4709</v>
      </c>
      <c r="B877" s="33" t="s">
        <v>4710</v>
      </c>
      <c r="C877" s="33" t="s">
        <v>4116</v>
      </c>
      <c r="D877" s="33" t="s">
        <v>4068</v>
      </c>
      <c r="E877" s="33" t="s">
        <v>1786</v>
      </c>
      <c r="F877" s="33" t="s">
        <v>1787</v>
      </c>
      <c r="G877" s="33" t="s">
        <v>27</v>
      </c>
      <c r="H877" s="33" t="s">
        <v>3067</v>
      </c>
      <c r="I877" s="33" t="s">
        <v>3067</v>
      </c>
      <c r="J877" s="33" t="s">
        <v>4711</v>
      </c>
      <c r="K877" s="33" t="s">
        <v>1791</v>
      </c>
      <c r="L877" s="33" t="s">
        <v>3067</v>
      </c>
      <c r="M877" s="33" t="s">
        <v>2033</v>
      </c>
      <c r="N877" s="33" t="s">
        <v>4119</v>
      </c>
      <c r="Q877" s="33" t="s">
        <v>4050</v>
      </c>
    </row>
    <row r="878" spans="1:17">
      <c r="A878" s="33" t="s">
        <v>4712</v>
      </c>
      <c r="B878" s="33" t="s">
        <v>4713</v>
      </c>
      <c r="C878" s="33" t="s">
        <v>3205</v>
      </c>
      <c r="D878" s="33" t="s">
        <v>4068</v>
      </c>
      <c r="E878" s="33" t="s">
        <v>1786</v>
      </c>
      <c r="F878" s="33" t="s">
        <v>1815</v>
      </c>
      <c r="G878" s="33" t="s">
        <v>4551</v>
      </c>
      <c r="H878" s="33" t="s">
        <v>3067</v>
      </c>
      <c r="I878" s="33" t="s">
        <v>3067</v>
      </c>
      <c r="J878" s="33" t="s">
        <v>4714</v>
      </c>
      <c r="K878" s="33" t="s">
        <v>1791</v>
      </c>
      <c r="L878" s="33" t="s">
        <v>3067</v>
      </c>
      <c r="M878" s="33" t="s">
        <v>1849</v>
      </c>
      <c r="N878" s="33" t="s">
        <v>95</v>
      </c>
      <c r="Q878" s="33" t="s">
        <v>4050</v>
      </c>
    </row>
    <row r="879" spans="1:17">
      <c r="A879" s="33" t="s">
        <v>4715</v>
      </c>
      <c r="B879" s="33" t="s">
        <v>4716</v>
      </c>
      <c r="C879" s="33" t="s">
        <v>4381</v>
      </c>
      <c r="D879" s="33" t="s">
        <v>4068</v>
      </c>
      <c r="E879" s="33" t="s">
        <v>1786</v>
      </c>
      <c r="F879" s="33" t="s">
        <v>1815</v>
      </c>
      <c r="G879" s="33" t="s">
        <v>20</v>
      </c>
      <c r="H879" s="33" t="s">
        <v>3067</v>
      </c>
      <c r="I879" s="33" t="s">
        <v>3067</v>
      </c>
      <c r="J879" s="33" t="s">
        <v>4717</v>
      </c>
      <c r="K879" s="33" t="s">
        <v>1791</v>
      </c>
      <c r="L879" s="33" t="s">
        <v>3067</v>
      </c>
      <c r="M879" s="33" t="s">
        <v>1811</v>
      </c>
      <c r="N879" s="33" t="s">
        <v>19</v>
      </c>
      <c r="Q879" s="33" t="s">
        <v>4050</v>
      </c>
    </row>
    <row r="880" spans="1:17">
      <c r="A880" s="33" t="s">
        <v>4718</v>
      </c>
      <c r="B880" s="33" t="s">
        <v>4719</v>
      </c>
      <c r="C880" s="33" t="s">
        <v>1831</v>
      </c>
      <c r="D880" s="33" t="s">
        <v>4068</v>
      </c>
      <c r="E880" s="33" t="s">
        <v>1786</v>
      </c>
      <c r="F880" s="33" t="s">
        <v>1787</v>
      </c>
      <c r="G880" s="33" t="s">
        <v>4720</v>
      </c>
      <c r="H880" s="33" t="s">
        <v>3067</v>
      </c>
      <c r="I880" s="33" t="s">
        <v>3067</v>
      </c>
      <c r="J880" s="33" t="s">
        <v>4721</v>
      </c>
      <c r="K880" s="33" t="s">
        <v>1791</v>
      </c>
      <c r="L880" s="33" t="s">
        <v>3067</v>
      </c>
      <c r="M880" s="33" t="s">
        <v>1844</v>
      </c>
      <c r="N880" s="33" t="s">
        <v>1849</v>
      </c>
      <c r="Q880" s="33" t="s">
        <v>4050</v>
      </c>
    </row>
    <row r="881" spans="1:17">
      <c r="A881" s="33" t="s">
        <v>4722</v>
      </c>
      <c r="B881" s="33" t="s">
        <v>4723</v>
      </c>
      <c r="C881" s="33" t="s">
        <v>4381</v>
      </c>
      <c r="D881" s="33" t="s">
        <v>4068</v>
      </c>
      <c r="E881" s="33" t="s">
        <v>1786</v>
      </c>
      <c r="F881" s="33" t="s">
        <v>1815</v>
      </c>
      <c r="G881" s="33" t="s">
        <v>20</v>
      </c>
      <c r="H881" s="33" t="s">
        <v>3067</v>
      </c>
      <c r="I881" s="33" t="s">
        <v>3067</v>
      </c>
      <c r="J881" s="33" t="s">
        <v>4724</v>
      </c>
      <c r="K881" s="33" t="s">
        <v>1791</v>
      </c>
      <c r="L881" s="33" t="s">
        <v>3067</v>
      </c>
      <c r="M881" s="33" t="s">
        <v>73</v>
      </c>
      <c r="N881" s="33" t="s">
        <v>19</v>
      </c>
      <c r="Q881" s="33" t="s">
        <v>4050</v>
      </c>
    </row>
    <row r="882" spans="1:17" hidden="1">
      <c r="A882" s="33" t="s">
        <v>3077</v>
      </c>
      <c r="B882" s="33" t="s">
        <v>4725</v>
      </c>
      <c r="C882" s="33" t="s">
        <v>1980</v>
      </c>
      <c r="D882" s="33" t="s">
        <v>4068</v>
      </c>
      <c r="E882" s="33" t="s">
        <v>1808</v>
      </c>
      <c r="F882" s="33" t="s">
        <v>1787</v>
      </c>
      <c r="G882" s="33" t="s">
        <v>2820</v>
      </c>
      <c r="H882" s="33" t="s">
        <v>3067</v>
      </c>
      <c r="I882" s="33" t="s">
        <v>3067</v>
      </c>
      <c r="J882" s="33" t="s">
        <v>3079</v>
      </c>
      <c r="K882" s="33" t="s">
        <v>1791</v>
      </c>
      <c r="L882" s="33" t="s">
        <v>3067</v>
      </c>
      <c r="M882" s="33" t="s">
        <v>1793</v>
      </c>
      <c r="N882" s="33" t="s">
        <v>1849</v>
      </c>
      <c r="Q882" s="33" t="s">
        <v>4050</v>
      </c>
    </row>
    <row r="883" spans="1:17" hidden="1">
      <c r="A883" s="33" t="s">
        <v>3080</v>
      </c>
      <c r="B883" s="33" t="s">
        <v>4726</v>
      </c>
      <c r="C883" s="33" t="s">
        <v>1980</v>
      </c>
      <c r="D883" s="33" t="s">
        <v>4068</v>
      </c>
      <c r="E883" s="33" t="s">
        <v>1808</v>
      </c>
      <c r="F883" s="33" t="s">
        <v>1787</v>
      </c>
      <c r="G883" s="33" t="s">
        <v>2820</v>
      </c>
      <c r="H883" s="33" t="s">
        <v>3067</v>
      </c>
      <c r="I883" s="33" t="s">
        <v>3067</v>
      </c>
      <c r="J883" s="33" t="s">
        <v>3082</v>
      </c>
      <c r="K883" s="33" t="s">
        <v>1791</v>
      </c>
      <c r="L883" s="33" t="s">
        <v>3067</v>
      </c>
      <c r="M883" s="33" t="s">
        <v>1811</v>
      </c>
      <c r="N883" s="33" t="s">
        <v>1849</v>
      </c>
      <c r="Q883" s="33" t="s">
        <v>4050</v>
      </c>
    </row>
    <row r="884" spans="1:17">
      <c r="A884" s="33" t="s">
        <v>4727</v>
      </c>
      <c r="B884" s="33" t="s">
        <v>4728</v>
      </c>
      <c r="C884" s="33" t="s">
        <v>4132</v>
      </c>
      <c r="D884" s="33" t="s">
        <v>4068</v>
      </c>
      <c r="E884" s="33" t="s">
        <v>1786</v>
      </c>
      <c r="F884" s="33" t="s">
        <v>1787</v>
      </c>
      <c r="G884" s="33" t="s">
        <v>4209</v>
      </c>
      <c r="H884" s="33" t="s">
        <v>3067</v>
      </c>
      <c r="I884" s="33" t="s">
        <v>3067</v>
      </c>
      <c r="J884" s="33" t="s">
        <v>4729</v>
      </c>
      <c r="K884" s="33" t="s">
        <v>1791</v>
      </c>
      <c r="L884" s="33" t="s">
        <v>3067</v>
      </c>
      <c r="M884" s="33" t="s">
        <v>2041</v>
      </c>
      <c r="N884" s="33" t="s">
        <v>4135</v>
      </c>
      <c r="Q884" s="33" t="s">
        <v>4050</v>
      </c>
    </row>
    <row r="885" spans="1:17">
      <c r="A885" s="33" t="s">
        <v>4730</v>
      </c>
      <c r="B885" s="33" t="s">
        <v>4731</v>
      </c>
      <c r="C885" s="33" t="s">
        <v>4405</v>
      </c>
      <c r="D885" s="33" t="s">
        <v>4068</v>
      </c>
      <c r="E885" s="33" t="s">
        <v>1786</v>
      </c>
      <c r="F885" s="33" t="s">
        <v>1815</v>
      </c>
      <c r="G885" s="33" t="s">
        <v>4406</v>
      </c>
      <c r="H885" s="33" t="s">
        <v>3067</v>
      </c>
      <c r="I885" s="33" t="s">
        <v>2769</v>
      </c>
      <c r="J885" s="33" t="s">
        <v>4732</v>
      </c>
      <c r="K885" s="33" t="s">
        <v>1791</v>
      </c>
      <c r="L885" s="33" t="s">
        <v>3067</v>
      </c>
      <c r="M885" s="33" t="s">
        <v>1863</v>
      </c>
      <c r="N885" s="33" t="s">
        <v>77</v>
      </c>
      <c r="Q885" s="33" t="s">
        <v>4050</v>
      </c>
    </row>
    <row r="886" spans="1:17">
      <c r="A886" s="33" t="s">
        <v>4733</v>
      </c>
      <c r="B886" s="33" t="s">
        <v>4734</v>
      </c>
      <c r="C886" s="33" t="s">
        <v>1785</v>
      </c>
      <c r="D886" s="33" t="s">
        <v>4068</v>
      </c>
      <c r="E886" s="33" t="s">
        <v>1786</v>
      </c>
      <c r="F886" s="33" t="s">
        <v>1787</v>
      </c>
      <c r="G886" s="33" t="s">
        <v>3836</v>
      </c>
      <c r="H886" s="33" t="s">
        <v>3067</v>
      </c>
      <c r="I886" s="33" t="s">
        <v>2473</v>
      </c>
      <c r="J886" s="33" t="s">
        <v>4735</v>
      </c>
      <c r="K886" s="33" t="s">
        <v>1791</v>
      </c>
      <c r="L886" s="33" t="s">
        <v>3067</v>
      </c>
      <c r="M886" s="33" t="s">
        <v>80</v>
      </c>
      <c r="N886" s="33" t="s">
        <v>1793</v>
      </c>
      <c r="Q886" s="33" t="s">
        <v>4050</v>
      </c>
    </row>
    <row r="887" spans="1:17">
      <c r="A887" s="33" t="s">
        <v>4736</v>
      </c>
      <c r="B887" s="33" t="s">
        <v>4737</v>
      </c>
      <c r="C887" s="33" t="s">
        <v>1785</v>
      </c>
      <c r="D887" s="33" t="s">
        <v>4068</v>
      </c>
      <c r="E887" s="33" t="s">
        <v>1786</v>
      </c>
      <c r="F887" s="33" t="s">
        <v>1787</v>
      </c>
      <c r="G887" s="33" t="s">
        <v>3836</v>
      </c>
      <c r="H887" s="33" t="s">
        <v>3067</v>
      </c>
      <c r="I887" s="33" t="s">
        <v>2473</v>
      </c>
      <c r="J887" s="33" t="s">
        <v>4738</v>
      </c>
      <c r="K887" s="33" t="s">
        <v>1791</v>
      </c>
      <c r="L887" s="33" t="s">
        <v>3067</v>
      </c>
      <c r="M887" s="33" t="s">
        <v>1849</v>
      </c>
      <c r="N887" s="33" t="s">
        <v>1793</v>
      </c>
      <c r="Q887" s="33" t="s">
        <v>4050</v>
      </c>
    </row>
    <row r="888" spans="1:17">
      <c r="A888" s="33" t="s">
        <v>4739</v>
      </c>
      <c r="B888" s="33" t="s">
        <v>4740</v>
      </c>
      <c r="C888" s="33" t="s">
        <v>1831</v>
      </c>
      <c r="D888" s="33" t="s">
        <v>4068</v>
      </c>
      <c r="E888" s="33" t="s">
        <v>1786</v>
      </c>
      <c r="F888" s="33" t="s">
        <v>1787</v>
      </c>
      <c r="G888" s="33" t="s">
        <v>3467</v>
      </c>
      <c r="H888" s="33" t="s">
        <v>3067</v>
      </c>
      <c r="I888" s="33" t="s">
        <v>4682</v>
      </c>
      <c r="J888" s="33" t="s">
        <v>4741</v>
      </c>
      <c r="K888" s="33" t="s">
        <v>1791</v>
      </c>
      <c r="L888" s="33" t="s">
        <v>3067</v>
      </c>
      <c r="M888" s="33" t="s">
        <v>1822</v>
      </c>
      <c r="N888" s="33" t="s">
        <v>1827</v>
      </c>
      <c r="Q888" s="33" t="s">
        <v>4050</v>
      </c>
    </row>
    <row r="889" spans="1:17">
      <c r="A889" s="33" t="s">
        <v>4742</v>
      </c>
      <c r="B889" s="33" t="s">
        <v>4743</v>
      </c>
      <c r="C889" s="33" t="s">
        <v>2147</v>
      </c>
      <c r="D889" s="33" t="s">
        <v>4068</v>
      </c>
      <c r="E889" s="33" t="s">
        <v>1786</v>
      </c>
      <c r="F889" s="33" t="s">
        <v>1787</v>
      </c>
      <c r="G889" s="33" t="s">
        <v>4744</v>
      </c>
      <c r="H889" s="33" t="s">
        <v>3067</v>
      </c>
      <c r="I889" s="33" t="s">
        <v>3006</v>
      </c>
      <c r="J889" s="33" t="s">
        <v>4745</v>
      </c>
      <c r="K889" s="33" t="s">
        <v>1791</v>
      </c>
      <c r="L889" s="33" t="s">
        <v>3067</v>
      </c>
      <c r="M889" s="33" t="s">
        <v>1995</v>
      </c>
      <c r="N889" s="33" t="s">
        <v>1811</v>
      </c>
      <c r="Q889" s="33" t="s">
        <v>4050</v>
      </c>
    </row>
    <row r="890" spans="1:17">
      <c r="A890" s="33" t="s">
        <v>4746</v>
      </c>
      <c r="B890" s="33" t="s">
        <v>4747</v>
      </c>
      <c r="C890" s="33" t="s">
        <v>4748</v>
      </c>
      <c r="D890" s="33" t="s">
        <v>4068</v>
      </c>
      <c r="E890" s="33" t="s">
        <v>1786</v>
      </c>
      <c r="F890" s="33" t="s">
        <v>1787</v>
      </c>
      <c r="G890" s="33" t="s">
        <v>4307</v>
      </c>
      <c r="H890" s="33" t="s">
        <v>2503</v>
      </c>
      <c r="I890" s="33" t="s">
        <v>2503</v>
      </c>
      <c r="J890" s="33" t="s">
        <v>4749</v>
      </c>
      <c r="K890" s="33" t="s">
        <v>1791</v>
      </c>
      <c r="L890" s="33" t="s">
        <v>3194</v>
      </c>
      <c r="M890" s="33" t="s">
        <v>2077</v>
      </c>
      <c r="N890" s="33" t="s">
        <v>2041</v>
      </c>
      <c r="Q890" s="33" t="s">
        <v>4050</v>
      </c>
    </row>
    <row r="891" spans="1:17">
      <c r="A891" s="33" t="s">
        <v>4750</v>
      </c>
      <c r="B891" s="33" t="s">
        <v>4751</v>
      </c>
      <c r="C891" s="33" t="s">
        <v>4748</v>
      </c>
      <c r="D891" s="33" t="s">
        <v>4068</v>
      </c>
      <c r="E891" s="33" t="s">
        <v>1786</v>
      </c>
      <c r="F891" s="33" t="s">
        <v>1815</v>
      </c>
      <c r="G891" s="33" t="s">
        <v>4307</v>
      </c>
      <c r="H891" s="33" t="s">
        <v>2503</v>
      </c>
      <c r="I891" s="33" t="s">
        <v>2503</v>
      </c>
      <c r="J891" s="33" t="s">
        <v>4752</v>
      </c>
      <c r="K891" s="33" t="s">
        <v>1791</v>
      </c>
      <c r="L891" s="33" t="s">
        <v>3194</v>
      </c>
      <c r="M891" s="33" t="s">
        <v>1811</v>
      </c>
      <c r="N891" s="33" t="s">
        <v>2041</v>
      </c>
      <c r="Q891" s="33" t="s">
        <v>4050</v>
      </c>
    </row>
    <row r="892" spans="1:17">
      <c r="A892" s="33" t="s">
        <v>4753</v>
      </c>
      <c r="B892" s="33" t="s">
        <v>4754</v>
      </c>
      <c r="C892" s="33" t="s">
        <v>2205</v>
      </c>
      <c r="D892" s="33" t="s">
        <v>4068</v>
      </c>
      <c r="E892" s="33" t="s">
        <v>1786</v>
      </c>
      <c r="F892" s="33" t="s">
        <v>2069</v>
      </c>
      <c r="G892" s="33" t="s">
        <v>4450</v>
      </c>
      <c r="H892" s="33" t="s">
        <v>2503</v>
      </c>
      <c r="I892" s="33" t="s">
        <v>2503</v>
      </c>
      <c r="J892" s="33" t="s">
        <v>4755</v>
      </c>
      <c r="K892" s="33" t="s">
        <v>1791</v>
      </c>
      <c r="L892" s="33" t="s">
        <v>3194</v>
      </c>
      <c r="M892" s="33" t="s">
        <v>1844</v>
      </c>
      <c r="N892" s="33" t="s">
        <v>73</v>
      </c>
      <c r="Q892" s="33" t="s">
        <v>4050</v>
      </c>
    </row>
    <row r="893" spans="1:17">
      <c r="A893" s="33" t="s">
        <v>4756</v>
      </c>
      <c r="B893" s="33" t="s">
        <v>4757</v>
      </c>
      <c r="C893" s="33" t="s">
        <v>3205</v>
      </c>
      <c r="D893" s="33" t="s">
        <v>4068</v>
      </c>
      <c r="E893" s="33" t="s">
        <v>1786</v>
      </c>
      <c r="F893" s="33" t="s">
        <v>1815</v>
      </c>
      <c r="G893" s="33" t="s">
        <v>3883</v>
      </c>
      <c r="H893" s="33" t="s">
        <v>2503</v>
      </c>
      <c r="I893" s="33" t="s">
        <v>2503</v>
      </c>
      <c r="J893" s="33" t="s">
        <v>4758</v>
      </c>
      <c r="K893" s="33" t="s">
        <v>1791</v>
      </c>
      <c r="L893" s="33" t="s">
        <v>3194</v>
      </c>
      <c r="M893" s="33" t="s">
        <v>1838</v>
      </c>
      <c r="N893" s="33" t="s">
        <v>95</v>
      </c>
      <c r="Q893" s="33" t="s">
        <v>4050</v>
      </c>
    </row>
    <row r="894" spans="1:17">
      <c r="A894" s="33" t="s">
        <v>4759</v>
      </c>
      <c r="B894" s="33" t="s">
        <v>4760</v>
      </c>
      <c r="C894" s="33" t="s">
        <v>2020</v>
      </c>
      <c r="D894" s="33" t="s">
        <v>4068</v>
      </c>
      <c r="E894" s="33" t="s">
        <v>1786</v>
      </c>
      <c r="F894" s="33" t="s">
        <v>1787</v>
      </c>
      <c r="G894" s="33" t="s">
        <v>4761</v>
      </c>
      <c r="H894" s="33" t="s">
        <v>2503</v>
      </c>
      <c r="I894" s="33" t="s">
        <v>2503</v>
      </c>
      <c r="J894" s="33" t="s">
        <v>4762</v>
      </c>
      <c r="K894" s="33" t="s">
        <v>1791</v>
      </c>
      <c r="L894" s="33" t="s">
        <v>3194</v>
      </c>
      <c r="M894" s="33" t="s">
        <v>196</v>
      </c>
      <c r="N894" s="33" t="s">
        <v>196</v>
      </c>
      <c r="Q894" s="33" t="s">
        <v>4050</v>
      </c>
    </row>
    <row r="895" spans="1:17">
      <c r="A895" s="33" t="s">
        <v>4763</v>
      </c>
      <c r="B895" s="33" t="s">
        <v>4764</v>
      </c>
      <c r="C895" s="33" t="s">
        <v>2020</v>
      </c>
      <c r="D895" s="33" t="s">
        <v>4068</v>
      </c>
      <c r="E895" s="33" t="s">
        <v>1786</v>
      </c>
      <c r="F895" s="33" t="s">
        <v>1787</v>
      </c>
      <c r="G895" s="33" t="s">
        <v>4761</v>
      </c>
      <c r="H895" s="33" t="s">
        <v>2503</v>
      </c>
      <c r="I895" s="33" t="s">
        <v>2503</v>
      </c>
      <c r="J895" s="33" t="s">
        <v>4765</v>
      </c>
      <c r="K895" s="33" t="s">
        <v>1791</v>
      </c>
      <c r="L895" s="33" t="s">
        <v>3194</v>
      </c>
      <c r="M895" s="33" t="s">
        <v>196</v>
      </c>
      <c r="N895" s="33" t="s">
        <v>196</v>
      </c>
      <c r="Q895" s="33" t="s">
        <v>4050</v>
      </c>
    </row>
    <row r="896" spans="1:17">
      <c r="A896" s="33" t="s">
        <v>4766</v>
      </c>
      <c r="B896" s="33" t="s">
        <v>4767</v>
      </c>
      <c r="C896" s="33" t="s">
        <v>2020</v>
      </c>
      <c r="D896" s="33" t="s">
        <v>4068</v>
      </c>
      <c r="E896" s="33" t="s">
        <v>1786</v>
      </c>
      <c r="F896" s="33" t="s">
        <v>1787</v>
      </c>
      <c r="G896" s="33" t="s">
        <v>4761</v>
      </c>
      <c r="H896" s="33" t="s">
        <v>2503</v>
      </c>
      <c r="I896" s="33" t="s">
        <v>2503</v>
      </c>
      <c r="J896" s="33" t="s">
        <v>4768</v>
      </c>
      <c r="K896" s="33" t="s">
        <v>1791</v>
      </c>
      <c r="L896" s="33" t="s">
        <v>3194</v>
      </c>
      <c r="M896" s="33" t="s">
        <v>2050</v>
      </c>
      <c r="N896" s="33" t="s">
        <v>196</v>
      </c>
      <c r="Q896" s="33" t="s">
        <v>4050</v>
      </c>
    </row>
    <row r="897" spans="1:17">
      <c r="A897" s="33" t="s">
        <v>4769</v>
      </c>
      <c r="B897" s="33" t="s">
        <v>4770</v>
      </c>
      <c r="C897" s="33" t="s">
        <v>2020</v>
      </c>
      <c r="D897" s="33" t="s">
        <v>4068</v>
      </c>
      <c r="E897" s="33" t="s">
        <v>1786</v>
      </c>
      <c r="F897" s="33" t="s">
        <v>1787</v>
      </c>
      <c r="G897" s="33" t="s">
        <v>4761</v>
      </c>
      <c r="H897" s="33" t="s">
        <v>2503</v>
      </c>
      <c r="I897" s="33" t="s">
        <v>2503</v>
      </c>
      <c r="J897" s="33" t="s">
        <v>4771</v>
      </c>
      <c r="K897" s="33" t="s">
        <v>1791</v>
      </c>
      <c r="L897" s="33" t="s">
        <v>3194</v>
      </c>
      <c r="M897" s="33" t="s">
        <v>2480</v>
      </c>
      <c r="N897" s="33" t="s">
        <v>196</v>
      </c>
      <c r="Q897" s="33" t="s">
        <v>4050</v>
      </c>
    </row>
    <row r="898" spans="1:17">
      <c r="A898" s="33" t="s">
        <v>4772</v>
      </c>
      <c r="B898" s="33" t="s">
        <v>4773</v>
      </c>
      <c r="C898" s="33" t="s">
        <v>2020</v>
      </c>
      <c r="D898" s="33" t="s">
        <v>4068</v>
      </c>
      <c r="E898" s="33" t="s">
        <v>1786</v>
      </c>
      <c r="F898" s="33" t="s">
        <v>1787</v>
      </c>
      <c r="G898" s="33" t="s">
        <v>4761</v>
      </c>
      <c r="H898" s="33" t="s">
        <v>2503</v>
      </c>
      <c r="I898" s="33" t="s">
        <v>2503</v>
      </c>
      <c r="J898" s="33" t="s">
        <v>4774</v>
      </c>
      <c r="K898" s="33" t="s">
        <v>1791</v>
      </c>
      <c r="L898" s="33" t="s">
        <v>3211</v>
      </c>
      <c r="M898" s="33" t="s">
        <v>196</v>
      </c>
      <c r="N898" s="33" t="s">
        <v>196</v>
      </c>
      <c r="Q898" s="33" t="s">
        <v>4050</v>
      </c>
    </row>
    <row r="899" spans="1:17" hidden="1">
      <c r="A899" s="33" t="s">
        <v>4775</v>
      </c>
      <c r="B899" s="33" t="s">
        <v>4776</v>
      </c>
      <c r="C899" s="33" t="s">
        <v>2020</v>
      </c>
      <c r="D899" s="33" t="s">
        <v>4068</v>
      </c>
      <c r="E899" s="33" t="s">
        <v>1836</v>
      </c>
      <c r="F899" s="33" t="s">
        <v>1787</v>
      </c>
      <c r="G899" s="33" t="s">
        <v>4761</v>
      </c>
      <c r="H899" s="33" t="s">
        <v>2503</v>
      </c>
      <c r="I899" s="33" t="s">
        <v>2503</v>
      </c>
      <c r="J899" s="33" t="s">
        <v>4777</v>
      </c>
      <c r="K899" s="33" t="s">
        <v>1791</v>
      </c>
      <c r="L899" s="33" t="s">
        <v>3211</v>
      </c>
      <c r="M899" s="33" t="s">
        <v>2050</v>
      </c>
      <c r="N899" s="33" t="s">
        <v>196</v>
      </c>
      <c r="Q899" s="33" t="s">
        <v>4050</v>
      </c>
    </row>
    <row r="900" spans="1:17" hidden="1">
      <c r="A900" s="33" t="s">
        <v>4778</v>
      </c>
      <c r="B900" s="33" t="s">
        <v>4779</v>
      </c>
      <c r="C900" s="33" t="s">
        <v>2020</v>
      </c>
      <c r="D900" s="33" t="s">
        <v>4068</v>
      </c>
      <c r="E900" s="33" t="s">
        <v>1836</v>
      </c>
      <c r="F900" s="33" t="s">
        <v>1787</v>
      </c>
      <c r="G900" s="33" t="s">
        <v>4761</v>
      </c>
      <c r="H900" s="33" t="s">
        <v>2503</v>
      </c>
      <c r="I900" s="33" t="s">
        <v>2503</v>
      </c>
      <c r="J900" s="33" t="s">
        <v>4780</v>
      </c>
      <c r="K900" s="33" t="s">
        <v>1791</v>
      </c>
      <c r="L900" s="33" t="s">
        <v>3211</v>
      </c>
      <c r="M900" s="33" t="s">
        <v>196</v>
      </c>
      <c r="N900" s="33" t="s">
        <v>196</v>
      </c>
      <c r="Q900" s="33" t="s">
        <v>4050</v>
      </c>
    </row>
    <row r="901" spans="1:17" hidden="1">
      <c r="A901" s="33" t="s">
        <v>4781</v>
      </c>
      <c r="B901" s="33" t="s">
        <v>4782</v>
      </c>
      <c r="C901" s="33" t="s">
        <v>2020</v>
      </c>
      <c r="D901" s="33" t="s">
        <v>4068</v>
      </c>
      <c r="E901" s="33" t="s">
        <v>1836</v>
      </c>
      <c r="F901" s="33" t="s">
        <v>1787</v>
      </c>
      <c r="G901" s="33" t="s">
        <v>4761</v>
      </c>
      <c r="H901" s="33" t="s">
        <v>2503</v>
      </c>
      <c r="I901" s="33" t="s">
        <v>2503</v>
      </c>
      <c r="J901" s="33" t="s">
        <v>4783</v>
      </c>
      <c r="K901" s="33" t="s">
        <v>1791</v>
      </c>
      <c r="L901" s="33" t="s">
        <v>3211</v>
      </c>
      <c r="M901" s="33" t="s">
        <v>196</v>
      </c>
      <c r="N901" s="33" t="s">
        <v>196</v>
      </c>
      <c r="Q901" s="33" t="s">
        <v>4050</v>
      </c>
    </row>
    <row r="902" spans="1:17">
      <c r="A902" s="33" t="s">
        <v>4784</v>
      </c>
      <c r="B902" s="33" t="s">
        <v>4785</v>
      </c>
      <c r="C902" s="33" t="s">
        <v>2020</v>
      </c>
      <c r="D902" s="33" t="s">
        <v>4068</v>
      </c>
      <c r="E902" s="33" t="s">
        <v>1786</v>
      </c>
      <c r="F902" s="33" t="s">
        <v>1787</v>
      </c>
      <c r="G902" s="33" t="s">
        <v>4761</v>
      </c>
      <c r="H902" s="33" t="s">
        <v>2695</v>
      </c>
      <c r="I902" s="33" t="s">
        <v>2695</v>
      </c>
      <c r="J902" s="33" t="s">
        <v>4786</v>
      </c>
      <c r="K902" s="33" t="s">
        <v>1791</v>
      </c>
      <c r="L902" s="33" t="s">
        <v>3194</v>
      </c>
      <c r="M902" s="33" t="s">
        <v>196</v>
      </c>
      <c r="N902" s="33" t="s">
        <v>196</v>
      </c>
      <c r="Q902" s="33" t="s">
        <v>4050</v>
      </c>
    </row>
    <row r="903" spans="1:17">
      <c r="A903" s="33" t="s">
        <v>4787</v>
      </c>
      <c r="B903" s="33" t="s">
        <v>4788</v>
      </c>
      <c r="C903" s="33" t="s">
        <v>4116</v>
      </c>
      <c r="D903" s="33" t="s">
        <v>4068</v>
      </c>
      <c r="E903" s="33" t="s">
        <v>1786</v>
      </c>
      <c r="F903" s="33" t="s">
        <v>1787</v>
      </c>
      <c r="G903" s="33" t="s">
        <v>4789</v>
      </c>
      <c r="H903" s="33" t="s">
        <v>2695</v>
      </c>
      <c r="I903" s="33" t="s">
        <v>2695</v>
      </c>
      <c r="J903" s="33" t="s">
        <v>4790</v>
      </c>
      <c r="K903" s="33" t="s">
        <v>1791</v>
      </c>
      <c r="L903" s="33" t="s">
        <v>3211</v>
      </c>
      <c r="M903" s="33" t="s">
        <v>72</v>
      </c>
      <c r="N903" s="33" t="s">
        <v>4119</v>
      </c>
      <c r="Q903" s="33" t="s">
        <v>4050</v>
      </c>
    </row>
    <row r="904" spans="1:17">
      <c r="A904" s="33" t="s">
        <v>4791</v>
      </c>
      <c r="B904" s="33" t="s">
        <v>4792</v>
      </c>
      <c r="C904" s="33" t="s">
        <v>2273</v>
      </c>
      <c r="D904" s="33" t="s">
        <v>4068</v>
      </c>
      <c r="E904" s="33" t="s">
        <v>1786</v>
      </c>
      <c r="F904" s="33" t="s">
        <v>1787</v>
      </c>
      <c r="G904" s="33" t="s">
        <v>2274</v>
      </c>
      <c r="H904" s="33" t="s">
        <v>2695</v>
      </c>
      <c r="I904" s="33" t="s">
        <v>2695</v>
      </c>
      <c r="J904" s="33" t="s">
        <v>4793</v>
      </c>
      <c r="K904" s="33" t="s">
        <v>1791</v>
      </c>
      <c r="L904" s="33" t="s">
        <v>3211</v>
      </c>
      <c r="M904" s="33" t="s">
        <v>4794</v>
      </c>
      <c r="N904" s="33" t="s">
        <v>1811</v>
      </c>
      <c r="Q904" s="33" t="s">
        <v>4050</v>
      </c>
    </row>
    <row r="905" spans="1:17">
      <c r="A905" s="33" t="s">
        <v>4795</v>
      </c>
      <c r="B905" s="33" t="s">
        <v>4796</v>
      </c>
      <c r="C905" s="33" t="s">
        <v>4381</v>
      </c>
      <c r="D905" s="33" t="s">
        <v>4068</v>
      </c>
      <c r="E905" s="33" t="s">
        <v>1786</v>
      </c>
      <c r="F905" s="33" t="s">
        <v>1815</v>
      </c>
      <c r="G905" s="33" t="s">
        <v>20</v>
      </c>
      <c r="H905" s="33" t="s">
        <v>2695</v>
      </c>
      <c r="I905" s="33" t="s">
        <v>2695</v>
      </c>
      <c r="J905" s="33" t="s">
        <v>4797</v>
      </c>
      <c r="K905" s="33" t="s">
        <v>1791</v>
      </c>
      <c r="L905" s="33" t="s">
        <v>3211</v>
      </c>
      <c r="M905" s="33" t="s">
        <v>54</v>
      </c>
      <c r="N905" s="33" t="s">
        <v>19</v>
      </c>
      <c r="Q905" s="33" t="s">
        <v>4050</v>
      </c>
    </row>
    <row r="906" spans="1:17">
      <c r="A906" s="33" t="s">
        <v>4798</v>
      </c>
      <c r="B906" s="33" t="s">
        <v>4799</v>
      </c>
      <c r="C906" s="33" t="s">
        <v>4381</v>
      </c>
      <c r="D906" s="33" t="s">
        <v>4068</v>
      </c>
      <c r="E906" s="33" t="s">
        <v>1786</v>
      </c>
      <c r="F906" s="33" t="s">
        <v>1864</v>
      </c>
      <c r="G906" s="33" t="s">
        <v>20</v>
      </c>
      <c r="H906" s="33" t="s">
        <v>2695</v>
      </c>
      <c r="I906" s="33" t="s">
        <v>2695</v>
      </c>
      <c r="J906" s="33" t="s">
        <v>4800</v>
      </c>
      <c r="K906" s="33" t="s">
        <v>1791</v>
      </c>
      <c r="L906" s="33" t="s">
        <v>3211</v>
      </c>
      <c r="M906" s="33" t="s">
        <v>1838</v>
      </c>
      <c r="N906" s="33" t="s">
        <v>19</v>
      </c>
      <c r="Q906" s="33" t="s">
        <v>4050</v>
      </c>
    </row>
    <row r="907" spans="1:17">
      <c r="A907" s="33" t="s">
        <v>4801</v>
      </c>
      <c r="B907" s="33" t="s">
        <v>4802</v>
      </c>
      <c r="C907" s="33" t="s">
        <v>2205</v>
      </c>
      <c r="D907" s="33" t="s">
        <v>4068</v>
      </c>
      <c r="E907" s="33" t="s">
        <v>1786</v>
      </c>
      <c r="F907" s="33" t="s">
        <v>1856</v>
      </c>
      <c r="G907" s="33" t="s">
        <v>4803</v>
      </c>
      <c r="H907" s="33" t="s">
        <v>2695</v>
      </c>
      <c r="I907" s="33" t="s">
        <v>2695</v>
      </c>
      <c r="J907" s="33" t="s">
        <v>4804</v>
      </c>
      <c r="K907" s="33" t="s">
        <v>1791</v>
      </c>
      <c r="L907" s="33" t="s">
        <v>3211</v>
      </c>
      <c r="M907" s="33" t="s">
        <v>1849</v>
      </c>
      <c r="N907" s="33" t="s">
        <v>73</v>
      </c>
      <c r="Q907" s="33" t="s">
        <v>4050</v>
      </c>
    </row>
    <row r="908" spans="1:17">
      <c r="A908" s="33" t="s">
        <v>4805</v>
      </c>
      <c r="B908" s="33" t="s">
        <v>4806</v>
      </c>
      <c r="C908" s="33" t="s">
        <v>4132</v>
      </c>
      <c r="D908" s="33" t="s">
        <v>4068</v>
      </c>
      <c r="E908" s="33" t="s">
        <v>1786</v>
      </c>
      <c r="F908" s="33" t="s">
        <v>1787</v>
      </c>
      <c r="G908" s="33" t="s">
        <v>4272</v>
      </c>
      <c r="H908" s="33" t="s">
        <v>2695</v>
      </c>
      <c r="I908" s="33" t="s">
        <v>2695</v>
      </c>
      <c r="J908" s="33" t="s">
        <v>4807</v>
      </c>
      <c r="K908" s="33" t="s">
        <v>1791</v>
      </c>
      <c r="L908" s="33" t="s">
        <v>3211</v>
      </c>
      <c r="M908" s="33" t="s">
        <v>1793</v>
      </c>
      <c r="N908" s="33" t="s">
        <v>4135</v>
      </c>
      <c r="Q908" s="33" t="s">
        <v>4050</v>
      </c>
    </row>
    <row r="909" spans="1:17">
      <c r="A909" s="33" t="s">
        <v>4808</v>
      </c>
      <c r="B909" s="33" t="s">
        <v>4809</v>
      </c>
      <c r="C909" s="33" t="s">
        <v>4132</v>
      </c>
      <c r="D909" s="33" t="s">
        <v>4068</v>
      </c>
      <c r="E909" s="33" t="s">
        <v>1786</v>
      </c>
      <c r="F909" s="33" t="s">
        <v>1787</v>
      </c>
      <c r="G909" s="33" t="s">
        <v>4323</v>
      </c>
      <c r="H909" s="33" t="s">
        <v>2695</v>
      </c>
      <c r="I909" s="33" t="s">
        <v>2695</v>
      </c>
      <c r="J909" s="33" t="s">
        <v>4810</v>
      </c>
      <c r="K909" s="33" t="s">
        <v>1791</v>
      </c>
      <c r="L909" s="33" t="s">
        <v>3211</v>
      </c>
      <c r="M909" s="33" t="s">
        <v>2041</v>
      </c>
      <c r="N909" s="33" t="s">
        <v>4135</v>
      </c>
      <c r="Q909" s="33" t="s">
        <v>4050</v>
      </c>
    </row>
    <row r="910" spans="1:17">
      <c r="A910" s="33" t="s">
        <v>4709</v>
      </c>
      <c r="B910" s="33" t="s">
        <v>4811</v>
      </c>
      <c r="C910" s="33" t="s">
        <v>4116</v>
      </c>
      <c r="D910" s="33" t="s">
        <v>4068</v>
      </c>
      <c r="E910" s="33" t="s">
        <v>1786</v>
      </c>
      <c r="F910" s="33" t="s">
        <v>1787</v>
      </c>
      <c r="G910" s="33" t="s">
        <v>27</v>
      </c>
      <c r="H910" s="33" t="s">
        <v>2695</v>
      </c>
      <c r="I910" s="33" t="s">
        <v>2695</v>
      </c>
      <c r="J910" s="33" t="s">
        <v>4812</v>
      </c>
      <c r="K910" s="33" t="s">
        <v>1791</v>
      </c>
      <c r="L910" s="33" t="s">
        <v>3211</v>
      </c>
      <c r="M910" s="33" t="s">
        <v>2033</v>
      </c>
      <c r="N910" s="33" t="s">
        <v>4119</v>
      </c>
      <c r="Q910" s="33" t="s">
        <v>4050</v>
      </c>
    </row>
    <row r="911" spans="1:17" hidden="1">
      <c r="A911" s="33" t="s">
        <v>3077</v>
      </c>
      <c r="B911" s="33" t="s">
        <v>4813</v>
      </c>
      <c r="C911" s="33" t="s">
        <v>1980</v>
      </c>
      <c r="D911" s="33" t="s">
        <v>4068</v>
      </c>
      <c r="E911" s="33" t="s">
        <v>1808</v>
      </c>
      <c r="F911" s="33" t="s">
        <v>1787</v>
      </c>
      <c r="G911" s="33" t="s">
        <v>2820</v>
      </c>
      <c r="H911" s="33" t="s">
        <v>2695</v>
      </c>
      <c r="I911" s="33" t="s">
        <v>2695</v>
      </c>
      <c r="J911" s="33" t="s">
        <v>3220</v>
      </c>
      <c r="K911" s="33" t="s">
        <v>1791</v>
      </c>
      <c r="L911" s="33" t="s">
        <v>2695</v>
      </c>
      <c r="M911" s="33" t="s">
        <v>1827</v>
      </c>
      <c r="N911" s="33" t="s">
        <v>1849</v>
      </c>
      <c r="Q911" s="33" t="s">
        <v>4050</v>
      </c>
    </row>
    <row r="912" spans="1:17">
      <c r="A912" s="33" t="s">
        <v>4814</v>
      </c>
      <c r="B912" s="33" t="s">
        <v>4815</v>
      </c>
      <c r="C912" s="33" t="s">
        <v>2374</v>
      </c>
      <c r="D912" s="33" t="s">
        <v>4068</v>
      </c>
      <c r="E912" s="33" t="s">
        <v>1786</v>
      </c>
      <c r="F912" s="33" t="s">
        <v>1787</v>
      </c>
      <c r="G912" s="33" t="s">
        <v>67</v>
      </c>
      <c r="H912" s="33" t="s">
        <v>4816</v>
      </c>
      <c r="I912" s="33" t="s">
        <v>4816</v>
      </c>
      <c r="J912" s="33" t="s">
        <v>4817</v>
      </c>
      <c r="K912" s="33" t="s">
        <v>1791</v>
      </c>
      <c r="L912" s="33" t="s">
        <v>3211</v>
      </c>
      <c r="M912" s="33" t="s">
        <v>2033</v>
      </c>
      <c r="N912" s="33" t="s">
        <v>1849</v>
      </c>
      <c r="Q912" s="33" t="s">
        <v>4050</v>
      </c>
    </row>
    <row r="913" spans="1:17">
      <c r="A913" s="33" t="s">
        <v>4818</v>
      </c>
      <c r="B913" s="33" t="s">
        <v>4819</v>
      </c>
      <c r="C913" s="33" t="s">
        <v>4061</v>
      </c>
      <c r="D913" s="33" t="s">
        <v>4068</v>
      </c>
      <c r="E913" s="33" t="s">
        <v>1786</v>
      </c>
      <c r="F913" s="33" t="s">
        <v>1815</v>
      </c>
      <c r="G913" s="33" t="s">
        <v>4062</v>
      </c>
      <c r="H913" s="33" t="s">
        <v>2838</v>
      </c>
      <c r="I913" s="33" t="s">
        <v>2838</v>
      </c>
      <c r="J913" s="33" t="s">
        <v>4820</v>
      </c>
      <c r="K913" s="33" t="s">
        <v>1791</v>
      </c>
      <c r="L913" s="33" t="s">
        <v>3211</v>
      </c>
      <c r="M913" s="33" t="s">
        <v>2041</v>
      </c>
      <c r="N913" s="33" t="s">
        <v>4065</v>
      </c>
      <c r="Q913" s="33" t="s">
        <v>4050</v>
      </c>
    </row>
    <row r="914" spans="1:17">
      <c r="A914" s="33" t="s">
        <v>4821</v>
      </c>
      <c r="B914" s="33" t="s">
        <v>4822</v>
      </c>
      <c r="C914" s="33" t="s">
        <v>4061</v>
      </c>
      <c r="D914" s="33" t="s">
        <v>4068</v>
      </c>
      <c r="E914" s="33" t="s">
        <v>1786</v>
      </c>
      <c r="F914" s="33" t="s">
        <v>1856</v>
      </c>
      <c r="G914" s="33" t="s">
        <v>4062</v>
      </c>
      <c r="H914" s="33" t="s">
        <v>2838</v>
      </c>
      <c r="I914" s="33" t="s">
        <v>2838</v>
      </c>
      <c r="J914" s="33" t="s">
        <v>4823</v>
      </c>
      <c r="K914" s="33" t="s">
        <v>1791</v>
      </c>
      <c r="L914" s="33" t="s">
        <v>3211</v>
      </c>
      <c r="M914" s="33" t="s">
        <v>2041</v>
      </c>
      <c r="N914" s="33" t="s">
        <v>4065</v>
      </c>
      <c r="Q914" s="33" t="s">
        <v>4050</v>
      </c>
    </row>
    <row r="915" spans="1:17" hidden="1">
      <c r="A915" s="33" t="s">
        <v>4824</v>
      </c>
      <c r="B915" s="33" t="s">
        <v>4825</v>
      </c>
      <c r="C915" s="33" t="s">
        <v>4132</v>
      </c>
      <c r="D915" s="33" t="s">
        <v>4323</v>
      </c>
      <c r="E915" s="33" t="s">
        <v>2471</v>
      </c>
      <c r="F915" s="33" t="s">
        <v>1787</v>
      </c>
      <c r="G915" s="33" t="s">
        <v>4323</v>
      </c>
      <c r="H915" s="33" t="s">
        <v>2838</v>
      </c>
      <c r="I915" s="33" t="s">
        <v>2838</v>
      </c>
      <c r="J915" s="33" t="s">
        <v>4826</v>
      </c>
      <c r="K915" s="33" t="s">
        <v>2471</v>
      </c>
      <c r="L915" s="33" t="s">
        <v>3211</v>
      </c>
      <c r="M915" s="33" t="s">
        <v>2041</v>
      </c>
      <c r="N915" s="33" t="s">
        <v>4135</v>
      </c>
      <c r="Q915" s="33" t="s">
        <v>4050</v>
      </c>
    </row>
    <row r="916" spans="1:17" hidden="1">
      <c r="A916" s="33" t="s">
        <v>4824</v>
      </c>
      <c r="B916" s="33" t="s">
        <v>4827</v>
      </c>
      <c r="C916" s="33" t="s">
        <v>4132</v>
      </c>
      <c r="D916" s="33" t="s">
        <v>4323</v>
      </c>
      <c r="E916" s="33" t="s">
        <v>2471</v>
      </c>
      <c r="F916" s="33" t="s">
        <v>1787</v>
      </c>
      <c r="G916" s="33" t="s">
        <v>4323</v>
      </c>
      <c r="H916" s="33" t="s">
        <v>2838</v>
      </c>
      <c r="I916" s="33" t="s">
        <v>2838</v>
      </c>
      <c r="J916" s="33" t="s">
        <v>4828</v>
      </c>
      <c r="K916" s="33" t="s">
        <v>2471</v>
      </c>
      <c r="L916" s="33" t="s">
        <v>3211</v>
      </c>
      <c r="M916" s="33" t="s">
        <v>2041</v>
      </c>
      <c r="N916" s="33" t="s">
        <v>4135</v>
      </c>
      <c r="Q916" s="33" t="s">
        <v>4050</v>
      </c>
    </row>
    <row r="917" spans="1:17">
      <c r="A917" s="33" t="s">
        <v>4829</v>
      </c>
      <c r="B917" s="33" t="s">
        <v>4830</v>
      </c>
      <c r="C917" s="33" t="s">
        <v>4132</v>
      </c>
      <c r="D917" s="33" t="s">
        <v>4068</v>
      </c>
      <c r="E917" s="33" t="s">
        <v>1786</v>
      </c>
      <c r="F917" s="33" t="s">
        <v>1787</v>
      </c>
      <c r="G917" s="33" t="s">
        <v>4133</v>
      </c>
      <c r="H917" s="33" t="s">
        <v>2838</v>
      </c>
      <c r="I917" s="33" t="s">
        <v>2838</v>
      </c>
      <c r="J917" s="33" t="s">
        <v>4831</v>
      </c>
      <c r="K917" s="33" t="s">
        <v>1791</v>
      </c>
      <c r="L917" s="33" t="s">
        <v>3211</v>
      </c>
      <c r="M917" s="33" t="s">
        <v>2041</v>
      </c>
      <c r="N917" s="33" t="s">
        <v>4135</v>
      </c>
      <c r="Q917" s="33" t="s">
        <v>4050</v>
      </c>
    </row>
    <row r="918" spans="1:17" hidden="1">
      <c r="A918" s="33" t="s">
        <v>4832</v>
      </c>
      <c r="B918" s="33" t="s">
        <v>4833</v>
      </c>
      <c r="C918" s="33" t="s">
        <v>4132</v>
      </c>
      <c r="D918" s="33" t="s">
        <v>4398</v>
      </c>
      <c r="E918" s="33" t="s">
        <v>2471</v>
      </c>
      <c r="F918" s="33" t="s">
        <v>1787</v>
      </c>
      <c r="G918" s="33" t="s">
        <v>4398</v>
      </c>
      <c r="H918" s="33" t="s">
        <v>2838</v>
      </c>
      <c r="I918" s="33" t="s">
        <v>2838</v>
      </c>
      <c r="J918" s="33" t="s">
        <v>4834</v>
      </c>
      <c r="K918" s="33" t="s">
        <v>2471</v>
      </c>
      <c r="L918" s="33" t="s">
        <v>2838</v>
      </c>
      <c r="M918" s="33" t="s">
        <v>196</v>
      </c>
      <c r="N918" s="33" t="s">
        <v>4135</v>
      </c>
      <c r="Q918" s="33" t="s">
        <v>4050</v>
      </c>
    </row>
    <row r="919" spans="1:17">
      <c r="A919" s="33" t="s">
        <v>4835</v>
      </c>
      <c r="B919" s="33" t="s">
        <v>4836</v>
      </c>
      <c r="C919" s="33" t="s">
        <v>1980</v>
      </c>
      <c r="D919" s="33" t="s">
        <v>4068</v>
      </c>
      <c r="E919" s="33" t="s">
        <v>1786</v>
      </c>
      <c r="F919" s="33" t="s">
        <v>1787</v>
      </c>
      <c r="G919" s="33" t="s">
        <v>1981</v>
      </c>
      <c r="H919" s="33" t="s">
        <v>2838</v>
      </c>
      <c r="I919" s="33" t="s">
        <v>2838</v>
      </c>
      <c r="J919" s="33" t="s">
        <v>4837</v>
      </c>
      <c r="K919" s="33" t="s">
        <v>1791</v>
      </c>
      <c r="L919" s="33" t="s">
        <v>3211</v>
      </c>
      <c r="M919" s="33" t="s">
        <v>1899</v>
      </c>
      <c r="N919" s="33" t="s">
        <v>1849</v>
      </c>
      <c r="Q919" s="33" t="s">
        <v>4050</v>
      </c>
    </row>
    <row r="920" spans="1:17">
      <c r="A920" s="33" t="s">
        <v>4838</v>
      </c>
      <c r="B920" s="33" t="s">
        <v>4839</v>
      </c>
      <c r="C920" s="33" t="s">
        <v>3205</v>
      </c>
      <c r="D920" s="33" t="s">
        <v>4068</v>
      </c>
      <c r="E920" s="33" t="s">
        <v>1786</v>
      </c>
      <c r="F920" s="33" t="s">
        <v>1815</v>
      </c>
      <c r="G920" s="33" t="s">
        <v>3883</v>
      </c>
      <c r="H920" s="33" t="s">
        <v>2838</v>
      </c>
      <c r="I920" s="33" t="s">
        <v>2838</v>
      </c>
      <c r="J920" s="33" t="s">
        <v>4840</v>
      </c>
      <c r="K920" s="33" t="s">
        <v>1791</v>
      </c>
      <c r="L920" s="33" t="s">
        <v>3211</v>
      </c>
      <c r="M920" s="33" t="s">
        <v>1838</v>
      </c>
      <c r="N920" s="33" t="s">
        <v>95</v>
      </c>
      <c r="Q920" s="33" t="s">
        <v>4050</v>
      </c>
    </row>
    <row r="921" spans="1:17">
      <c r="A921" s="33" t="s">
        <v>4841</v>
      </c>
      <c r="B921" s="33" t="s">
        <v>4842</v>
      </c>
      <c r="C921" s="33" t="s">
        <v>2205</v>
      </c>
      <c r="D921" s="33" t="s">
        <v>4068</v>
      </c>
      <c r="E921" s="33" t="s">
        <v>1786</v>
      </c>
      <c r="F921" s="33" t="s">
        <v>1856</v>
      </c>
      <c r="G921" s="33" t="s">
        <v>4075</v>
      </c>
      <c r="H921" s="33" t="s">
        <v>2902</v>
      </c>
      <c r="I921" s="33" t="s">
        <v>2902</v>
      </c>
      <c r="J921" s="33" t="s">
        <v>4843</v>
      </c>
      <c r="K921" s="33" t="s">
        <v>1791</v>
      </c>
      <c r="L921" s="33" t="s">
        <v>3211</v>
      </c>
      <c r="M921" s="33" t="s">
        <v>196</v>
      </c>
      <c r="N921" s="33" t="s">
        <v>73</v>
      </c>
      <c r="Q921" s="33" t="s">
        <v>4050</v>
      </c>
    </row>
    <row r="922" spans="1:17" hidden="1">
      <c r="A922" s="33" t="s">
        <v>3225</v>
      </c>
      <c r="B922" s="33" t="s">
        <v>4844</v>
      </c>
      <c r="C922" s="33" t="s">
        <v>1980</v>
      </c>
      <c r="D922" s="33" t="s">
        <v>4068</v>
      </c>
      <c r="E922" s="33" t="s">
        <v>1808</v>
      </c>
      <c r="F922" s="33" t="s">
        <v>1787</v>
      </c>
      <c r="G922" s="33" t="s">
        <v>3139</v>
      </c>
      <c r="H922" s="33" t="s">
        <v>2902</v>
      </c>
      <c r="I922" s="33" t="s">
        <v>2902</v>
      </c>
      <c r="J922" s="33" t="s">
        <v>3227</v>
      </c>
      <c r="K922" s="33" t="s">
        <v>1791</v>
      </c>
      <c r="L922" s="33" t="s">
        <v>2902</v>
      </c>
      <c r="M922" s="33" t="s">
        <v>82</v>
      </c>
      <c r="N922" s="33" t="s">
        <v>1849</v>
      </c>
      <c r="Q922" s="33" t="s">
        <v>4050</v>
      </c>
    </row>
    <row r="923" spans="1:17" hidden="1">
      <c r="A923" s="33" t="s">
        <v>4845</v>
      </c>
      <c r="B923" s="33" t="s">
        <v>4846</v>
      </c>
      <c r="C923" s="33" t="s">
        <v>4132</v>
      </c>
      <c r="D923" s="33" t="s">
        <v>4398</v>
      </c>
      <c r="E923" s="33" t="s">
        <v>2471</v>
      </c>
      <c r="F923" s="33" t="s">
        <v>1787</v>
      </c>
      <c r="G923" s="33" t="s">
        <v>4398</v>
      </c>
      <c r="H923" s="33" t="s">
        <v>2902</v>
      </c>
      <c r="I923" s="33" t="s">
        <v>2902</v>
      </c>
      <c r="J923" s="33" t="s">
        <v>4847</v>
      </c>
      <c r="K923" s="33" t="s">
        <v>2471</v>
      </c>
      <c r="L923" s="33" t="s">
        <v>2902</v>
      </c>
      <c r="M923" s="33" t="s">
        <v>1849</v>
      </c>
      <c r="N923" s="33" t="s">
        <v>4135</v>
      </c>
      <c r="Q923" s="33" t="s">
        <v>4050</v>
      </c>
    </row>
    <row r="924" spans="1:17">
      <c r="A924" s="33" t="s">
        <v>4848</v>
      </c>
      <c r="B924" s="33" t="s">
        <v>4849</v>
      </c>
      <c r="C924" s="33" t="s">
        <v>4748</v>
      </c>
      <c r="D924" s="33" t="s">
        <v>4068</v>
      </c>
      <c r="E924" s="33" t="s">
        <v>1786</v>
      </c>
      <c r="F924" s="33" t="s">
        <v>2069</v>
      </c>
      <c r="G924" s="33" t="s">
        <v>4307</v>
      </c>
      <c r="H924" s="33" t="s">
        <v>2902</v>
      </c>
      <c r="I924" s="33" t="s">
        <v>2902</v>
      </c>
      <c r="J924" s="33" t="s">
        <v>4850</v>
      </c>
      <c r="K924" s="33" t="s">
        <v>1791</v>
      </c>
      <c r="L924" s="33" t="s">
        <v>3211</v>
      </c>
      <c r="M924" s="33" t="s">
        <v>1793</v>
      </c>
      <c r="N924" s="33" t="s">
        <v>2041</v>
      </c>
      <c r="Q924" s="33" t="s">
        <v>4050</v>
      </c>
    </row>
    <row r="925" spans="1:17" hidden="1">
      <c r="A925" s="33" t="s">
        <v>4851</v>
      </c>
      <c r="B925" s="33" t="s">
        <v>4852</v>
      </c>
      <c r="C925" s="33" t="s">
        <v>4132</v>
      </c>
      <c r="D925" s="33" t="s">
        <v>4398</v>
      </c>
      <c r="E925" s="33" t="s">
        <v>2471</v>
      </c>
      <c r="F925" s="33" t="s">
        <v>1787</v>
      </c>
      <c r="G925" s="33" t="s">
        <v>4398</v>
      </c>
      <c r="H925" s="33" t="s">
        <v>2902</v>
      </c>
      <c r="I925" s="33" t="s">
        <v>2902</v>
      </c>
      <c r="J925" s="33" t="s">
        <v>4853</v>
      </c>
      <c r="K925" s="33" t="s">
        <v>2471</v>
      </c>
      <c r="L925" s="33" t="s">
        <v>2902</v>
      </c>
      <c r="M925" s="33" t="s">
        <v>2151</v>
      </c>
      <c r="N925" s="33" t="s">
        <v>4135</v>
      </c>
      <c r="Q925" s="33" t="s">
        <v>4050</v>
      </c>
    </row>
    <row r="926" spans="1:17">
      <c r="A926" s="33" t="s">
        <v>4854</v>
      </c>
      <c r="B926" s="33" t="s">
        <v>4855</v>
      </c>
      <c r="C926" s="33" t="s">
        <v>4748</v>
      </c>
      <c r="D926" s="33" t="s">
        <v>4068</v>
      </c>
      <c r="E926" s="33" t="s">
        <v>1786</v>
      </c>
      <c r="F926" s="33" t="s">
        <v>1815</v>
      </c>
      <c r="G926" s="33" t="s">
        <v>4307</v>
      </c>
      <c r="H926" s="33" t="s">
        <v>2902</v>
      </c>
      <c r="I926" s="33" t="s">
        <v>2902</v>
      </c>
      <c r="J926" s="33" t="s">
        <v>4856</v>
      </c>
      <c r="K926" s="33" t="s">
        <v>1791</v>
      </c>
      <c r="L926" s="33" t="s">
        <v>3211</v>
      </c>
      <c r="M926" s="33" t="s">
        <v>1849</v>
      </c>
      <c r="N926" s="33" t="s">
        <v>2041</v>
      </c>
      <c r="Q926" s="33" t="s">
        <v>4050</v>
      </c>
    </row>
    <row r="927" spans="1:17">
      <c r="A927" s="33" t="s">
        <v>4857</v>
      </c>
      <c r="B927" s="33" t="s">
        <v>4858</v>
      </c>
      <c r="C927" s="33" t="s">
        <v>4132</v>
      </c>
      <c r="D927" s="33" t="s">
        <v>4068</v>
      </c>
      <c r="E927" s="33" t="s">
        <v>1786</v>
      </c>
      <c r="F927" s="33" t="s">
        <v>1787</v>
      </c>
      <c r="G927" s="33" t="s">
        <v>4209</v>
      </c>
      <c r="H927" s="33" t="s">
        <v>3091</v>
      </c>
      <c r="I927" s="33" t="s">
        <v>3091</v>
      </c>
      <c r="J927" s="33" t="s">
        <v>4859</v>
      </c>
      <c r="K927" s="33" t="s">
        <v>1791</v>
      </c>
      <c r="L927" s="33" t="s">
        <v>3211</v>
      </c>
      <c r="M927" s="33" t="s">
        <v>2041</v>
      </c>
      <c r="N927" s="33" t="s">
        <v>4135</v>
      </c>
      <c r="Q927" s="33" t="s">
        <v>4050</v>
      </c>
    </row>
    <row r="928" spans="1:17">
      <c r="A928" s="33" t="s">
        <v>4421</v>
      </c>
      <c r="B928" s="33" t="s">
        <v>4860</v>
      </c>
      <c r="C928" s="33" t="s">
        <v>2205</v>
      </c>
      <c r="D928" s="33" t="s">
        <v>4068</v>
      </c>
      <c r="E928" s="33" t="s">
        <v>1786</v>
      </c>
      <c r="F928" s="33" t="s">
        <v>2069</v>
      </c>
      <c r="G928" s="33" t="s">
        <v>14</v>
      </c>
      <c r="H928" s="33" t="s">
        <v>3091</v>
      </c>
      <c r="I928" s="33" t="s">
        <v>3091</v>
      </c>
      <c r="J928" s="33" t="s">
        <v>4861</v>
      </c>
      <c r="K928" s="33" t="s">
        <v>1791</v>
      </c>
      <c r="L928" s="33" t="s">
        <v>3211</v>
      </c>
      <c r="M928" s="33" t="s">
        <v>1849</v>
      </c>
      <c r="N928" s="33" t="s">
        <v>4172</v>
      </c>
      <c r="Q928" s="33" t="s">
        <v>4050</v>
      </c>
    </row>
    <row r="929" spans="1:17">
      <c r="A929" s="33" t="s">
        <v>4709</v>
      </c>
      <c r="B929" s="33" t="s">
        <v>4862</v>
      </c>
      <c r="C929" s="33" t="s">
        <v>4116</v>
      </c>
      <c r="D929" s="33" t="s">
        <v>4068</v>
      </c>
      <c r="E929" s="33" t="s">
        <v>1786</v>
      </c>
      <c r="F929" s="33" t="s">
        <v>1787</v>
      </c>
      <c r="G929" s="33" t="s">
        <v>27</v>
      </c>
      <c r="H929" s="33" t="s">
        <v>3091</v>
      </c>
      <c r="I929" s="33" t="s">
        <v>3091</v>
      </c>
      <c r="J929" s="33" t="s">
        <v>4863</v>
      </c>
      <c r="K929" s="33" t="s">
        <v>1791</v>
      </c>
      <c r="L929" s="33" t="s">
        <v>3211</v>
      </c>
      <c r="M929" s="33" t="s">
        <v>2033</v>
      </c>
      <c r="N929" s="33" t="s">
        <v>4119</v>
      </c>
      <c r="Q929" s="33" t="s">
        <v>4050</v>
      </c>
    </row>
    <row r="930" spans="1:17">
      <c r="A930" s="33" t="s">
        <v>4864</v>
      </c>
      <c r="B930" s="33" t="s">
        <v>4865</v>
      </c>
      <c r="C930" s="33" t="s">
        <v>4132</v>
      </c>
      <c r="D930" s="33" t="s">
        <v>4068</v>
      </c>
      <c r="E930" s="33" t="s">
        <v>1786</v>
      </c>
      <c r="F930" s="33" t="s">
        <v>1787</v>
      </c>
      <c r="G930" s="33" t="s">
        <v>4323</v>
      </c>
      <c r="H930" s="33" t="s">
        <v>3091</v>
      </c>
      <c r="I930" s="33" t="s">
        <v>3091</v>
      </c>
      <c r="J930" s="33" t="s">
        <v>4866</v>
      </c>
      <c r="K930" s="33" t="s">
        <v>1791</v>
      </c>
      <c r="L930" s="33" t="s">
        <v>3211</v>
      </c>
      <c r="M930" s="33" t="s">
        <v>2041</v>
      </c>
      <c r="N930" s="33" t="s">
        <v>4135</v>
      </c>
      <c r="Q930" s="33" t="s">
        <v>4050</v>
      </c>
    </row>
    <row r="931" spans="1:17" hidden="1">
      <c r="A931" s="33" t="s">
        <v>4867</v>
      </c>
      <c r="B931" s="33" t="s">
        <v>4868</v>
      </c>
      <c r="C931" s="33" t="s">
        <v>1949</v>
      </c>
      <c r="D931" s="33" t="s">
        <v>4068</v>
      </c>
      <c r="E931" s="33" t="s">
        <v>1836</v>
      </c>
      <c r="F931" s="33" t="s">
        <v>1787</v>
      </c>
      <c r="G931" s="33" t="s">
        <v>3472</v>
      </c>
      <c r="H931" s="33" t="s">
        <v>3091</v>
      </c>
      <c r="I931" s="33" t="s">
        <v>3091</v>
      </c>
      <c r="J931" s="33" t="s">
        <v>4869</v>
      </c>
      <c r="K931" s="33" t="s">
        <v>1791</v>
      </c>
      <c r="L931" s="33" t="s">
        <v>3194</v>
      </c>
      <c r="M931" s="33" t="s">
        <v>4870</v>
      </c>
      <c r="N931" s="33" t="s">
        <v>55</v>
      </c>
      <c r="Q931" s="33" t="s">
        <v>4050</v>
      </c>
    </row>
    <row r="932" spans="1:17" hidden="1">
      <c r="A932" s="33" t="s">
        <v>4871</v>
      </c>
      <c r="B932" s="33" t="s">
        <v>4872</v>
      </c>
      <c r="C932" s="33" t="s">
        <v>4132</v>
      </c>
      <c r="D932" s="33" t="s">
        <v>4398</v>
      </c>
      <c r="E932" s="33" t="s">
        <v>2471</v>
      </c>
      <c r="F932" s="33" t="s">
        <v>1787</v>
      </c>
      <c r="G932" s="33" t="s">
        <v>4398</v>
      </c>
      <c r="H932" s="33" t="s">
        <v>3091</v>
      </c>
      <c r="I932" s="33" t="s">
        <v>3091</v>
      </c>
      <c r="J932" s="33" t="s">
        <v>4873</v>
      </c>
      <c r="K932" s="33" t="s">
        <v>2471</v>
      </c>
      <c r="L932" s="33" t="s">
        <v>3091</v>
      </c>
      <c r="M932" s="33" t="s">
        <v>77</v>
      </c>
      <c r="N932" s="33" t="s">
        <v>4135</v>
      </c>
      <c r="Q932" s="33" t="s">
        <v>4050</v>
      </c>
    </row>
    <row r="933" spans="1:17">
      <c r="A933" s="33" t="s">
        <v>4874</v>
      </c>
      <c r="B933" s="33" t="s">
        <v>4875</v>
      </c>
      <c r="C933" s="33" t="s">
        <v>4132</v>
      </c>
      <c r="D933" s="33" t="s">
        <v>4068</v>
      </c>
      <c r="E933" s="33" t="s">
        <v>1786</v>
      </c>
      <c r="F933" s="33" t="s">
        <v>1815</v>
      </c>
      <c r="G933" s="33" t="s">
        <v>4133</v>
      </c>
      <c r="H933" s="33" t="s">
        <v>3175</v>
      </c>
      <c r="I933" s="33" t="s">
        <v>3175</v>
      </c>
      <c r="J933" s="33" t="s">
        <v>4876</v>
      </c>
      <c r="K933" s="33" t="s">
        <v>1791</v>
      </c>
      <c r="L933" s="33" t="s">
        <v>2685</v>
      </c>
      <c r="M933" s="33" t="s">
        <v>2041</v>
      </c>
      <c r="N933" s="33" t="s">
        <v>4135</v>
      </c>
      <c r="Q933" s="33" t="s">
        <v>4050</v>
      </c>
    </row>
    <row r="934" spans="1:17">
      <c r="A934" s="33" t="s">
        <v>4877</v>
      </c>
      <c r="B934" s="33" t="s">
        <v>4878</v>
      </c>
      <c r="C934" s="33" t="s">
        <v>4381</v>
      </c>
      <c r="D934" s="33" t="s">
        <v>4068</v>
      </c>
      <c r="E934" s="33" t="s">
        <v>1786</v>
      </c>
      <c r="F934" s="33" t="s">
        <v>1815</v>
      </c>
      <c r="G934" s="33" t="s">
        <v>20</v>
      </c>
      <c r="H934" s="33" t="s">
        <v>3175</v>
      </c>
      <c r="I934" s="33" t="s">
        <v>3175</v>
      </c>
      <c r="J934" s="33" t="s">
        <v>4879</v>
      </c>
      <c r="K934" s="33" t="s">
        <v>1791</v>
      </c>
      <c r="L934" s="33" t="s">
        <v>2685</v>
      </c>
      <c r="M934" s="33" t="s">
        <v>4880</v>
      </c>
      <c r="N934" s="33" t="s">
        <v>19</v>
      </c>
      <c r="Q934" s="33" t="s">
        <v>4050</v>
      </c>
    </row>
    <row r="935" spans="1:17">
      <c r="A935" s="33" t="s">
        <v>4877</v>
      </c>
      <c r="B935" s="33" t="s">
        <v>4881</v>
      </c>
      <c r="C935" s="33" t="s">
        <v>4381</v>
      </c>
      <c r="D935" s="33" t="s">
        <v>4068</v>
      </c>
      <c r="E935" s="33" t="s">
        <v>1786</v>
      </c>
      <c r="F935" s="33" t="s">
        <v>1856</v>
      </c>
      <c r="G935" s="33" t="s">
        <v>20</v>
      </c>
      <c r="H935" s="33" t="s">
        <v>3175</v>
      </c>
      <c r="I935" s="33" t="s">
        <v>3175</v>
      </c>
      <c r="J935" s="33" t="s">
        <v>4882</v>
      </c>
      <c r="K935" s="33" t="s">
        <v>1791</v>
      </c>
      <c r="L935" s="33" t="s">
        <v>3242</v>
      </c>
      <c r="M935" s="33" t="s">
        <v>73</v>
      </c>
      <c r="N935" s="33" t="s">
        <v>19</v>
      </c>
      <c r="Q935" s="33" t="s">
        <v>4050</v>
      </c>
    </row>
    <row r="936" spans="1:17">
      <c r="A936" s="33" t="s">
        <v>4877</v>
      </c>
      <c r="B936" s="33" t="s">
        <v>4883</v>
      </c>
      <c r="C936" s="33" t="s">
        <v>4381</v>
      </c>
      <c r="D936" s="33" t="s">
        <v>4068</v>
      </c>
      <c r="E936" s="33" t="s">
        <v>1786</v>
      </c>
      <c r="F936" s="33" t="s">
        <v>1856</v>
      </c>
      <c r="G936" s="33" t="s">
        <v>20</v>
      </c>
      <c r="H936" s="33" t="s">
        <v>3175</v>
      </c>
      <c r="I936" s="33" t="s">
        <v>3175</v>
      </c>
      <c r="J936" s="33" t="s">
        <v>4884</v>
      </c>
      <c r="K936" s="33" t="s">
        <v>1791</v>
      </c>
      <c r="L936" s="33" t="s">
        <v>3242</v>
      </c>
      <c r="M936" s="33" t="s">
        <v>1849</v>
      </c>
      <c r="N936" s="33" t="s">
        <v>19</v>
      </c>
      <c r="Q936" s="33" t="s">
        <v>4050</v>
      </c>
    </row>
    <row r="937" spans="1:17">
      <c r="A937" s="33" t="s">
        <v>4885</v>
      </c>
      <c r="B937" s="33" t="s">
        <v>4886</v>
      </c>
      <c r="C937" s="33" t="s">
        <v>4748</v>
      </c>
      <c r="D937" s="33" t="s">
        <v>4068</v>
      </c>
      <c r="E937" s="33" t="s">
        <v>1786</v>
      </c>
      <c r="F937" s="33" t="s">
        <v>1787</v>
      </c>
      <c r="G937" s="33" t="s">
        <v>4307</v>
      </c>
      <c r="H937" s="33" t="s">
        <v>3175</v>
      </c>
      <c r="I937" s="33" t="s">
        <v>3175</v>
      </c>
      <c r="J937" s="33" t="s">
        <v>4887</v>
      </c>
      <c r="K937" s="33" t="s">
        <v>1791</v>
      </c>
      <c r="L937" s="33" t="s">
        <v>2685</v>
      </c>
      <c r="M937" s="33" t="s">
        <v>1838</v>
      </c>
      <c r="N937" s="33" t="s">
        <v>2041</v>
      </c>
      <c r="Q937" s="33" t="s">
        <v>4050</v>
      </c>
    </row>
    <row r="938" spans="1:17">
      <c r="A938" s="33" t="s">
        <v>4885</v>
      </c>
      <c r="B938" s="33" t="s">
        <v>4888</v>
      </c>
      <c r="C938" s="33" t="s">
        <v>1980</v>
      </c>
      <c r="D938" s="33" t="s">
        <v>4068</v>
      </c>
      <c r="E938" s="33" t="s">
        <v>1786</v>
      </c>
      <c r="F938" s="33" t="s">
        <v>1815</v>
      </c>
      <c r="G938" s="33" t="s">
        <v>4307</v>
      </c>
      <c r="H938" s="33" t="s">
        <v>3175</v>
      </c>
      <c r="I938" s="33" t="s">
        <v>3175</v>
      </c>
      <c r="J938" s="33" t="s">
        <v>4889</v>
      </c>
      <c r="K938" s="33" t="s">
        <v>1791</v>
      </c>
      <c r="L938" s="33" t="s">
        <v>2685</v>
      </c>
      <c r="M938" s="33" t="s">
        <v>1793</v>
      </c>
      <c r="N938" s="33" t="s">
        <v>2041</v>
      </c>
      <c r="Q938" s="33" t="s">
        <v>4050</v>
      </c>
    </row>
    <row r="939" spans="1:17">
      <c r="A939" s="33" t="s">
        <v>4890</v>
      </c>
      <c r="B939" s="33" t="s">
        <v>4891</v>
      </c>
      <c r="C939" s="33" t="s">
        <v>1980</v>
      </c>
      <c r="D939" s="33" t="s">
        <v>4068</v>
      </c>
      <c r="E939" s="33" t="s">
        <v>1786</v>
      </c>
      <c r="F939" s="33" t="s">
        <v>1787</v>
      </c>
      <c r="G939" s="33" t="s">
        <v>4307</v>
      </c>
      <c r="H939" s="33" t="s">
        <v>3175</v>
      </c>
      <c r="I939" s="33" t="s">
        <v>3175</v>
      </c>
      <c r="J939" s="33" t="s">
        <v>4892</v>
      </c>
      <c r="K939" s="33" t="s">
        <v>1791</v>
      </c>
      <c r="L939" s="33" t="s">
        <v>2685</v>
      </c>
      <c r="M939" s="33" t="s">
        <v>1793</v>
      </c>
      <c r="N939" s="33" t="s">
        <v>2041</v>
      </c>
      <c r="Q939" s="33" t="s">
        <v>4050</v>
      </c>
    </row>
    <row r="940" spans="1:17">
      <c r="A940" s="33" t="s">
        <v>4893</v>
      </c>
      <c r="B940" s="33" t="s">
        <v>4894</v>
      </c>
      <c r="C940" s="33" t="s">
        <v>2205</v>
      </c>
      <c r="D940" s="33" t="s">
        <v>4068</v>
      </c>
      <c r="E940" s="33" t="s">
        <v>1786</v>
      </c>
      <c r="F940" s="33" t="s">
        <v>1815</v>
      </c>
      <c r="G940" s="33" t="s">
        <v>14</v>
      </c>
      <c r="H940" s="33" t="s">
        <v>3175</v>
      </c>
      <c r="I940" s="33" t="s">
        <v>3175</v>
      </c>
      <c r="J940" s="33" t="s">
        <v>4895</v>
      </c>
      <c r="K940" s="33" t="s">
        <v>1791</v>
      </c>
      <c r="L940" s="33" t="s">
        <v>2685</v>
      </c>
      <c r="M940" s="33" t="s">
        <v>1849</v>
      </c>
      <c r="N940" s="33" t="s">
        <v>4172</v>
      </c>
      <c r="Q940" s="33" t="s">
        <v>4050</v>
      </c>
    </row>
    <row r="941" spans="1:17">
      <c r="A941" s="33" t="s">
        <v>4896</v>
      </c>
      <c r="B941" s="33" t="s">
        <v>4897</v>
      </c>
      <c r="C941" s="33" t="s">
        <v>4748</v>
      </c>
      <c r="D941" s="33" t="s">
        <v>4068</v>
      </c>
      <c r="E941" s="33" t="s">
        <v>1786</v>
      </c>
      <c r="F941" s="33" t="s">
        <v>1787</v>
      </c>
      <c r="G941" s="33" t="s">
        <v>4307</v>
      </c>
      <c r="H941" s="33" t="s">
        <v>3175</v>
      </c>
      <c r="I941" s="33" t="s">
        <v>3175</v>
      </c>
      <c r="J941" s="33" t="s">
        <v>4898</v>
      </c>
      <c r="K941" s="33" t="s">
        <v>1791</v>
      </c>
      <c r="L941" s="33" t="s">
        <v>2685</v>
      </c>
      <c r="M941" s="33" t="s">
        <v>1827</v>
      </c>
      <c r="N941" s="33" t="s">
        <v>2041</v>
      </c>
      <c r="Q941" s="33" t="s">
        <v>4050</v>
      </c>
    </row>
    <row r="942" spans="1:17">
      <c r="A942" s="33" t="s">
        <v>4899</v>
      </c>
      <c r="B942" s="33" t="s">
        <v>4900</v>
      </c>
      <c r="C942" s="33" t="s">
        <v>2205</v>
      </c>
      <c r="D942" s="33" t="s">
        <v>4068</v>
      </c>
      <c r="E942" s="33" t="s">
        <v>1786</v>
      </c>
      <c r="F942" s="33" t="s">
        <v>1815</v>
      </c>
      <c r="G942" s="33" t="s">
        <v>14</v>
      </c>
      <c r="H942" s="33" t="s">
        <v>3175</v>
      </c>
      <c r="I942" s="33" t="s">
        <v>3175</v>
      </c>
      <c r="J942" s="33" t="s">
        <v>4901</v>
      </c>
      <c r="K942" s="33" t="s">
        <v>1791</v>
      </c>
      <c r="L942" s="33" t="s">
        <v>2685</v>
      </c>
      <c r="M942" s="33" t="s">
        <v>1849</v>
      </c>
      <c r="N942" s="33" t="s">
        <v>4172</v>
      </c>
      <c r="Q942" s="33" t="s">
        <v>4050</v>
      </c>
    </row>
    <row r="943" spans="1:17">
      <c r="A943" s="33" t="s">
        <v>4902</v>
      </c>
      <c r="B943" s="33" t="s">
        <v>4903</v>
      </c>
      <c r="C943" s="33" t="s">
        <v>4748</v>
      </c>
      <c r="D943" s="33" t="s">
        <v>4068</v>
      </c>
      <c r="E943" s="33" t="s">
        <v>1786</v>
      </c>
      <c r="F943" s="33" t="s">
        <v>1787</v>
      </c>
      <c r="G943" s="33" t="s">
        <v>4307</v>
      </c>
      <c r="H943" s="33" t="s">
        <v>3175</v>
      </c>
      <c r="I943" s="33" t="s">
        <v>3175</v>
      </c>
      <c r="J943" s="33" t="s">
        <v>4904</v>
      </c>
      <c r="K943" s="33" t="s">
        <v>1791</v>
      </c>
      <c r="L943" s="33" t="s">
        <v>2685</v>
      </c>
      <c r="M943" s="33" t="s">
        <v>1827</v>
      </c>
      <c r="N943" s="33" t="s">
        <v>2041</v>
      </c>
      <c r="Q943" s="33" t="s">
        <v>4050</v>
      </c>
    </row>
    <row r="944" spans="1:17">
      <c r="A944" s="33" t="s">
        <v>4905</v>
      </c>
      <c r="B944" s="33" t="s">
        <v>4906</v>
      </c>
      <c r="C944" s="33" t="s">
        <v>2205</v>
      </c>
      <c r="D944" s="33" t="s">
        <v>4068</v>
      </c>
      <c r="E944" s="33" t="s">
        <v>1786</v>
      </c>
      <c r="F944" s="33" t="s">
        <v>1864</v>
      </c>
      <c r="G944" s="33" t="s">
        <v>14</v>
      </c>
      <c r="H944" s="33" t="s">
        <v>3175</v>
      </c>
      <c r="I944" s="33" t="s">
        <v>3175</v>
      </c>
      <c r="J944" s="33" t="s">
        <v>4907</v>
      </c>
      <c r="K944" s="33" t="s">
        <v>1791</v>
      </c>
      <c r="L944" s="33" t="s">
        <v>2685</v>
      </c>
      <c r="M944" s="33" t="s">
        <v>73</v>
      </c>
      <c r="N944" s="33" t="s">
        <v>4172</v>
      </c>
      <c r="Q944" s="33" t="s">
        <v>4050</v>
      </c>
    </row>
    <row r="945" spans="1:17">
      <c r="A945" s="33" t="s">
        <v>4908</v>
      </c>
      <c r="B945" s="33" t="s">
        <v>4909</v>
      </c>
      <c r="C945" s="33" t="s">
        <v>4748</v>
      </c>
      <c r="D945" s="33" t="s">
        <v>4068</v>
      </c>
      <c r="E945" s="33" t="s">
        <v>1786</v>
      </c>
      <c r="F945" s="33" t="s">
        <v>1856</v>
      </c>
      <c r="G945" s="33" t="s">
        <v>4307</v>
      </c>
      <c r="H945" s="33" t="s">
        <v>3175</v>
      </c>
      <c r="I945" s="33" t="s">
        <v>3175</v>
      </c>
      <c r="J945" s="33" t="s">
        <v>4910</v>
      </c>
      <c r="K945" s="33" t="s">
        <v>1791</v>
      </c>
      <c r="L945" s="33" t="s">
        <v>3242</v>
      </c>
      <c r="M945" s="33" t="s">
        <v>1793</v>
      </c>
      <c r="N945" s="33" t="s">
        <v>2041</v>
      </c>
      <c r="Q945" s="33" t="s">
        <v>4050</v>
      </c>
    </row>
    <row r="946" spans="1:17" hidden="1">
      <c r="A946" s="33" t="s">
        <v>4911</v>
      </c>
      <c r="B946" s="33" t="s">
        <v>4912</v>
      </c>
      <c r="C946" s="33" t="s">
        <v>4132</v>
      </c>
      <c r="D946" s="33" t="s">
        <v>4398</v>
      </c>
      <c r="E946" s="33" t="s">
        <v>2471</v>
      </c>
      <c r="F946" s="33" t="s">
        <v>1787</v>
      </c>
      <c r="G946" s="33" t="s">
        <v>4398</v>
      </c>
      <c r="H946" s="33" t="s">
        <v>3175</v>
      </c>
      <c r="I946" s="33" t="s">
        <v>3175</v>
      </c>
      <c r="J946" s="33" t="s">
        <v>4913</v>
      </c>
      <c r="K946" s="33" t="s">
        <v>2471</v>
      </c>
      <c r="L946" s="33" t="s">
        <v>3175</v>
      </c>
      <c r="M946" s="33" t="s">
        <v>1995</v>
      </c>
      <c r="N946" s="33" t="s">
        <v>4135</v>
      </c>
      <c r="Q946" s="33" t="s">
        <v>4050</v>
      </c>
    </row>
    <row r="947" spans="1:17">
      <c r="A947" s="33" t="s">
        <v>4914</v>
      </c>
      <c r="B947" s="33" t="s">
        <v>4915</v>
      </c>
      <c r="C947" s="33" t="s">
        <v>4529</v>
      </c>
      <c r="D947" s="33" t="s">
        <v>4068</v>
      </c>
      <c r="E947" s="33" t="s">
        <v>1786</v>
      </c>
      <c r="F947" s="33" t="s">
        <v>1815</v>
      </c>
      <c r="G947" s="33" t="s">
        <v>4530</v>
      </c>
      <c r="H947" s="33" t="s">
        <v>3194</v>
      </c>
      <c r="I947" s="33" t="s">
        <v>3194</v>
      </c>
      <c r="J947" s="33" t="s">
        <v>4916</v>
      </c>
      <c r="K947" s="33" t="s">
        <v>1791</v>
      </c>
      <c r="L947" s="33" t="s">
        <v>3242</v>
      </c>
      <c r="M947" s="33" t="s">
        <v>1849</v>
      </c>
      <c r="N947" s="33" t="s">
        <v>4533</v>
      </c>
      <c r="Q947" s="33" t="s">
        <v>4050</v>
      </c>
    </row>
    <row r="948" spans="1:17" hidden="1">
      <c r="A948" s="33" t="s">
        <v>4917</v>
      </c>
      <c r="B948" s="33" t="s">
        <v>4918</v>
      </c>
      <c r="C948" s="33" t="s">
        <v>1831</v>
      </c>
      <c r="D948" s="33" t="s">
        <v>4068</v>
      </c>
      <c r="E948" s="33" t="s">
        <v>1836</v>
      </c>
      <c r="F948" s="33" t="s">
        <v>1787</v>
      </c>
      <c r="G948" s="33" t="s">
        <v>2088</v>
      </c>
      <c r="H948" s="33" t="s">
        <v>3194</v>
      </c>
      <c r="I948" s="33" t="s">
        <v>3194</v>
      </c>
      <c r="J948" s="33" t="s">
        <v>4919</v>
      </c>
      <c r="K948" s="33" t="s">
        <v>1791</v>
      </c>
      <c r="L948" s="33" t="s">
        <v>3211</v>
      </c>
      <c r="M948" s="33" t="s">
        <v>1827</v>
      </c>
      <c r="N948" s="33" t="s">
        <v>1827</v>
      </c>
      <c r="Q948" s="33" t="s">
        <v>4050</v>
      </c>
    </row>
    <row r="949" spans="1:17" hidden="1">
      <c r="A949" s="33" t="s">
        <v>4920</v>
      </c>
      <c r="B949" s="33" t="s">
        <v>4921</v>
      </c>
      <c r="C949" s="33" t="s">
        <v>1831</v>
      </c>
      <c r="D949" s="33" t="s">
        <v>4068</v>
      </c>
      <c r="E949" s="33" t="s">
        <v>1836</v>
      </c>
      <c r="F949" s="33" t="s">
        <v>1787</v>
      </c>
      <c r="G949" s="33" t="s">
        <v>2088</v>
      </c>
      <c r="H949" s="33" t="s">
        <v>3194</v>
      </c>
      <c r="I949" s="33" t="s">
        <v>3194</v>
      </c>
      <c r="J949" s="33" t="s">
        <v>3216</v>
      </c>
      <c r="K949" s="33" t="s">
        <v>1791</v>
      </c>
      <c r="L949" s="33" t="s">
        <v>3211</v>
      </c>
      <c r="M949" s="33" t="s">
        <v>1827</v>
      </c>
      <c r="N949" s="33" t="s">
        <v>1827</v>
      </c>
      <c r="Q949" s="33" t="s">
        <v>4050</v>
      </c>
    </row>
    <row r="950" spans="1:17" hidden="1">
      <c r="A950" s="33" t="s">
        <v>4922</v>
      </c>
      <c r="B950" s="33" t="s">
        <v>4923</v>
      </c>
      <c r="C950" s="33" t="s">
        <v>1980</v>
      </c>
      <c r="D950" s="33" t="s">
        <v>3832</v>
      </c>
      <c r="E950" s="33" t="s">
        <v>2471</v>
      </c>
      <c r="F950" s="33" t="s">
        <v>1787</v>
      </c>
      <c r="G950" s="33" t="s">
        <v>3832</v>
      </c>
      <c r="H950" s="33" t="s">
        <v>3207</v>
      </c>
      <c r="I950" s="33" t="s">
        <v>3207</v>
      </c>
      <c r="J950" s="33" t="s">
        <v>4924</v>
      </c>
      <c r="K950" s="33" t="s">
        <v>2471</v>
      </c>
      <c r="L950" s="33" t="s">
        <v>3242</v>
      </c>
      <c r="M950" s="33" t="s">
        <v>1793</v>
      </c>
      <c r="N950" s="33" t="s">
        <v>1849</v>
      </c>
      <c r="Q950" s="33" t="s">
        <v>4050</v>
      </c>
    </row>
    <row r="951" spans="1:17">
      <c r="A951" s="33" t="s">
        <v>4709</v>
      </c>
      <c r="B951" s="33" t="s">
        <v>4925</v>
      </c>
      <c r="C951" s="33" t="s">
        <v>4116</v>
      </c>
      <c r="D951" s="33" t="s">
        <v>4068</v>
      </c>
      <c r="E951" s="33" t="s">
        <v>1786</v>
      </c>
      <c r="F951" s="33" t="s">
        <v>1787</v>
      </c>
      <c r="G951" s="33" t="s">
        <v>27</v>
      </c>
      <c r="H951" s="33" t="s">
        <v>3207</v>
      </c>
      <c r="I951" s="33" t="s">
        <v>3207</v>
      </c>
      <c r="J951" s="33" t="s">
        <v>4926</v>
      </c>
      <c r="K951" s="33" t="s">
        <v>1791</v>
      </c>
      <c r="L951" s="33" t="s">
        <v>3242</v>
      </c>
      <c r="M951" s="33" t="s">
        <v>2033</v>
      </c>
      <c r="N951" s="33" t="s">
        <v>4119</v>
      </c>
      <c r="Q951" s="33" t="s">
        <v>4050</v>
      </c>
    </row>
    <row r="952" spans="1:17">
      <c r="A952" s="33" t="s">
        <v>4709</v>
      </c>
      <c r="B952" s="33" t="s">
        <v>4927</v>
      </c>
      <c r="C952" s="33" t="s">
        <v>4116</v>
      </c>
      <c r="D952" s="33" t="s">
        <v>4068</v>
      </c>
      <c r="E952" s="33" t="s">
        <v>1786</v>
      </c>
      <c r="F952" s="33" t="s">
        <v>1787</v>
      </c>
      <c r="G952" s="33" t="s">
        <v>27</v>
      </c>
      <c r="H952" s="33" t="s">
        <v>3207</v>
      </c>
      <c r="I952" s="33" t="s">
        <v>3207</v>
      </c>
      <c r="J952" s="33" t="s">
        <v>4928</v>
      </c>
      <c r="K952" s="33" t="s">
        <v>1791</v>
      </c>
      <c r="L952" s="33" t="s">
        <v>3242</v>
      </c>
      <c r="M952" s="33" t="s">
        <v>2033</v>
      </c>
      <c r="N952" s="33" t="s">
        <v>4119</v>
      </c>
      <c r="Q952" s="33" t="s">
        <v>4050</v>
      </c>
    </row>
    <row r="953" spans="1:17">
      <c r="A953" s="33" t="s">
        <v>4718</v>
      </c>
      <c r="B953" s="33" t="s">
        <v>4929</v>
      </c>
      <c r="C953" s="33" t="s">
        <v>1980</v>
      </c>
      <c r="D953" s="33" t="s">
        <v>4068</v>
      </c>
      <c r="E953" s="33" t="s">
        <v>1786</v>
      </c>
      <c r="F953" s="33" t="s">
        <v>1787</v>
      </c>
      <c r="G953" s="33" t="s">
        <v>2820</v>
      </c>
      <c r="H953" s="33" t="s">
        <v>3207</v>
      </c>
      <c r="I953" s="33" t="s">
        <v>3207</v>
      </c>
      <c r="J953" s="33" t="s">
        <v>4930</v>
      </c>
      <c r="K953" s="33" t="s">
        <v>1791</v>
      </c>
      <c r="L953" s="33" t="s">
        <v>3242</v>
      </c>
      <c r="M953" s="33" t="s">
        <v>1793</v>
      </c>
      <c r="N953" s="33" t="s">
        <v>1849</v>
      </c>
      <c r="Q953" s="33" t="s">
        <v>4050</v>
      </c>
    </row>
    <row r="954" spans="1:17">
      <c r="A954" s="33" t="s">
        <v>4931</v>
      </c>
      <c r="B954" s="33" t="s">
        <v>4932</v>
      </c>
      <c r="C954" s="33" t="s">
        <v>1831</v>
      </c>
      <c r="D954" s="33" t="s">
        <v>4068</v>
      </c>
      <c r="E954" s="33" t="s">
        <v>1786</v>
      </c>
      <c r="F954" s="33" t="s">
        <v>1787</v>
      </c>
      <c r="G954" s="33" t="s">
        <v>4933</v>
      </c>
      <c r="H954" s="33" t="s">
        <v>3211</v>
      </c>
      <c r="I954" s="33" t="s">
        <v>3211</v>
      </c>
      <c r="J954" s="33" t="s">
        <v>4934</v>
      </c>
      <c r="K954" s="33" t="s">
        <v>1791</v>
      </c>
      <c r="L954" s="33" t="s">
        <v>3242</v>
      </c>
      <c r="M954" s="33" t="s">
        <v>95</v>
      </c>
      <c r="N954" s="33" t="s">
        <v>1827</v>
      </c>
      <c r="Q954" s="33" t="s">
        <v>4050</v>
      </c>
    </row>
    <row r="955" spans="1:17">
      <c r="A955" s="33" t="s">
        <v>4935</v>
      </c>
      <c r="B955" s="33" t="s">
        <v>4936</v>
      </c>
      <c r="C955" s="33" t="s">
        <v>4132</v>
      </c>
      <c r="D955" s="33" t="s">
        <v>4068</v>
      </c>
      <c r="E955" s="33" t="s">
        <v>1786</v>
      </c>
      <c r="F955" s="33" t="s">
        <v>1787</v>
      </c>
      <c r="G955" s="33" t="s">
        <v>4133</v>
      </c>
      <c r="H955" s="33" t="s">
        <v>3211</v>
      </c>
      <c r="I955" s="33" t="s">
        <v>3211</v>
      </c>
      <c r="J955" s="33" t="s">
        <v>4937</v>
      </c>
      <c r="K955" s="33" t="s">
        <v>1791</v>
      </c>
      <c r="L955" s="33" t="s">
        <v>3242</v>
      </c>
      <c r="M955" s="33" t="s">
        <v>2041</v>
      </c>
      <c r="N955" s="33" t="s">
        <v>4135</v>
      </c>
      <c r="Q955" s="33" t="s">
        <v>4050</v>
      </c>
    </row>
    <row r="956" spans="1:17">
      <c r="A956" s="33" t="s">
        <v>4938</v>
      </c>
      <c r="B956" s="33" t="s">
        <v>4939</v>
      </c>
      <c r="C956" s="33" t="s">
        <v>4940</v>
      </c>
      <c r="D956" s="33" t="s">
        <v>4068</v>
      </c>
      <c r="E956" s="33" t="s">
        <v>1786</v>
      </c>
      <c r="F956" s="33" t="s">
        <v>1787</v>
      </c>
      <c r="G956" s="33" t="s">
        <v>12</v>
      </c>
      <c r="H956" s="33" t="s">
        <v>3211</v>
      </c>
      <c r="I956" s="33" t="s">
        <v>3211</v>
      </c>
      <c r="J956" s="33" t="s">
        <v>4941</v>
      </c>
      <c r="K956" s="33" t="s">
        <v>1791</v>
      </c>
      <c r="L956" s="33" t="s">
        <v>3242</v>
      </c>
      <c r="M956" s="33" t="s">
        <v>80</v>
      </c>
      <c r="N956" s="33" t="s">
        <v>2402</v>
      </c>
      <c r="Q956" s="33" t="s">
        <v>4050</v>
      </c>
    </row>
    <row r="957" spans="1:17" hidden="1">
      <c r="A957" s="33" t="s">
        <v>4942</v>
      </c>
      <c r="B957" s="33" t="s">
        <v>4943</v>
      </c>
      <c r="C957" s="33" t="s">
        <v>4132</v>
      </c>
      <c r="D957" s="33" t="s">
        <v>4323</v>
      </c>
      <c r="E957" s="33" t="s">
        <v>2471</v>
      </c>
      <c r="F957" s="33" t="s">
        <v>1787</v>
      </c>
      <c r="G957" s="33" t="s">
        <v>4323</v>
      </c>
      <c r="H957" s="33" t="s">
        <v>3211</v>
      </c>
      <c r="I957" s="33" t="s">
        <v>3211</v>
      </c>
      <c r="J957" s="33" t="s">
        <v>4944</v>
      </c>
      <c r="K957" s="33" t="s">
        <v>2471</v>
      </c>
      <c r="L957" s="33" t="s">
        <v>3242</v>
      </c>
      <c r="M957" s="33" t="s">
        <v>2041</v>
      </c>
      <c r="N957" s="33" t="s">
        <v>4135</v>
      </c>
      <c r="Q957" s="33" t="s">
        <v>4050</v>
      </c>
    </row>
    <row r="958" spans="1:17" hidden="1">
      <c r="A958" s="33" t="s">
        <v>4945</v>
      </c>
      <c r="B958" s="33" t="s">
        <v>4946</v>
      </c>
      <c r="C958" s="33" t="s">
        <v>4132</v>
      </c>
      <c r="D958" s="33" t="s">
        <v>4314</v>
      </c>
      <c r="E958" s="33" t="s">
        <v>2471</v>
      </c>
      <c r="F958" s="33" t="s">
        <v>1787</v>
      </c>
      <c r="G958" s="33" t="s">
        <v>4314</v>
      </c>
      <c r="H958" s="33" t="s">
        <v>2685</v>
      </c>
      <c r="I958" s="33" t="s">
        <v>2685</v>
      </c>
      <c r="J958" s="33" t="s">
        <v>4947</v>
      </c>
      <c r="K958" s="33" t="s">
        <v>2471</v>
      </c>
      <c r="L958" s="33" t="s">
        <v>3242</v>
      </c>
      <c r="M958" s="33" t="s">
        <v>1793</v>
      </c>
      <c r="N958" s="33" t="s">
        <v>4135</v>
      </c>
      <c r="Q958" s="33" t="s">
        <v>4050</v>
      </c>
    </row>
    <row r="959" spans="1:17">
      <c r="A959" s="33" t="s">
        <v>4948</v>
      </c>
      <c r="B959" s="33" t="s">
        <v>4949</v>
      </c>
      <c r="C959" s="33" t="s">
        <v>1807</v>
      </c>
      <c r="D959" s="33" t="s">
        <v>4068</v>
      </c>
      <c r="E959" s="33" t="s">
        <v>1786</v>
      </c>
      <c r="F959" s="33" t="s">
        <v>1787</v>
      </c>
      <c r="G959" s="33" t="s">
        <v>94</v>
      </c>
      <c r="H959" s="33" t="s">
        <v>2685</v>
      </c>
      <c r="I959" s="33" t="s">
        <v>2685</v>
      </c>
      <c r="J959" s="33" t="s">
        <v>4950</v>
      </c>
      <c r="K959" s="33" t="s">
        <v>1791</v>
      </c>
      <c r="L959" s="33" t="s">
        <v>3242</v>
      </c>
      <c r="M959" s="33" t="s">
        <v>1849</v>
      </c>
      <c r="N959" s="33" t="s">
        <v>1839</v>
      </c>
      <c r="Q959" s="33" t="s">
        <v>4050</v>
      </c>
    </row>
    <row r="960" spans="1:17">
      <c r="A960" s="33" t="s">
        <v>4951</v>
      </c>
      <c r="B960" s="33" t="s">
        <v>4952</v>
      </c>
      <c r="C960" s="33" t="s">
        <v>4953</v>
      </c>
      <c r="D960" s="33" t="s">
        <v>4068</v>
      </c>
      <c r="E960" s="33" t="s">
        <v>1786</v>
      </c>
      <c r="F960" s="33" t="s">
        <v>2011</v>
      </c>
      <c r="G960" s="33" t="s">
        <v>4954</v>
      </c>
      <c r="H960" s="33" t="s">
        <v>2685</v>
      </c>
      <c r="I960" s="33" t="s">
        <v>2685</v>
      </c>
      <c r="J960" s="33" t="s">
        <v>4955</v>
      </c>
      <c r="K960" s="33" t="s">
        <v>1791</v>
      </c>
      <c r="L960" s="33" t="s">
        <v>3242</v>
      </c>
      <c r="M960" s="33" t="s">
        <v>1863</v>
      </c>
      <c r="N960" s="33" t="s">
        <v>3092</v>
      </c>
      <c r="Q960" s="33" t="s">
        <v>4050</v>
      </c>
    </row>
    <row r="961" spans="1:17" hidden="1">
      <c r="A961" s="33" t="s">
        <v>4956</v>
      </c>
      <c r="B961" s="33" t="s">
        <v>4957</v>
      </c>
      <c r="C961" s="33" t="s">
        <v>4132</v>
      </c>
      <c r="D961" s="33" t="s">
        <v>4314</v>
      </c>
      <c r="E961" s="33" t="s">
        <v>2471</v>
      </c>
      <c r="F961" s="33" t="s">
        <v>1787</v>
      </c>
      <c r="G961" s="33" t="s">
        <v>4314</v>
      </c>
      <c r="H961" s="33" t="s">
        <v>2685</v>
      </c>
      <c r="I961" s="33" t="s">
        <v>2685</v>
      </c>
      <c r="J961" s="33" t="s">
        <v>4958</v>
      </c>
      <c r="K961" s="33" t="s">
        <v>2471</v>
      </c>
      <c r="L961" s="33" t="s">
        <v>3242</v>
      </c>
      <c r="M961" s="33" t="s">
        <v>1793</v>
      </c>
      <c r="N961" s="33" t="s">
        <v>4135</v>
      </c>
      <c r="Q961" s="33" t="s">
        <v>4050</v>
      </c>
    </row>
    <row r="962" spans="1:17">
      <c r="A962" s="33" t="s">
        <v>4959</v>
      </c>
      <c r="B962" s="33" t="s">
        <v>4960</v>
      </c>
      <c r="C962" s="33" t="s">
        <v>4132</v>
      </c>
      <c r="D962" s="33" t="s">
        <v>4068</v>
      </c>
      <c r="E962" s="33" t="s">
        <v>1786</v>
      </c>
      <c r="F962" s="33" t="s">
        <v>1787</v>
      </c>
      <c r="G962" s="33" t="s">
        <v>4133</v>
      </c>
      <c r="H962" s="33" t="s">
        <v>2685</v>
      </c>
      <c r="I962" s="33" t="s">
        <v>2685</v>
      </c>
      <c r="J962" s="33" t="s">
        <v>4961</v>
      </c>
      <c r="K962" s="33" t="s">
        <v>1791</v>
      </c>
      <c r="L962" s="33" t="s">
        <v>3242</v>
      </c>
      <c r="M962" s="33" t="s">
        <v>2041</v>
      </c>
      <c r="N962" s="33" t="s">
        <v>4135</v>
      </c>
      <c r="Q962" s="33" t="s">
        <v>4050</v>
      </c>
    </row>
    <row r="963" spans="1:17">
      <c r="A963" s="33" t="s">
        <v>4962</v>
      </c>
      <c r="B963" s="33" t="s">
        <v>4963</v>
      </c>
      <c r="C963" s="33" t="s">
        <v>2443</v>
      </c>
      <c r="D963" s="33" t="s">
        <v>4068</v>
      </c>
      <c r="E963" s="33" t="s">
        <v>1786</v>
      </c>
      <c r="F963" s="33" t="s">
        <v>1815</v>
      </c>
      <c r="G963" s="33" t="s">
        <v>2444</v>
      </c>
      <c r="H963" s="33" t="s">
        <v>2685</v>
      </c>
      <c r="I963" s="33" t="s">
        <v>2685</v>
      </c>
      <c r="J963" s="33" t="s">
        <v>4964</v>
      </c>
      <c r="K963" s="33" t="s">
        <v>1791</v>
      </c>
      <c r="L963" s="33" t="s">
        <v>3242</v>
      </c>
      <c r="M963" s="33" t="s">
        <v>1827</v>
      </c>
      <c r="N963" s="33" t="s">
        <v>2050</v>
      </c>
      <c r="Q963" s="33" t="s">
        <v>4050</v>
      </c>
    </row>
    <row r="964" spans="1:17">
      <c r="A964" s="33" t="s">
        <v>4965</v>
      </c>
      <c r="B964" s="33" t="s">
        <v>4966</v>
      </c>
      <c r="C964" s="33" t="s">
        <v>2443</v>
      </c>
      <c r="D964" s="33" t="s">
        <v>4068</v>
      </c>
      <c r="E964" s="33" t="s">
        <v>1786</v>
      </c>
      <c r="F964" s="33" t="s">
        <v>1864</v>
      </c>
      <c r="G964" s="33" t="s">
        <v>2444</v>
      </c>
      <c r="H964" s="33" t="s">
        <v>2685</v>
      </c>
      <c r="I964" s="33" t="s">
        <v>2685</v>
      </c>
      <c r="J964" s="33" t="s">
        <v>4967</v>
      </c>
      <c r="K964" s="33" t="s">
        <v>1791</v>
      </c>
      <c r="L964" s="33" t="s">
        <v>3242</v>
      </c>
      <c r="M964" s="33" t="s">
        <v>2437</v>
      </c>
      <c r="N964" s="33" t="s">
        <v>2050</v>
      </c>
      <c r="Q964" s="33" t="s">
        <v>4050</v>
      </c>
    </row>
    <row r="965" spans="1:17">
      <c r="A965" s="33" t="s">
        <v>4968</v>
      </c>
      <c r="B965" s="33" t="s">
        <v>4969</v>
      </c>
      <c r="C965" s="33" t="s">
        <v>4132</v>
      </c>
      <c r="D965" s="33" t="s">
        <v>4068</v>
      </c>
      <c r="E965" s="33" t="s">
        <v>1786</v>
      </c>
      <c r="F965" s="33" t="s">
        <v>1787</v>
      </c>
      <c r="G965" s="33" t="s">
        <v>4133</v>
      </c>
      <c r="H965" s="33" t="s">
        <v>3242</v>
      </c>
      <c r="I965" s="33" t="s">
        <v>3242</v>
      </c>
      <c r="J965" s="33" t="s">
        <v>4970</v>
      </c>
      <c r="K965" s="33" t="s">
        <v>1791</v>
      </c>
      <c r="L965" s="33" t="s">
        <v>3246</v>
      </c>
      <c r="M965" s="33" t="s">
        <v>2041</v>
      </c>
      <c r="N965" s="33" t="s">
        <v>4135</v>
      </c>
      <c r="Q965" s="33" t="s">
        <v>4050</v>
      </c>
    </row>
    <row r="966" spans="1:17">
      <c r="A966" s="33" t="s">
        <v>4971</v>
      </c>
      <c r="B966" s="33" t="s">
        <v>4972</v>
      </c>
      <c r="C966" s="33" t="s">
        <v>1831</v>
      </c>
      <c r="D966" s="33" t="s">
        <v>4068</v>
      </c>
      <c r="E966" s="33" t="s">
        <v>1786</v>
      </c>
      <c r="F966" s="33" t="s">
        <v>1787</v>
      </c>
      <c r="G966" s="33" t="s">
        <v>68</v>
      </c>
      <c r="H966" s="33" t="s">
        <v>3246</v>
      </c>
      <c r="I966" s="33" t="s">
        <v>3246</v>
      </c>
      <c r="J966" s="33" t="s">
        <v>4973</v>
      </c>
      <c r="K966" s="33" t="s">
        <v>1791</v>
      </c>
      <c r="L966" s="33" t="s">
        <v>3246</v>
      </c>
      <c r="M966" s="33" t="s">
        <v>2437</v>
      </c>
      <c r="N966" s="33" t="s">
        <v>1827</v>
      </c>
      <c r="Q966" s="33" t="s">
        <v>4050</v>
      </c>
    </row>
    <row r="967" spans="1:17">
      <c r="A967" s="33" t="s">
        <v>4974</v>
      </c>
      <c r="B967" s="33" t="s">
        <v>4975</v>
      </c>
      <c r="C967" s="33" t="s">
        <v>2205</v>
      </c>
      <c r="D967" s="33" t="s">
        <v>4068</v>
      </c>
      <c r="E967" s="33" t="s">
        <v>1786</v>
      </c>
      <c r="F967" s="33" t="s">
        <v>1815</v>
      </c>
      <c r="G967" s="33" t="s">
        <v>3289</v>
      </c>
      <c r="H967" s="33" t="s">
        <v>3246</v>
      </c>
      <c r="I967" s="33" t="s">
        <v>3246</v>
      </c>
      <c r="J967" s="33" t="s">
        <v>4976</v>
      </c>
      <c r="K967" s="33" t="s">
        <v>1791</v>
      </c>
      <c r="L967" s="33" t="s">
        <v>3246</v>
      </c>
      <c r="M967" s="33" t="s">
        <v>1849</v>
      </c>
      <c r="N967" s="33" t="s">
        <v>77</v>
      </c>
      <c r="Q967" s="33" t="s">
        <v>4050</v>
      </c>
    </row>
    <row r="968" spans="1:17">
      <c r="A968" s="33" t="s">
        <v>4977</v>
      </c>
      <c r="B968" s="33" t="s">
        <v>4978</v>
      </c>
      <c r="C968" s="33" t="s">
        <v>2205</v>
      </c>
      <c r="D968" s="33" t="s">
        <v>4068</v>
      </c>
      <c r="E968" s="33" t="s">
        <v>1786</v>
      </c>
      <c r="F968" s="33" t="s">
        <v>1787</v>
      </c>
      <c r="G968" s="33" t="s">
        <v>4979</v>
      </c>
      <c r="H968" s="33" t="s">
        <v>3246</v>
      </c>
      <c r="I968" s="33" t="s">
        <v>3246</v>
      </c>
      <c r="J968" s="33" t="s">
        <v>4980</v>
      </c>
      <c r="K968" s="33" t="s">
        <v>1791</v>
      </c>
      <c r="L968" s="33" t="s">
        <v>3273</v>
      </c>
      <c r="M968" s="33" t="s">
        <v>1849</v>
      </c>
      <c r="N968" s="33" t="s">
        <v>77</v>
      </c>
      <c r="Q968" s="33" t="s">
        <v>4050</v>
      </c>
    </row>
    <row r="969" spans="1:17" hidden="1">
      <c r="A969" s="33" t="s">
        <v>4981</v>
      </c>
      <c r="B969" s="33" t="s">
        <v>4982</v>
      </c>
      <c r="C969" s="33" t="s">
        <v>2205</v>
      </c>
      <c r="D969" s="33" t="s">
        <v>4068</v>
      </c>
      <c r="E969" s="33" t="s">
        <v>1836</v>
      </c>
      <c r="F969" s="33" t="s">
        <v>1787</v>
      </c>
      <c r="G969" s="33" t="s">
        <v>3944</v>
      </c>
      <c r="H969" s="33" t="s">
        <v>3246</v>
      </c>
      <c r="I969" s="33" t="s">
        <v>3246</v>
      </c>
      <c r="J969" s="33" t="s">
        <v>4983</v>
      </c>
      <c r="K969" s="33" t="s">
        <v>1791</v>
      </c>
      <c r="L969" s="33" t="s">
        <v>3273</v>
      </c>
      <c r="M969" s="33" t="s">
        <v>49</v>
      </c>
      <c r="N969" s="33" t="s">
        <v>77</v>
      </c>
      <c r="Q969" s="33" t="s">
        <v>4050</v>
      </c>
    </row>
    <row r="970" spans="1:17">
      <c r="A970" s="33" t="s">
        <v>4984</v>
      </c>
      <c r="B970" s="33" t="s">
        <v>4985</v>
      </c>
      <c r="C970" s="33" t="s">
        <v>2205</v>
      </c>
      <c r="D970" s="33" t="s">
        <v>3944</v>
      </c>
      <c r="E970" s="33" t="s">
        <v>3976</v>
      </c>
      <c r="F970" s="33" t="s">
        <v>1787</v>
      </c>
      <c r="G970" s="33" t="s">
        <v>3944</v>
      </c>
      <c r="H970" s="33" t="s">
        <v>3246</v>
      </c>
      <c r="I970" s="33" t="s">
        <v>3246</v>
      </c>
      <c r="J970" s="33" t="s">
        <v>4986</v>
      </c>
      <c r="K970" s="33" t="s">
        <v>1791</v>
      </c>
      <c r="L970" s="33" t="s">
        <v>3246</v>
      </c>
      <c r="M970" s="33" t="s">
        <v>49</v>
      </c>
      <c r="N970" s="33" t="s">
        <v>77</v>
      </c>
      <c r="Q970" s="33" t="s">
        <v>4050</v>
      </c>
    </row>
    <row r="971" spans="1:17">
      <c r="A971" s="33" t="s">
        <v>4987</v>
      </c>
      <c r="B971" s="33" t="s">
        <v>4988</v>
      </c>
      <c r="C971" s="33" t="s">
        <v>4116</v>
      </c>
      <c r="D971" s="33" t="s">
        <v>4068</v>
      </c>
      <c r="E971" s="33" t="s">
        <v>1786</v>
      </c>
      <c r="F971" s="33" t="s">
        <v>1787</v>
      </c>
      <c r="G971" s="33" t="s">
        <v>4789</v>
      </c>
      <c r="H971" s="33" t="s">
        <v>3246</v>
      </c>
      <c r="I971" s="33" t="s">
        <v>3246</v>
      </c>
      <c r="J971" s="33" t="s">
        <v>4989</v>
      </c>
      <c r="K971" s="33" t="s">
        <v>1791</v>
      </c>
      <c r="L971" s="33" t="s">
        <v>3273</v>
      </c>
      <c r="M971" s="33" t="s">
        <v>72</v>
      </c>
      <c r="N971" s="33" t="s">
        <v>4119</v>
      </c>
      <c r="Q971" s="33" t="s">
        <v>4050</v>
      </c>
    </row>
    <row r="972" spans="1:17" hidden="1">
      <c r="A972" s="33" t="s">
        <v>4990</v>
      </c>
      <c r="B972" s="33" t="s">
        <v>4991</v>
      </c>
      <c r="C972" s="33" t="s">
        <v>4748</v>
      </c>
      <c r="D972" s="33" t="s">
        <v>4307</v>
      </c>
      <c r="E972" s="33" t="s">
        <v>2471</v>
      </c>
      <c r="F972" s="33" t="s">
        <v>1787</v>
      </c>
      <c r="G972" s="33" t="s">
        <v>4307</v>
      </c>
      <c r="H972" s="33" t="s">
        <v>3246</v>
      </c>
      <c r="I972" s="33" t="s">
        <v>3246</v>
      </c>
      <c r="J972" s="33" t="s">
        <v>4992</v>
      </c>
      <c r="K972" s="33" t="s">
        <v>2471</v>
      </c>
      <c r="L972" s="33" t="s">
        <v>3273</v>
      </c>
      <c r="M972" s="33" t="s">
        <v>2151</v>
      </c>
      <c r="N972" s="33" t="s">
        <v>2041</v>
      </c>
      <c r="Q972" s="33" t="s">
        <v>4050</v>
      </c>
    </row>
    <row r="973" spans="1:17">
      <c r="A973" s="33" t="s">
        <v>4993</v>
      </c>
      <c r="B973" s="33" t="s">
        <v>4994</v>
      </c>
      <c r="C973" s="33" t="s">
        <v>4748</v>
      </c>
      <c r="D973" s="33" t="s">
        <v>4068</v>
      </c>
      <c r="E973" s="33" t="s">
        <v>1786</v>
      </c>
      <c r="F973" s="33" t="s">
        <v>1787</v>
      </c>
      <c r="G973" s="33" t="s">
        <v>4307</v>
      </c>
      <c r="H973" s="33" t="s">
        <v>3246</v>
      </c>
      <c r="I973" s="33" t="s">
        <v>3246</v>
      </c>
      <c r="J973" s="33" t="s">
        <v>4995</v>
      </c>
      <c r="K973" s="33" t="s">
        <v>1791</v>
      </c>
      <c r="L973" s="33" t="s">
        <v>3273</v>
      </c>
      <c r="M973" s="33" t="s">
        <v>1793</v>
      </c>
      <c r="N973" s="33" t="s">
        <v>2041</v>
      </c>
      <c r="Q973" s="33" t="s">
        <v>4050</v>
      </c>
    </row>
    <row r="974" spans="1:17" hidden="1">
      <c r="A974" s="33" t="s">
        <v>4996</v>
      </c>
      <c r="B974" s="33" t="s">
        <v>4997</v>
      </c>
      <c r="C974" s="33" t="s">
        <v>4748</v>
      </c>
      <c r="D974" s="33" t="s">
        <v>4307</v>
      </c>
      <c r="E974" s="33" t="s">
        <v>2471</v>
      </c>
      <c r="F974" s="33" t="s">
        <v>1856</v>
      </c>
      <c r="G974" s="33" t="s">
        <v>4307</v>
      </c>
      <c r="H974" s="33" t="s">
        <v>3246</v>
      </c>
      <c r="I974" s="33" t="s">
        <v>3246</v>
      </c>
      <c r="J974" s="33" t="s">
        <v>4996</v>
      </c>
      <c r="K974" s="33" t="s">
        <v>2471</v>
      </c>
      <c r="L974" s="33" t="s">
        <v>3273</v>
      </c>
      <c r="M974" s="33" t="s">
        <v>2151</v>
      </c>
      <c r="N974" s="33" t="s">
        <v>2041</v>
      </c>
      <c r="Q974" s="33" t="s">
        <v>4050</v>
      </c>
    </row>
    <row r="975" spans="1:17">
      <c r="A975" s="33" t="s">
        <v>4896</v>
      </c>
      <c r="B975" s="33" t="s">
        <v>4998</v>
      </c>
      <c r="C975" s="33" t="s">
        <v>4748</v>
      </c>
      <c r="D975" s="33" t="s">
        <v>4068</v>
      </c>
      <c r="E975" s="33" t="s">
        <v>1786</v>
      </c>
      <c r="F975" s="33" t="s">
        <v>1787</v>
      </c>
      <c r="G975" s="33" t="s">
        <v>4307</v>
      </c>
      <c r="H975" s="33" t="s">
        <v>3246</v>
      </c>
      <c r="I975" s="33" t="s">
        <v>3246</v>
      </c>
      <c r="J975" s="33" t="s">
        <v>4999</v>
      </c>
      <c r="K975" s="33" t="s">
        <v>1791</v>
      </c>
      <c r="L975" s="33" t="s">
        <v>4612</v>
      </c>
      <c r="M975" s="33" t="s">
        <v>3284</v>
      </c>
      <c r="N975" s="33" t="s">
        <v>2041</v>
      </c>
      <c r="Q975" s="33" t="s">
        <v>4050</v>
      </c>
    </row>
    <row r="976" spans="1:17">
      <c r="A976" s="33" t="s">
        <v>4896</v>
      </c>
      <c r="B976" s="33" t="s">
        <v>5000</v>
      </c>
      <c r="C976" s="33" t="s">
        <v>4748</v>
      </c>
      <c r="D976" s="33" t="s">
        <v>4068</v>
      </c>
      <c r="E976" s="33" t="s">
        <v>1786</v>
      </c>
      <c r="F976" s="33" t="s">
        <v>1787</v>
      </c>
      <c r="G976" s="33" t="s">
        <v>4307</v>
      </c>
      <c r="H976" s="33" t="s">
        <v>3246</v>
      </c>
      <c r="I976" s="33" t="s">
        <v>3246</v>
      </c>
      <c r="J976" s="33" t="s">
        <v>5001</v>
      </c>
      <c r="K976" s="33" t="s">
        <v>1791</v>
      </c>
      <c r="L976" s="33" t="s">
        <v>4612</v>
      </c>
      <c r="M976" s="33" t="s">
        <v>1402</v>
      </c>
      <c r="N976" s="33" t="s">
        <v>2041</v>
      </c>
      <c r="Q976" s="33" t="s">
        <v>4050</v>
      </c>
    </row>
    <row r="977" spans="1:17">
      <c r="A977" s="33" t="s">
        <v>4896</v>
      </c>
      <c r="B977" s="33" t="s">
        <v>5002</v>
      </c>
      <c r="C977" s="33" t="s">
        <v>4748</v>
      </c>
      <c r="D977" s="33" t="s">
        <v>4068</v>
      </c>
      <c r="E977" s="33" t="s">
        <v>1786</v>
      </c>
      <c r="F977" s="33" t="s">
        <v>1787</v>
      </c>
      <c r="G977" s="33" t="s">
        <v>4307</v>
      </c>
      <c r="H977" s="33" t="s">
        <v>3246</v>
      </c>
      <c r="I977" s="33" t="s">
        <v>3246</v>
      </c>
      <c r="J977" s="33" t="s">
        <v>5003</v>
      </c>
      <c r="K977" s="33" t="s">
        <v>1791</v>
      </c>
      <c r="L977" s="33" t="s">
        <v>4612</v>
      </c>
      <c r="M977" s="33" t="s">
        <v>197</v>
      </c>
      <c r="N977" s="33" t="s">
        <v>2041</v>
      </c>
      <c r="Q977" s="33" t="s">
        <v>4050</v>
      </c>
    </row>
    <row r="978" spans="1:17">
      <c r="A978" s="33" t="s">
        <v>5004</v>
      </c>
      <c r="B978" s="33" t="s">
        <v>5005</v>
      </c>
      <c r="C978" s="33" t="s">
        <v>1949</v>
      </c>
      <c r="D978" s="33" t="s">
        <v>4068</v>
      </c>
      <c r="E978" s="33" t="s">
        <v>1786</v>
      </c>
      <c r="F978" s="33" t="s">
        <v>1787</v>
      </c>
      <c r="G978" s="33" t="s">
        <v>3472</v>
      </c>
      <c r="H978" s="33" t="s">
        <v>3246</v>
      </c>
      <c r="I978" s="33" t="s">
        <v>3246</v>
      </c>
      <c r="J978" s="33" t="s">
        <v>5006</v>
      </c>
      <c r="K978" s="33" t="s">
        <v>1791</v>
      </c>
      <c r="L978" s="33" t="s">
        <v>3282</v>
      </c>
      <c r="M978" s="33" t="s">
        <v>82</v>
      </c>
      <c r="N978" s="33" t="s">
        <v>55</v>
      </c>
      <c r="Q978" s="33" t="s">
        <v>4050</v>
      </c>
    </row>
    <row r="979" spans="1:17" hidden="1">
      <c r="A979" s="33" t="s">
        <v>4430</v>
      </c>
      <c r="B979" s="33" t="s">
        <v>5007</v>
      </c>
      <c r="C979" s="33" t="s">
        <v>4132</v>
      </c>
      <c r="D979" s="33" t="s">
        <v>4323</v>
      </c>
      <c r="E979" s="33" t="s">
        <v>2471</v>
      </c>
      <c r="F979" s="33" t="s">
        <v>1787</v>
      </c>
      <c r="G979" s="33" t="s">
        <v>4323</v>
      </c>
      <c r="H979" s="33" t="s">
        <v>3273</v>
      </c>
      <c r="I979" s="33" t="s">
        <v>3273</v>
      </c>
      <c r="J979" s="33" t="s">
        <v>5008</v>
      </c>
      <c r="K979" s="33" t="s">
        <v>2471</v>
      </c>
      <c r="L979" s="33" t="s">
        <v>3282</v>
      </c>
      <c r="M979" s="33" t="s">
        <v>1995</v>
      </c>
      <c r="N979" s="33" t="s">
        <v>4135</v>
      </c>
      <c r="Q979" s="33" t="s">
        <v>4050</v>
      </c>
    </row>
    <row r="980" spans="1:17" hidden="1">
      <c r="A980" s="33" t="s">
        <v>5009</v>
      </c>
      <c r="B980" s="33" t="s">
        <v>5010</v>
      </c>
      <c r="C980" s="33" t="s">
        <v>2026</v>
      </c>
      <c r="D980" s="33" t="s">
        <v>90</v>
      </c>
      <c r="E980" s="33" t="s">
        <v>2471</v>
      </c>
      <c r="F980" s="33" t="s">
        <v>1787</v>
      </c>
      <c r="G980" s="33" t="s">
        <v>90</v>
      </c>
      <c r="H980" s="33" t="s">
        <v>3273</v>
      </c>
      <c r="I980" s="33" t="s">
        <v>3273</v>
      </c>
      <c r="J980" s="33" t="s">
        <v>5011</v>
      </c>
      <c r="K980" s="33" t="s">
        <v>2471</v>
      </c>
      <c r="L980" s="33" t="s">
        <v>3282</v>
      </c>
      <c r="M980" s="33" t="s">
        <v>4532</v>
      </c>
      <c r="N980" s="33" t="s">
        <v>1838</v>
      </c>
      <c r="Q980" s="33" t="s">
        <v>4050</v>
      </c>
    </row>
    <row r="981" spans="1:17">
      <c r="A981" s="33" t="s">
        <v>5012</v>
      </c>
      <c r="B981" s="33" t="s">
        <v>5013</v>
      </c>
      <c r="C981" s="33" t="s">
        <v>2205</v>
      </c>
      <c r="D981" s="33" t="s">
        <v>4068</v>
      </c>
      <c r="E981" s="33" t="s">
        <v>1786</v>
      </c>
      <c r="F981" s="33" t="s">
        <v>1787</v>
      </c>
      <c r="G981" s="33" t="s">
        <v>5014</v>
      </c>
      <c r="H981" s="33" t="s">
        <v>3273</v>
      </c>
      <c r="I981" s="33" t="s">
        <v>3273</v>
      </c>
      <c r="J981" s="33" t="s">
        <v>5015</v>
      </c>
      <c r="K981" s="33" t="s">
        <v>1791</v>
      </c>
      <c r="L981" s="33" t="s">
        <v>3282</v>
      </c>
      <c r="M981" s="33" t="s">
        <v>49</v>
      </c>
      <c r="N981" s="33" t="s">
        <v>77</v>
      </c>
      <c r="Q981" s="33" t="s">
        <v>4050</v>
      </c>
    </row>
    <row r="982" spans="1:17">
      <c r="A982" s="33" t="s">
        <v>5016</v>
      </c>
      <c r="B982" s="33" t="s">
        <v>5017</v>
      </c>
      <c r="C982" s="33" t="s">
        <v>2205</v>
      </c>
      <c r="D982" s="33" t="s">
        <v>4068</v>
      </c>
      <c r="E982" s="33" t="s">
        <v>1786</v>
      </c>
      <c r="F982" s="33" t="s">
        <v>1787</v>
      </c>
      <c r="G982" s="33" t="s">
        <v>5014</v>
      </c>
      <c r="H982" s="33" t="s">
        <v>3273</v>
      </c>
      <c r="I982" s="33" t="s">
        <v>3273</v>
      </c>
      <c r="J982" s="33" t="s">
        <v>5018</v>
      </c>
      <c r="K982" s="33" t="s">
        <v>1791</v>
      </c>
      <c r="L982" s="33" t="s">
        <v>3282</v>
      </c>
      <c r="M982" s="33" t="s">
        <v>197</v>
      </c>
      <c r="N982" s="33" t="s">
        <v>77</v>
      </c>
      <c r="Q982" s="33" t="s">
        <v>4050</v>
      </c>
    </row>
    <row r="983" spans="1:17">
      <c r="A983" s="33" t="s">
        <v>5019</v>
      </c>
      <c r="B983" s="33" t="s">
        <v>5020</v>
      </c>
      <c r="C983" s="33" t="s">
        <v>2205</v>
      </c>
      <c r="D983" s="33" t="s">
        <v>4068</v>
      </c>
      <c r="E983" s="33" t="s">
        <v>1786</v>
      </c>
      <c r="F983" s="33" t="s">
        <v>1787</v>
      </c>
      <c r="G983" s="33" t="s">
        <v>5014</v>
      </c>
      <c r="H983" s="33" t="s">
        <v>3273</v>
      </c>
      <c r="I983" s="33" t="s">
        <v>3273</v>
      </c>
      <c r="J983" s="33" t="s">
        <v>5021</v>
      </c>
      <c r="K983" s="33" t="s">
        <v>1791</v>
      </c>
      <c r="L983" s="33" t="s">
        <v>3282</v>
      </c>
      <c r="M983" s="33" t="s">
        <v>197</v>
      </c>
      <c r="N983" s="33" t="s">
        <v>77</v>
      </c>
      <c r="Q983" s="33" t="s">
        <v>4050</v>
      </c>
    </row>
    <row r="984" spans="1:17">
      <c r="A984" s="33" t="s">
        <v>5022</v>
      </c>
      <c r="B984" s="33" t="s">
        <v>5023</v>
      </c>
      <c r="C984" s="33" t="s">
        <v>2205</v>
      </c>
      <c r="D984" s="33" t="s">
        <v>4068</v>
      </c>
      <c r="E984" s="33" t="s">
        <v>1786</v>
      </c>
      <c r="F984" s="33" t="s">
        <v>1787</v>
      </c>
      <c r="G984" s="33" t="s">
        <v>5014</v>
      </c>
      <c r="H984" s="33" t="s">
        <v>3273</v>
      </c>
      <c r="I984" s="33" t="s">
        <v>3273</v>
      </c>
      <c r="J984" s="33" t="s">
        <v>5024</v>
      </c>
      <c r="K984" s="33" t="s">
        <v>1791</v>
      </c>
      <c r="L984" s="33" t="s">
        <v>3282</v>
      </c>
      <c r="M984" s="33" t="s">
        <v>197</v>
      </c>
      <c r="N984" s="33" t="s">
        <v>77</v>
      </c>
      <c r="Q984" s="33" t="s">
        <v>4050</v>
      </c>
    </row>
    <row r="985" spans="1:17">
      <c r="A985" s="33" t="s">
        <v>5025</v>
      </c>
      <c r="B985" s="33" t="s">
        <v>5026</v>
      </c>
      <c r="C985" s="33" t="s">
        <v>2026</v>
      </c>
      <c r="D985" s="33" t="s">
        <v>4068</v>
      </c>
      <c r="E985" s="33" t="s">
        <v>1786</v>
      </c>
      <c r="F985" s="33" t="s">
        <v>1856</v>
      </c>
      <c r="G985" s="33" t="s">
        <v>90</v>
      </c>
      <c r="H985" s="33" t="s">
        <v>3273</v>
      </c>
      <c r="I985" s="33" t="s">
        <v>3273</v>
      </c>
      <c r="J985" s="33" t="s">
        <v>5027</v>
      </c>
      <c r="K985" s="33" t="s">
        <v>1791</v>
      </c>
      <c r="L985" s="33" t="s">
        <v>3282</v>
      </c>
      <c r="M985" s="33" t="s">
        <v>95</v>
      </c>
      <c r="N985" s="33" t="s">
        <v>1838</v>
      </c>
      <c r="Q985" s="33" t="s">
        <v>4050</v>
      </c>
    </row>
    <row r="986" spans="1:17">
      <c r="A986" s="33" t="s">
        <v>5028</v>
      </c>
      <c r="B986" s="33" t="s">
        <v>5029</v>
      </c>
      <c r="C986" s="33" t="s">
        <v>1831</v>
      </c>
      <c r="D986" s="33" t="s">
        <v>4068</v>
      </c>
      <c r="E986" s="33" t="s">
        <v>1786</v>
      </c>
      <c r="F986" s="33" t="s">
        <v>2069</v>
      </c>
      <c r="G986" s="33" t="s">
        <v>1872</v>
      </c>
      <c r="H986" s="33" t="s">
        <v>3273</v>
      </c>
      <c r="I986" s="33" t="s">
        <v>3273</v>
      </c>
      <c r="J986" s="33" t="s">
        <v>5030</v>
      </c>
      <c r="K986" s="33" t="s">
        <v>1791</v>
      </c>
      <c r="L986" s="33" t="s">
        <v>3282</v>
      </c>
      <c r="M986" s="33" t="s">
        <v>5031</v>
      </c>
      <c r="N986" s="33" t="s">
        <v>1849</v>
      </c>
      <c r="Q986" s="33" t="s">
        <v>4050</v>
      </c>
    </row>
    <row r="987" spans="1:17">
      <c r="A987" s="33" t="s">
        <v>5032</v>
      </c>
      <c r="B987" s="33" t="s">
        <v>5033</v>
      </c>
      <c r="C987" s="33" t="s">
        <v>4748</v>
      </c>
      <c r="D987" s="33" t="s">
        <v>4068</v>
      </c>
      <c r="E987" s="33" t="s">
        <v>1786</v>
      </c>
      <c r="F987" s="33" t="s">
        <v>1815</v>
      </c>
      <c r="G987" s="33" t="s">
        <v>5034</v>
      </c>
      <c r="H987" s="33" t="s">
        <v>5035</v>
      </c>
      <c r="I987" s="33" t="s">
        <v>5035</v>
      </c>
      <c r="J987" s="33" t="s">
        <v>5036</v>
      </c>
      <c r="K987" s="33" t="s">
        <v>1791</v>
      </c>
      <c r="L987" s="33" t="s">
        <v>3282</v>
      </c>
      <c r="M987" s="33" t="s">
        <v>1083</v>
      </c>
      <c r="N987" s="33" t="s">
        <v>73</v>
      </c>
      <c r="Q987" s="33" t="s">
        <v>4050</v>
      </c>
    </row>
    <row r="988" spans="1:17">
      <c r="A988" s="33" t="s">
        <v>5037</v>
      </c>
      <c r="B988" s="33" t="s">
        <v>5038</v>
      </c>
      <c r="C988" s="33" t="s">
        <v>2026</v>
      </c>
      <c r="D988" s="33" t="s">
        <v>4068</v>
      </c>
      <c r="E988" s="33" t="s">
        <v>1786</v>
      </c>
      <c r="F988" s="33" t="s">
        <v>1787</v>
      </c>
      <c r="G988" s="33" t="s">
        <v>5039</v>
      </c>
      <c r="H988" s="33" t="s">
        <v>5035</v>
      </c>
      <c r="I988" s="33" t="s">
        <v>5035</v>
      </c>
      <c r="J988" s="33" t="s">
        <v>5040</v>
      </c>
      <c r="K988" s="33" t="s">
        <v>1791</v>
      </c>
      <c r="L988" s="33" t="s">
        <v>3308</v>
      </c>
      <c r="M988" s="33" t="s">
        <v>1402</v>
      </c>
      <c r="N988" s="33" t="s">
        <v>2041</v>
      </c>
      <c r="Q988" s="33" t="s">
        <v>4050</v>
      </c>
    </row>
    <row r="989" spans="1:17" hidden="1">
      <c r="A989" s="33" t="s">
        <v>5041</v>
      </c>
      <c r="B989" s="33" t="s">
        <v>5042</v>
      </c>
      <c r="C989" s="33" t="s">
        <v>2273</v>
      </c>
      <c r="D989" s="33" t="s">
        <v>5039</v>
      </c>
      <c r="E989" s="33" t="s">
        <v>2471</v>
      </c>
      <c r="F989" s="33" t="s">
        <v>1787</v>
      </c>
      <c r="G989" s="33" t="s">
        <v>5039</v>
      </c>
      <c r="H989" s="33" t="s">
        <v>5035</v>
      </c>
      <c r="I989" s="33" t="s">
        <v>5035</v>
      </c>
      <c r="J989" s="33" t="s">
        <v>5043</v>
      </c>
      <c r="K989" s="33" t="s">
        <v>2471</v>
      </c>
      <c r="L989" s="33" t="s">
        <v>3308</v>
      </c>
      <c r="M989" s="33" t="s">
        <v>73</v>
      </c>
      <c r="N989" s="33" t="s">
        <v>2041</v>
      </c>
      <c r="Q989" s="33" t="s">
        <v>4050</v>
      </c>
    </row>
    <row r="990" spans="1:17" hidden="1">
      <c r="A990" s="33" t="s">
        <v>5044</v>
      </c>
      <c r="B990" s="33" t="s">
        <v>5045</v>
      </c>
      <c r="C990" s="33" t="s">
        <v>2026</v>
      </c>
      <c r="D990" s="33" t="s">
        <v>5039</v>
      </c>
      <c r="E990" s="33" t="s">
        <v>2471</v>
      </c>
      <c r="F990" s="33" t="s">
        <v>1787</v>
      </c>
      <c r="G990" s="33" t="s">
        <v>5039</v>
      </c>
      <c r="H990" s="33" t="s">
        <v>5035</v>
      </c>
      <c r="I990" s="33" t="s">
        <v>5035</v>
      </c>
      <c r="J990" s="33" t="s">
        <v>5046</v>
      </c>
      <c r="K990" s="33" t="s">
        <v>2471</v>
      </c>
      <c r="L990" s="33" t="s">
        <v>3308</v>
      </c>
      <c r="M990" s="33" t="s">
        <v>73</v>
      </c>
      <c r="N990" s="33" t="s">
        <v>193</v>
      </c>
      <c r="Q990" s="33" t="s">
        <v>4050</v>
      </c>
    </row>
    <row r="991" spans="1:17" hidden="1">
      <c r="A991" s="33" t="s">
        <v>5047</v>
      </c>
      <c r="B991" s="33" t="s">
        <v>5048</v>
      </c>
      <c r="C991" s="33" t="s">
        <v>2026</v>
      </c>
      <c r="D991" s="33" t="s">
        <v>5039</v>
      </c>
      <c r="E991" s="33" t="s">
        <v>2471</v>
      </c>
      <c r="F991" s="33" t="s">
        <v>1787</v>
      </c>
      <c r="G991" s="33" t="s">
        <v>5039</v>
      </c>
      <c r="H991" s="33" t="s">
        <v>5035</v>
      </c>
      <c r="I991" s="33" t="s">
        <v>5035</v>
      </c>
      <c r="J991" s="33" t="s">
        <v>5049</v>
      </c>
      <c r="K991" s="33" t="s">
        <v>2471</v>
      </c>
      <c r="L991" s="33" t="s">
        <v>3308</v>
      </c>
      <c r="M991" s="33" t="s">
        <v>73</v>
      </c>
      <c r="N991" s="33" t="s">
        <v>2041</v>
      </c>
      <c r="Q991" s="33" t="s">
        <v>4050</v>
      </c>
    </row>
    <row r="992" spans="1:17" hidden="1">
      <c r="A992" s="33" t="s">
        <v>5050</v>
      </c>
      <c r="B992" s="33" t="s">
        <v>5051</v>
      </c>
      <c r="C992" s="33" t="s">
        <v>2273</v>
      </c>
      <c r="D992" s="33" t="s">
        <v>5039</v>
      </c>
      <c r="E992" s="33" t="s">
        <v>2471</v>
      </c>
      <c r="F992" s="33" t="s">
        <v>1787</v>
      </c>
      <c r="G992" s="33" t="s">
        <v>5039</v>
      </c>
      <c r="H992" s="33" t="s">
        <v>5035</v>
      </c>
      <c r="I992" s="33" t="s">
        <v>5035</v>
      </c>
      <c r="J992" s="33" t="s">
        <v>5049</v>
      </c>
      <c r="K992" s="33" t="s">
        <v>2471</v>
      </c>
      <c r="L992" s="33" t="s">
        <v>3308</v>
      </c>
      <c r="M992" s="33" t="s">
        <v>73</v>
      </c>
      <c r="N992" s="33" t="s">
        <v>2041</v>
      </c>
      <c r="Q992" s="33" t="s">
        <v>4050</v>
      </c>
    </row>
    <row r="993" spans="1:17">
      <c r="A993" s="33" t="s">
        <v>5052</v>
      </c>
      <c r="B993" s="33" t="s">
        <v>5053</v>
      </c>
      <c r="C993" s="33" t="s">
        <v>2205</v>
      </c>
      <c r="D993" s="33" t="s">
        <v>4068</v>
      </c>
      <c r="E993" s="33" t="s">
        <v>1786</v>
      </c>
      <c r="F993" s="33" t="s">
        <v>1787</v>
      </c>
      <c r="G993" s="33" t="s">
        <v>4803</v>
      </c>
      <c r="H993" s="33" t="s">
        <v>4612</v>
      </c>
      <c r="I993" s="33" t="s">
        <v>4612</v>
      </c>
      <c r="J993" s="33" t="s">
        <v>5054</v>
      </c>
      <c r="K993" s="33" t="s">
        <v>1791</v>
      </c>
      <c r="L993" s="33" t="s">
        <v>3308</v>
      </c>
      <c r="M993" s="33" t="s">
        <v>194</v>
      </c>
      <c r="N993" s="33" t="s">
        <v>77</v>
      </c>
      <c r="Q993" s="33" t="s">
        <v>4050</v>
      </c>
    </row>
    <row r="994" spans="1:17">
      <c r="A994" s="33" t="s">
        <v>5055</v>
      </c>
      <c r="B994" s="33" t="s">
        <v>5056</v>
      </c>
      <c r="C994" s="33" t="s">
        <v>1949</v>
      </c>
      <c r="D994" s="33" t="s">
        <v>4068</v>
      </c>
      <c r="E994" s="33" t="s">
        <v>1786</v>
      </c>
      <c r="F994" s="33" t="s">
        <v>1815</v>
      </c>
      <c r="G994" s="33" t="s">
        <v>3472</v>
      </c>
      <c r="H994" s="33" t="s">
        <v>4612</v>
      </c>
      <c r="I994" s="33" t="s">
        <v>4612</v>
      </c>
      <c r="J994" s="33" t="s">
        <v>5057</v>
      </c>
      <c r="K994" s="33" t="s">
        <v>1791</v>
      </c>
      <c r="L994" s="33" t="s">
        <v>3308</v>
      </c>
      <c r="M994" s="33" t="s">
        <v>3284</v>
      </c>
      <c r="N994" s="33" t="s">
        <v>55</v>
      </c>
      <c r="Q994" s="33" t="s">
        <v>4050</v>
      </c>
    </row>
    <row r="995" spans="1:17">
      <c r="A995" s="33" t="s">
        <v>5058</v>
      </c>
      <c r="B995" s="33" t="s">
        <v>5059</v>
      </c>
      <c r="C995" s="33" t="s">
        <v>1949</v>
      </c>
      <c r="D995" s="33" t="s">
        <v>4068</v>
      </c>
      <c r="E995" s="33" t="s">
        <v>1786</v>
      </c>
      <c r="F995" s="33" t="s">
        <v>1815</v>
      </c>
      <c r="G995" s="33" t="s">
        <v>3472</v>
      </c>
      <c r="H995" s="33" t="s">
        <v>4612</v>
      </c>
      <c r="I995" s="33" t="s">
        <v>4612</v>
      </c>
      <c r="J995" s="33" t="s">
        <v>5060</v>
      </c>
      <c r="K995" s="33" t="s">
        <v>1791</v>
      </c>
      <c r="L995" s="33" t="s">
        <v>3308</v>
      </c>
      <c r="M995" s="33" t="s">
        <v>1811</v>
      </c>
      <c r="N995" s="33" t="s">
        <v>55</v>
      </c>
      <c r="Q995" s="33" t="s">
        <v>4050</v>
      </c>
    </row>
    <row r="996" spans="1:17">
      <c r="A996" s="33" t="s">
        <v>5061</v>
      </c>
      <c r="B996" s="33" t="s">
        <v>5062</v>
      </c>
      <c r="C996" s="33" t="s">
        <v>1949</v>
      </c>
      <c r="D996" s="33" t="s">
        <v>4068</v>
      </c>
      <c r="E996" s="33" t="s">
        <v>1786</v>
      </c>
      <c r="F996" s="33" t="s">
        <v>1815</v>
      </c>
      <c r="G996" s="33" t="s">
        <v>3472</v>
      </c>
      <c r="H996" s="33" t="s">
        <v>4612</v>
      </c>
      <c r="I996" s="33" t="s">
        <v>4612</v>
      </c>
      <c r="J996" s="33" t="s">
        <v>5063</v>
      </c>
      <c r="K996" s="33" t="s">
        <v>1791</v>
      </c>
      <c r="L996" s="33" t="s">
        <v>3308</v>
      </c>
      <c r="M996" s="33" t="s">
        <v>1811</v>
      </c>
      <c r="N996" s="33" t="s">
        <v>55</v>
      </c>
      <c r="Q996" s="33" t="s">
        <v>4050</v>
      </c>
    </row>
    <row r="997" spans="1:17">
      <c r="A997" s="33" t="s">
        <v>5061</v>
      </c>
      <c r="B997" s="33" t="s">
        <v>5064</v>
      </c>
      <c r="C997" s="33" t="s">
        <v>1949</v>
      </c>
      <c r="D997" s="33" t="s">
        <v>4068</v>
      </c>
      <c r="E997" s="33" t="s">
        <v>1786</v>
      </c>
      <c r="F997" s="33" t="s">
        <v>1815</v>
      </c>
      <c r="G997" s="33" t="s">
        <v>3472</v>
      </c>
      <c r="H997" s="33" t="s">
        <v>4612</v>
      </c>
      <c r="I997" s="33" t="s">
        <v>4612</v>
      </c>
      <c r="J997" s="33" t="s">
        <v>5063</v>
      </c>
      <c r="K997" s="33" t="s">
        <v>1791</v>
      </c>
      <c r="L997" s="33" t="s">
        <v>3308</v>
      </c>
      <c r="M997" s="33" t="s">
        <v>1811</v>
      </c>
      <c r="N997" s="33" t="s">
        <v>55</v>
      </c>
      <c r="Q997" s="33" t="s">
        <v>4050</v>
      </c>
    </row>
    <row r="998" spans="1:17" hidden="1">
      <c r="A998" s="33" t="s">
        <v>5065</v>
      </c>
      <c r="B998" s="33" t="s">
        <v>5066</v>
      </c>
      <c r="C998" s="33" t="s">
        <v>2147</v>
      </c>
      <c r="D998" s="33" t="s">
        <v>4068</v>
      </c>
      <c r="E998" s="33" t="s">
        <v>1808</v>
      </c>
      <c r="F998" s="33" t="s">
        <v>1787</v>
      </c>
      <c r="G998" s="33" t="s">
        <v>83</v>
      </c>
      <c r="H998" s="33" t="s">
        <v>4612</v>
      </c>
      <c r="I998" s="33" t="s">
        <v>4612</v>
      </c>
      <c r="J998" s="33" t="s">
        <v>5067</v>
      </c>
      <c r="K998" s="33" t="s">
        <v>1791</v>
      </c>
      <c r="L998" s="33" t="s">
        <v>3562</v>
      </c>
      <c r="M998" s="33" t="s">
        <v>196</v>
      </c>
      <c r="N998" s="33" t="s">
        <v>84</v>
      </c>
      <c r="Q998" s="33" t="s">
        <v>4050</v>
      </c>
    </row>
    <row r="999" spans="1:17" hidden="1">
      <c r="A999" s="33" t="s">
        <v>5068</v>
      </c>
      <c r="B999" s="33" t="s">
        <v>5069</v>
      </c>
      <c r="C999" s="33" t="s">
        <v>2205</v>
      </c>
      <c r="D999" s="33" t="s">
        <v>3289</v>
      </c>
      <c r="E999" s="33" t="s">
        <v>2471</v>
      </c>
      <c r="F999" s="33" t="s">
        <v>1787</v>
      </c>
      <c r="G999" s="33" t="s">
        <v>3289</v>
      </c>
      <c r="H999" s="33" t="s">
        <v>4612</v>
      </c>
      <c r="I999" s="33" t="s">
        <v>4612</v>
      </c>
      <c r="J999" s="33" t="s">
        <v>5070</v>
      </c>
      <c r="K999" s="33" t="s">
        <v>2471</v>
      </c>
      <c r="L999" s="33" t="s">
        <v>4612</v>
      </c>
      <c r="M999" s="33" t="str">
        <f>_xlfn.XLOOKUP(Tabela14[[#This Row],[Responsável]],Organograma!H:H,Organograma!G:G,"")</f>
        <v/>
      </c>
      <c r="N999" s="33" t="s">
        <v>77</v>
      </c>
      <c r="Q999" s="33" t="s">
        <v>4050</v>
      </c>
    </row>
    <row r="1000" spans="1:17">
      <c r="A1000" s="33" t="s">
        <v>5071</v>
      </c>
      <c r="B1000" s="33" t="s">
        <v>5072</v>
      </c>
      <c r="C1000" s="33" t="s">
        <v>1980</v>
      </c>
      <c r="D1000" s="33" t="s">
        <v>4068</v>
      </c>
      <c r="E1000" s="33" t="s">
        <v>1786</v>
      </c>
      <c r="F1000" s="33" t="s">
        <v>1787</v>
      </c>
      <c r="G1000" s="33" t="s">
        <v>3832</v>
      </c>
      <c r="H1000" s="33" t="s">
        <v>3282</v>
      </c>
      <c r="I1000" s="33" t="s">
        <v>3282</v>
      </c>
      <c r="J1000" s="33" t="s">
        <v>5073</v>
      </c>
      <c r="K1000" s="33" t="s">
        <v>1791</v>
      </c>
      <c r="L1000" s="33" t="s">
        <v>3308</v>
      </c>
      <c r="M1000" s="33" t="s">
        <v>69</v>
      </c>
      <c r="N1000" s="33" t="s">
        <v>69</v>
      </c>
      <c r="Q1000" s="33" t="s">
        <v>4050</v>
      </c>
    </row>
    <row r="1001" spans="1:17">
      <c r="A1001" s="33" t="s">
        <v>5074</v>
      </c>
      <c r="B1001" s="33" t="s">
        <v>5075</v>
      </c>
      <c r="C1001" s="33" t="s">
        <v>3205</v>
      </c>
      <c r="D1001" s="33" t="s">
        <v>4068</v>
      </c>
      <c r="E1001" s="33" t="s">
        <v>1786</v>
      </c>
      <c r="F1001" s="33" t="s">
        <v>1856</v>
      </c>
      <c r="G1001" s="33" t="s">
        <v>4056</v>
      </c>
      <c r="H1001" s="33" t="s">
        <v>3282</v>
      </c>
      <c r="I1001" s="33" t="s">
        <v>3282</v>
      </c>
      <c r="J1001" s="33" t="s">
        <v>5076</v>
      </c>
      <c r="K1001" s="33" t="s">
        <v>1791</v>
      </c>
      <c r="L1001" s="33" t="s">
        <v>3308</v>
      </c>
      <c r="M1001" s="33" t="s">
        <v>69</v>
      </c>
      <c r="N1001" s="33" t="s">
        <v>95</v>
      </c>
      <c r="Q1001" s="33" t="s">
        <v>4050</v>
      </c>
    </row>
    <row r="1002" spans="1:17">
      <c r="A1002" s="33" t="s">
        <v>5077</v>
      </c>
      <c r="B1002" s="33" t="s">
        <v>5078</v>
      </c>
      <c r="C1002" s="33" t="s">
        <v>2205</v>
      </c>
      <c r="D1002" s="33" t="s">
        <v>4068</v>
      </c>
      <c r="E1002" s="33" t="s">
        <v>1786</v>
      </c>
      <c r="F1002" s="33" t="s">
        <v>1787</v>
      </c>
      <c r="G1002" s="33" t="s">
        <v>3289</v>
      </c>
      <c r="H1002" s="33" t="s">
        <v>3282</v>
      </c>
      <c r="I1002" s="33" t="s">
        <v>3282</v>
      </c>
      <c r="J1002" s="33" t="s">
        <v>5079</v>
      </c>
      <c r="K1002" s="33" t="s">
        <v>1791</v>
      </c>
      <c r="L1002" s="33" t="s">
        <v>3308</v>
      </c>
      <c r="M1002" s="33" t="s">
        <v>1083</v>
      </c>
      <c r="N1002" s="33" t="s">
        <v>77</v>
      </c>
      <c r="Q1002" s="33" t="s">
        <v>4050</v>
      </c>
    </row>
    <row r="1003" spans="1:17">
      <c r="A1003" s="33" t="s">
        <v>5080</v>
      </c>
      <c r="B1003" s="33" t="s">
        <v>5081</v>
      </c>
      <c r="C1003" s="33" t="s">
        <v>3205</v>
      </c>
      <c r="D1003" s="33" t="s">
        <v>4068</v>
      </c>
      <c r="E1003" s="33" t="s">
        <v>1786</v>
      </c>
      <c r="F1003" s="33" t="s">
        <v>1815</v>
      </c>
      <c r="G1003" s="33" t="s">
        <v>96</v>
      </c>
      <c r="H1003" s="33" t="s">
        <v>3282</v>
      </c>
      <c r="I1003" s="33" t="s">
        <v>3282</v>
      </c>
      <c r="J1003" s="33" t="s">
        <v>5082</v>
      </c>
      <c r="K1003" s="33" t="s">
        <v>1791</v>
      </c>
      <c r="L1003" s="33" t="s">
        <v>3308</v>
      </c>
      <c r="M1003" s="33" t="s">
        <v>58</v>
      </c>
      <c r="N1003" s="33" t="s">
        <v>95</v>
      </c>
      <c r="Q1003" s="33" t="s">
        <v>4050</v>
      </c>
    </row>
    <row r="1004" spans="1:17" hidden="1">
      <c r="A1004" s="33" t="s">
        <v>5083</v>
      </c>
      <c r="B1004" s="33" t="s">
        <v>5084</v>
      </c>
      <c r="C1004" s="33" t="s">
        <v>1785</v>
      </c>
      <c r="D1004" s="33" t="s">
        <v>1788</v>
      </c>
      <c r="E1004" s="33" t="s">
        <v>2471</v>
      </c>
      <c r="F1004" s="33" t="s">
        <v>1815</v>
      </c>
      <c r="G1004" s="33" t="s">
        <v>1788</v>
      </c>
      <c r="H1004" s="33" t="s">
        <v>3282</v>
      </c>
      <c r="I1004" s="33" t="s">
        <v>3282</v>
      </c>
      <c r="J1004" s="33" t="s">
        <v>5085</v>
      </c>
      <c r="K1004" s="33" t="s">
        <v>2471</v>
      </c>
      <c r="L1004" s="33" t="s">
        <v>3282</v>
      </c>
      <c r="M1004" s="33" t="s">
        <v>69</v>
      </c>
      <c r="N1004" s="33" t="s">
        <v>1083</v>
      </c>
      <c r="Q1004" s="33" t="s">
        <v>4050</v>
      </c>
    </row>
    <row r="1005" spans="1:17">
      <c r="A1005" s="33" t="s">
        <v>5086</v>
      </c>
      <c r="B1005" s="33" t="s">
        <v>5087</v>
      </c>
      <c r="C1005" s="33" t="s">
        <v>2205</v>
      </c>
      <c r="D1005" s="33" t="s">
        <v>4068</v>
      </c>
      <c r="E1005" s="33" t="s">
        <v>1786</v>
      </c>
      <c r="F1005" s="33" t="s">
        <v>1787</v>
      </c>
      <c r="G1005" s="33" t="s">
        <v>3289</v>
      </c>
      <c r="H1005" s="33" t="s">
        <v>3282</v>
      </c>
      <c r="I1005" s="33" t="s">
        <v>3282</v>
      </c>
      <c r="J1005" s="33" t="s">
        <v>5088</v>
      </c>
      <c r="K1005" s="33" t="s">
        <v>1791</v>
      </c>
      <c r="L1005" s="33" t="s">
        <v>3308</v>
      </c>
      <c r="M1005" s="33" t="s">
        <v>193</v>
      </c>
      <c r="N1005" s="33" t="s">
        <v>77</v>
      </c>
      <c r="Q1005" s="33" t="s">
        <v>4050</v>
      </c>
    </row>
    <row r="1006" spans="1:17">
      <c r="A1006" s="33" t="s">
        <v>5089</v>
      </c>
      <c r="B1006" s="33" t="s">
        <v>5090</v>
      </c>
      <c r="C1006" s="33" t="s">
        <v>2205</v>
      </c>
      <c r="D1006" s="33" t="s">
        <v>4068</v>
      </c>
      <c r="E1006" s="33" t="s">
        <v>1786</v>
      </c>
      <c r="F1006" s="33" t="s">
        <v>1787</v>
      </c>
      <c r="G1006" s="33" t="s">
        <v>3289</v>
      </c>
      <c r="H1006" s="33" t="s">
        <v>3282</v>
      </c>
      <c r="I1006" s="33" t="s">
        <v>3282</v>
      </c>
      <c r="J1006" s="33" t="s">
        <v>5091</v>
      </c>
      <c r="K1006" s="33" t="s">
        <v>1791</v>
      </c>
      <c r="L1006" s="33" t="s">
        <v>3308</v>
      </c>
      <c r="M1006" s="33" t="s">
        <v>193</v>
      </c>
      <c r="N1006" s="33" t="s">
        <v>77</v>
      </c>
      <c r="Q1006" s="33" t="s">
        <v>4050</v>
      </c>
    </row>
    <row r="1007" spans="1:17" hidden="1">
      <c r="A1007" s="33" t="s">
        <v>5092</v>
      </c>
      <c r="B1007" s="33" t="s">
        <v>5093</v>
      </c>
      <c r="C1007" s="33" t="s">
        <v>4132</v>
      </c>
      <c r="D1007" s="33" t="s">
        <v>4314</v>
      </c>
      <c r="E1007" s="33" t="s">
        <v>2471</v>
      </c>
      <c r="F1007" s="33" t="s">
        <v>1787</v>
      </c>
      <c r="G1007" s="33" t="s">
        <v>4314</v>
      </c>
      <c r="H1007" s="33" t="s">
        <v>3282</v>
      </c>
      <c r="I1007" s="33" t="s">
        <v>3282</v>
      </c>
      <c r="J1007" s="33" t="s">
        <v>5094</v>
      </c>
      <c r="K1007" s="33" t="s">
        <v>2471</v>
      </c>
      <c r="L1007" s="33" t="s">
        <v>3308</v>
      </c>
      <c r="M1007" s="33" t="s">
        <v>197</v>
      </c>
      <c r="N1007" s="33" t="s">
        <v>134</v>
      </c>
      <c r="Q1007" s="33" t="s">
        <v>4050</v>
      </c>
    </row>
    <row r="1008" spans="1:17">
      <c r="A1008" s="33" t="s">
        <v>5089</v>
      </c>
      <c r="B1008" s="33" t="s">
        <v>5095</v>
      </c>
      <c r="C1008" s="33" t="s">
        <v>2205</v>
      </c>
      <c r="D1008" s="33" t="s">
        <v>4068</v>
      </c>
      <c r="E1008" s="33" t="s">
        <v>1786</v>
      </c>
      <c r="F1008" s="33" t="s">
        <v>1787</v>
      </c>
      <c r="G1008" s="33" t="s">
        <v>3289</v>
      </c>
      <c r="H1008" s="33" t="s">
        <v>3282</v>
      </c>
      <c r="I1008" s="33" t="s">
        <v>3282</v>
      </c>
      <c r="J1008" s="33" t="s">
        <v>5091</v>
      </c>
      <c r="K1008" s="33" t="s">
        <v>1791</v>
      </c>
      <c r="L1008" s="33" t="s">
        <v>3308</v>
      </c>
      <c r="M1008" s="33" t="s">
        <v>1083</v>
      </c>
      <c r="N1008" s="33" t="s">
        <v>77</v>
      </c>
      <c r="Q1008" s="33" t="s">
        <v>4050</v>
      </c>
    </row>
    <row r="1009" spans="1:17" hidden="1">
      <c r="A1009" s="33" t="s">
        <v>5096</v>
      </c>
      <c r="B1009" s="33" t="s">
        <v>5097</v>
      </c>
      <c r="C1009" s="33" t="s">
        <v>2205</v>
      </c>
      <c r="D1009" s="33" t="s">
        <v>4803</v>
      </c>
      <c r="E1009" s="33" t="s">
        <v>2471</v>
      </c>
      <c r="F1009" s="33" t="s">
        <v>1787</v>
      </c>
      <c r="G1009" s="33" t="s">
        <v>4803</v>
      </c>
      <c r="H1009" s="33" t="s">
        <v>3282</v>
      </c>
      <c r="I1009" s="33" t="s">
        <v>3282</v>
      </c>
      <c r="J1009" s="33" t="s">
        <v>5098</v>
      </c>
      <c r="K1009" s="33" t="s">
        <v>2471</v>
      </c>
      <c r="L1009" s="33" t="s">
        <v>3308</v>
      </c>
      <c r="M1009" s="33" t="s">
        <v>1355</v>
      </c>
      <c r="N1009" s="33" t="s">
        <v>77</v>
      </c>
      <c r="Q1009" s="33" t="s">
        <v>4050</v>
      </c>
    </row>
    <row r="1010" spans="1:17">
      <c r="A1010" s="33" t="s">
        <v>5099</v>
      </c>
      <c r="B1010" s="33" t="s">
        <v>5100</v>
      </c>
      <c r="C1010" s="33" t="s">
        <v>2205</v>
      </c>
      <c r="D1010" s="33" t="s">
        <v>4068</v>
      </c>
      <c r="E1010" s="33" t="s">
        <v>1786</v>
      </c>
      <c r="F1010" s="33" t="s">
        <v>1787</v>
      </c>
      <c r="G1010" s="33" t="s">
        <v>3944</v>
      </c>
      <c r="H1010" s="33" t="s">
        <v>3282</v>
      </c>
      <c r="I1010" s="33" t="s">
        <v>3282</v>
      </c>
      <c r="J1010" s="33" t="s">
        <v>5101</v>
      </c>
      <c r="K1010" s="33" t="s">
        <v>1791</v>
      </c>
      <c r="L1010" s="33" t="s">
        <v>3308</v>
      </c>
      <c r="M1010" s="33" t="s">
        <v>193</v>
      </c>
      <c r="N1010" s="33" t="s">
        <v>77</v>
      </c>
      <c r="Q1010" s="33" t="s">
        <v>4050</v>
      </c>
    </row>
    <row r="1011" spans="1:17">
      <c r="A1011" s="33" t="s">
        <v>5102</v>
      </c>
      <c r="B1011" s="33" t="s">
        <v>5103</v>
      </c>
      <c r="C1011" s="33" t="s">
        <v>2147</v>
      </c>
      <c r="D1011" s="33" t="s">
        <v>4068</v>
      </c>
      <c r="E1011" s="33" t="s">
        <v>1786</v>
      </c>
      <c r="F1011" s="33" t="s">
        <v>1787</v>
      </c>
      <c r="G1011" s="33" t="s">
        <v>83</v>
      </c>
      <c r="H1011" s="33" t="s">
        <v>3282</v>
      </c>
      <c r="I1011" s="33" t="s">
        <v>3282</v>
      </c>
      <c r="J1011" s="33" t="s">
        <v>5104</v>
      </c>
      <c r="K1011" s="33" t="s">
        <v>1791</v>
      </c>
      <c r="L1011" s="33" t="s">
        <v>3308</v>
      </c>
      <c r="M1011" s="33" t="s">
        <v>1402</v>
      </c>
      <c r="N1011" s="33" t="s">
        <v>84</v>
      </c>
      <c r="Q1011" s="33" t="s">
        <v>4050</v>
      </c>
    </row>
    <row r="1012" spans="1:17">
      <c r="A1012" s="33" t="s">
        <v>5105</v>
      </c>
      <c r="B1012" s="33" t="s">
        <v>5106</v>
      </c>
      <c r="C1012" s="33" t="s">
        <v>1949</v>
      </c>
      <c r="D1012" s="33" t="s">
        <v>4068</v>
      </c>
      <c r="E1012" s="33" t="s">
        <v>1786</v>
      </c>
      <c r="F1012" s="33" t="s">
        <v>1864</v>
      </c>
      <c r="G1012" s="33" t="s">
        <v>3472</v>
      </c>
      <c r="H1012" s="33" t="s">
        <v>3308</v>
      </c>
      <c r="I1012" s="33" t="s">
        <v>3308</v>
      </c>
      <c r="J1012" s="33" t="s">
        <v>5107</v>
      </c>
      <c r="K1012" s="33" t="s">
        <v>1791</v>
      </c>
      <c r="L1012" s="33" t="s">
        <v>3308</v>
      </c>
      <c r="M1012" s="33" t="s">
        <v>3284</v>
      </c>
      <c r="N1012" s="33" t="s">
        <v>55</v>
      </c>
      <c r="Q1012" s="33" t="s">
        <v>4050</v>
      </c>
    </row>
    <row r="1013" spans="1:17">
      <c r="A1013" s="33" t="s">
        <v>5108</v>
      </c>
      <c r="B1013" s="33" t="s">
        <v>5109</v>
      </c>
      <c r="C1013" s="33" t="s">
        <v>1949</v>
      </c>
      <c r="D1013" s="33" t="s">
        <v>4068</v>
      </c>
      <c r="E1013" s="33" t="s">
        <v>1786</v>
      </c>
      <c r="F1013" s="33" t="s">
        <v>1815</v>
      </c>
      <c r="G1013" s="33" t="s">
        <v>3472</v>
      </c>
      <c r="H1013" s="33" t="s">
        <v>3308</v>
      </c>
      <c r="I1013" s="33" t="s">
        <v>3308</v>
      </c>
      <c r="J1013" s="33" t="s">
        <v>5110</v>
      </c>
      <c r="K1013" s="33" t="s">
        <v>1791</v>
      </c>
      <c r="L1013" s="33" t="s">
        <v>3308</v>
      </c>
      <c r="M1013" s="33" t="s">
        <v>3284</v>
      </c>
      <c r="N1013" s="33" t="s">
        <v>55</v>
      </c>
      <c r="Q1013" s="33" t="s">
        <v>4050</v>
      </c>
    </row>
    <row r="1014" spans="1:17">
      <c r="A1014" s="33" t="s">
        <v>5111</v>
      </c>
      <c r="B1014" s="33" t="s">
        <v>5112</v>
      </c>
      <c r="C1014" s="33" t="s">
        <v>2205</v>
      </c>
      <c r="D1014" s="33" t="s">
        <v>4068</v>
      </c>
      <c r="E1014" s="33" t="s">
        <v>1786</v>
      </c>
      <c r="F1014" s="33" t="s">
        <v>1787</v>
      </c>
      <c r="G1014" s="33" t="s">
        <v>3289</v>
      </c>
      <c r="H1014" s="33" t="s">
        <v>3308</v>
      </c>
      <c r="I1014" s="33" t="s">
        <v>3308</v>
      </c>
      <c r="J1014" s="33" t="s">
        <v>5113</v>
      </c>
      <c r="K1014" s="33" t="s">
        <v>1791</v>
      </c>
      <c r="L1014" s="33" t="s">
        <v>3308</v>
      </c>
      <c r="M1014" s="33" t="s">
        <v>1083</v>
      </c>
      <c r="N1014" s="33" t="s">
        <v>77</v>
      </c>
      <c r="Q1014" s="33" t="s">
        <v>4050</v>
      </c>
    </row>
    <row r="1015" spans="1:17" hidden="1">
      <c r="A1015" s="33" t="s">
        <v>5114</v>
      </c>
      <c r="B1015" s="33" t="s">
        <v>5115</v>
      </c>
      <c r="C1015" s="33" t="s">
        <v>1785</v>
      </c>
      <c r="D1015" s="33" t="s">
        <v>3836</v>
      </c>
      <c r="E1015" s="33" t="s">
        <v>2471</v>
      </c>
      <c r="F1015" s="33" t="s">
        <v>1787</v>
      </c>
      <c r="G1015" s="33" t="s">
        <v>3836</v>
      </c>
      <c r="H1015" s="33" t="s">
        <v>3308</v>
      </c>
      <c r="I1015" s="33" t="s">
        <v>2695</v>
      </c>
      <c r="J1015" s="33" t="s">
        <v>5116</v>
      </c>
      <c r="K1015" s="33" t="s">
        <v>2471</v>
      </c>
      <c r="L1015" s="33" t="s">
        <v>3308</v>
      </c>
      <c r="M1015" s="33" t="s">
        <v>82</v>
      </c>
      <c r="N1015" s="33" t="s">
        <v>1083</v>
      </c>
      <c r="Q1015" s="33" t="s">
        <v>4050</v>
      </c>
    </row>
    <row r="1016" spans="1:17" hidden="1">
      <c r="A1016" s="33" t="s">
        <v>5117</v>
      </c>
      <c r="B1016" s="33" t="s">
        <v>5118</v>
      </c>
      <c r="C1016" s="33" t="s">
        <v>2205</v>
      </c>
      <c r="D1016" s="33" t="s">
        <v>4068</v>
      </c>
      <c r="E1016" s="33" t="s">
        <v>1836</v>
      </c>
      <c r="F1016" s="33" t="s">
        <v>1787</v>
      </c>
      <c r="G1016" s="33" t="s">
        <v>3289</v>
      </c>
      <c r="H1016" s="33" t="s">
        <v>3308</v>
      </c>
      <c r="I1016" s="33" t="s">
        <v>3308</v>
      </c>
      <c r="J1016" s="33" t="s">
        <v>5119</v>
      </c>
      <c r="K1016" s="33" t="s">
        <v>1791</v>
      </c>
      <c r="L1016" s="33" t="s">
        <v>3308</v>
      </c>
      <c r="M1016" s="33" t="s">
        <v>134</v>
      </c>
      <c r="N1016" s="33" t="s">
        <v>77</v>
      </c>
      <c r="Q1016" s="33" t="s">
        <v>4050</v>
      </c>
    </row>
    <row r="1017" spans="1:17" hidden="1">
      <c r="A1017" s="33" t="s">
        <v>5120</v>
      </c>
      <c r="B1017" s="33" t="s">
        <v>5121</v>
      </c>
      <c r="C1017" s="33" t="s">
        <v>2205</v>
      </c>
      <c r="D1017" s="33" t="s">
        <v>4068</v>
      </c>
      <c r="E1017" s="33" t="s">
        <v>1836</v>
      </c>
      <c r="F1017" s="33" t="s">
        <v>1787</v>
      </c>
      <c r="G1017" s="33" t="s">
        <v>3289</v>
      </c>
      <c r="H1017" s="33" t="s">
        <v>3308</v>
      </c>
      <c r="I1017" s="33" t="s">
        <v>3308</v>
      </c>
      <c r="J1017" s="33" t="s">
        <v>5119</v>
      </c>
      <c r="K1017" s="33" t="s">
        <v>1791</v>
      </c>
      <c r="L1017" s="33" t="s">
        <v>3308</v>
      </c>
      <c r="M1017" s="33" t="s">
        <v>193</v>
      </c>
      <c r="N1017" s="33" t="s">
        <v>77</v>
      </c>
      <c r="Q1017" s="33" t="s">
        <v>4050</v>
      </c>
    </row>
    <row r="1018" spans="1:17">
      <c r="A1018" s="33" t="s">
        <v>5122</v>
      </c>
      <c r="B1018" s="33" t="s">
        <v>5123</v>
      </c>
      <c r="C1018" s="33" t="s">
        <v>2205</v>
      </c>
      <c r="D1018" s="33" t="s">
        <v>4068</v>
      </c>
      <c r="E1018" s="33" t="s">
        <v>1786</v>
      </c>
      <c r="F1018" s="33" t="s">
        <v>1787</v>
      </c>
      <c r="G1018" s="33" t="s">
        <v>4618</v>
      </c>
      <c r="H1018" s="33" t="s">
        <v>3308</v>
      </c>
      <c r="I1018" s="33" t="s">
        <v>3308</v>
      </c>
      <c r="J1018" s="33" t="s">
        <v>5124</v>
      </c>
      <c r="K1018" s="33" t="s">
        <v>1791</v>
      </c>
      <c r="L1018" s="33" t="s">
        <v>3308</v>
      </c>
      <c r="M1018" s="33" t="s">
        <v>69</v>
      </c>
      <c r="N1018" s="33" t="s">
        <v>193</v>
      </c>
      <c r="Q1018" s="33" t="s">
        <v>4050</v>
      </c>
    </row>
    <row r="1019" spans="1:17" hidden="1">
      <c r="A1019" s="33" t="s">
        <v>5125</v>
      </c>
      <c r="B1019" s="33" t="s">
        <v>5126</v>
      </c>
      <c r="C1019" s="33" t="s">
        <v>2273</v>
      </c>
      <c r="D1019" s="33" t="s">
        <v>5039</v>
      </c>
      <c r="E1019" s="33" t="s">
        <v>2471</v>
      </c>
      <c r="F1019" s="33" t="s">
        <v>1787</v>
      </c>
      <c r="G1019" s="33" t="s">
        <v>5039</v>
      </c>
      <c r="H1019" s="33" t="s">
        <v>3308</v>
      </c>
      <c r="I1019" s="33" t="s">
        <v>3308</v>
      </c>
      <c r="J1019" s="33" t="s">
        <v>5127</v>
      </c>
      <c r="K1019" s="33" t="s">
        <v>2471</v>
      </c>
      <c r="L1019" s="33" t="s">
        <v>3318</v>
      </c>
      <c r="M1019" s="33" t="s">
        <v>3284</v>
      </c>
      <c r="N1019" s="33" t="s">
        <v>193</v>
      </c>
      <c r="Q1019" s="33" t="s">
        <v>4050</v>
      </c>
    </row>
    <row r="1020" spans="1:17" hidden="1">
      <c r="A1020" s="33" t="s">
        <v>5128</v>
      </c>
      <c r="B1020" s="33" t="s">
        <v>5129</v>
      </c>
      <c r="C1020" s="33" t="s">
        <v>2549</v>
      </c>
      <c r="D1020" s="33" t="s">
        <v>4068</v>
      </c>
      <c r="E1020" s="33" t="s">
        <v>1836</v>
      </c>
      <c r="F1020" s="33" t="s">
        <v>1787</v>
      </c>
      <c r="G1020" s="33" t="s">
        <v>5039</v>
      </c>
      <c r="H1020" s="33" t="s">
        <v>3308</v>
      </c>
      <c r="I1020" s="33" t="s">
        <v>3308</v>
      </c>
      <c r="J1020" s="33" t="s">
        <v>5130</v>
      </c>
      <c r="K1020" s="33" t="s">
        <v>1791</v>
      </c>
      <c r="L1020" s="33" t="s">
        <v>3318</v>
      </c>
      <c r="M1020" s="33" t="s">
        <v>195</v>
      </c>
      <c r="N1020" s="33" t="s">
        <v>193</v>
      </c>
      <c r="Q1020" s="33" t="s">
        <v>4050</v>
      </c>
    </row>
    <row r="1021" spans="1:17" hidden="1">
      <c r="A1021" s="33" t="s">
        <v>3314</v>
      </c>
      <c r="B1021" s="33" t="s">
        <v>5131</v>
      </c>
      <c r="C1021" s="33" t="s">
        <v>3316</v>
      </c>
      <c r="D1021" s="33" t="s">
        <v>4068</v>
      </c>
      <c r="E1021" s="33" t="s">
        <v>1808</v>
      </c>
      <c r="F1021" s="33" t="s">
        <v>1787</v>
      </c>
      <c r="G1021" s="33" t="s">
        <v>3317</v>
      </c>
      <c r="H1021" s="33" t="s">
        <v>3308</v>
      </c>
      <c r="I1021" s="33" t="s">
        <v>3308</v>
      </c>
      <c r="J1021" s="33" t="s">
        <v>3319</v>
      </c>
      <c r="K1021" s="33" t="s">
        <v>1791</v>
      </c>
      <c r="L1021" s="33" t="s">
        <v>3308</v>
      </c>
      <c r="M1021" s="33" t="s">
        <v>11</v>
      </c>
      <c r="N1021" s="33" t="s">
        <v>72</v>
      </c>
      <c r="Q1021" s="33" t="s">
        <v>4050</v>
      </c>
    </row>
    <row r="1022" spans="1:17">
      <c r="A1022" s="33" t="s">
        <v>5132</v>
      </c>
      <c r="B1022" s="33" t="s">
        <v>5133</v>
      </c>
      <c r="C1022" s="33" t="s">
        <v>2096</v>
      </c>
      <c r="D1022" s="33" t="s">
        <v>4068</v>
      </c>
      <c r="E1022" s="33" t="s">
        <v>1786</v>
      </c>
      <c r="F1022" s="33" t="s">
        <v>1787</v>
      </c>
      <c r="G1022" s="33" t="s">
        <v>89</v>
      </c>
      <c r="H1022" s="33" t="s">
        <v>3308</v>
      </c>
      <c r="I1022" s="33" t="s">
        <v>3308</v>
      </c>
      <c r="J1022" s="33" t="s">
        <v>5134</v>
      </c>
      <c r="K1022" s="33" t="s">
        <v>1791</v>
      </c>
      <c r="L1022" s="33" t="s">
        <v>3228</v>
      </c>
      <c r="M1022" s="33" t="s">
        <v>970</v>
      </c>
      <c r="N1022" s="33" t="s">
        <v>3310</v>
      </c>
      <c r="Q1022" s="33" t="s">
        <v>4050</v>
      </c>
    </row>
    <row r="1023" spans="1:17">
      <c r="A1023" s="33" t="s">
        <v>5135</v>
      </c>
      <c r="B1023" s="33" t="s">
        <v>5136</v>
      </c>
      <c r="C1023" s="33" t="s">
        <v>2096</v>
      </c>
      <c r="D1023" s="33" t="s">
        <v>4068</v>
      </c>
      <c r="E1023" s="33" t="s">
        <v>1786</v>
      </c>
      <c r="F1023" s="33" t="s">
        <v>1787</v>
      </c>
      <c r="G1023" s="33" t="s">
        <v>89</v>
      </c>
      <c r="H1023" s="33" t="s">
        <v>3308</v>
      </c>
      <c r="I1023" s="33" t="s">
        <v>3308</v>
      </c>
      <c r="J1023" s="33" t="s">
        <v>5137</v>
      </c>
      <c r="K1023" s="33" t="s">
        <v>1791</v>
      </c>
      <c r="L1023" s="33" t="s">
        <v>3228</v>
      </c>
      <c r="M1023" s="33" t="s">
        <v>69</v>
      </c>
      <c r="N1023" s="33" t="s">
        <v>3310</v>
      </c>
      <c r="Q1023" s="33" t="s">
        <v>4050</v>
      </c>
    </row>
    <row r="1024" spans="1:17">
      <c r="A1024" s="33" t="s">
        <v>5138</v>
      </c>
      <c r="B1024" s="33" t="s">
        <v>5139</v>
      </c>
      <c r="C1024" s="33" t="s">
        <v>2096</v>
      </c>
      <c r="D1024" s="33" t="s">
        <v>4068</v>
      </c>
      <c r="E1024" s="33" t="s">
        <v>1786</v>
      </c>
      <c r="F1024" s="33" t="s">
        <v>1787</v>
      </c>
      <c r="G1024" s="33" t="s">
        <v>2097</v>
      </c>
      <c r="H1024" s="33" t="s">
        <v>3308</v>
      </c>
      <c r="I1024" s="33" t="s">
        <v>3308</v>
      </c>
      <c r="J1024" s="33" t="s">
        <v>5140</v>
      </c>
      <c r="K1024" s="33" t="s">
        <v>1791</v>
      </c>
      <c r="L1024" s="33" t="s">
        <v>3436</v>
      </c>
      <c r="M1024" s="33" t="s">
        <v>69</v>
      </c>
      <c r="N1024" s="33" t="s">
        <v>3310</v>
      </c>
      <c r="Q1024" s="33" t="s">
        <v>4050</v>
      </c>
    </row>
    <row r="1025" spans="1:17">
      <c r="A1025" s="33" t="s">
        <v>5141</v>
      </c>
      <c r="B1025" s="33" t="s">
        <v>5142</v>
      </c>
      <c r="C1025" s="33" t="s">
        <v>2096</v>
      </c>
      <c r="D1025" s="33" t="s">
        <v>4068</v>
      </c>
      <c r="E1025" s="33" t="s">
        <v>1786</v>
      </c>
      <c r="F1025" s="33" t="s">
        <v>1787</v>
      </c>
      <c r="G1025" s="33" t="s">
        <v>2097</v>
      </c>
      <c r="H1025" s="33" t="s">
        <v>3308</v>
      </c>
      <c r="I1025" s="33" t="s">
        <v>3308</v>
      </c>
      <c r="J1025" s="33" t="s">
        <v>5143</v>
      </c>
      <c r="K1025" s="33" t="s">
        <v>1791</v>
      </c>
      <c r="L1025" s="33" t="s">
        <v>3436</v>
      </c>
      <c r="M1025" s="33" t="s">
        <v>23</v>
      </c>
      <c r="N1025" s="33" t="s">
        <v>3310</v>
      </c>
      <c r="Q1025" s="33" t="s">
        <v>4050</v>
      </c>
    </row>
    <row r="1026" spans="1:17">
      <c r="A1026" s="33" t="s">
        <v>5144</v>
      </c>
      <c r="B1026" s="33" t="s">
        <v>5145</v>
      </c>
      <c r="C1026" s="33" t="s">
        <v>2096</v>
      </c>
      <c r="D1026" s="33" t="s">
        <v>4068</v>
      </c>
      <c r="E1026" s="33" t="s">
        <v>1786</v>
      </c>
      <c r="F1026" s="33" t="s">
        <v>1787</v>
      </c>
      <c r="G1026" s="33" t="s">
        <v>2097</v>
      </c>
      <c r="H1026" s="33" t="s">
        <v>3308</v>
      </c>
      <c r="I1026" s="33" t="s">
        <v>3308</v>
      </c>
      <c r="J1026" s="33" t="s">
        <v>5146</v>
      </c>
      <c r="K1026" s="33" t="s">
        <v>1791</v>
      </c>
      <c r="L1026" s="33" t="s">
        <v>3436</v>
      </c>
      <c r="M1026" s="33" t="s">
        <v>5147</v>
      </c>
      <c r="N1026" s="33" t="s">
        <v>3310</v>
      </c>
      <c r="Q1026" s="33" t="s">
        <v>4050</v>
      </c>
    </row>
    <row r="1027" spans="1:17">
      <c r="A1027" s="33" t="s">
        <v>5148</v>
      </c>
      <c r="B1027" s="33" t="s">
        <v>5149</v>
      </c>
      <c r="C1027" s="33" t="s">
        <v>2096</v>
      </c>
      <c r="D1027" s="33" t="s">
        <v>4068</v>
      </c>
      <c r="E1027" s="33" t="s">
        <v>1786</v>
      </c>
      <c r="F1027" s="33" t="s">
        <v>1787</v>
      </c>
      <c r="G1027" s="33" t="s">
        <v>2097</v>
      </c>
      <c r="H1027" s="33" t="s">
        <v>3308</v>
      </c>
      <c r="I1027" s="33" t="s">
        <v>3308</v>
      </c>
      <c r="J1027" s="33" t="s">
        <v>5150</v>
      </c>
      <c r="K1027" s="33" t="s">
        <v>1791</v>
      </c>
      <c r="L1027" s="33" t="s">
        <v>3436</v>
      </c>
      <c r="M1027" s="33" t="s">
        <v>5147</v>
      </c>
      <c r="N1027" s="33" t="s">
        <v>3310</v>
      </c>
      <c r="Q1027" s="33" t="s">
        <v>4050</v>
      </c>
    </row>
    <row r="1028" spans="1:17">
      <c r="A1028" s="33" t="s">
        <v>5151</v>
      </c>
      <c r="B1028" s="33" t="s">
        <v>5152</v>
      </c>
      <c r="C1028" s="33" t="s">
        <v>2096</v>
      </c>
      <c r="D1028" s="33" t="s">
        <v>4068</v>
      </c>
      <c r="E1028" s="33" t="s">
        <v>1786</v>
      </c>
      <c r="F1028" s="33" t="s">
        <v>1787</v>
      </c>
      <c r="G1028" s="33" t="s">
        <v>2097</v>
      </c>
      <c r="H1028" s="33" t="s">
        <v>3308</v>
      </c>
      <c r="I1028" s="33" t="s">
        <v>3308</v>
      </c>
      <c r="J1028" s="33" t="s">
        <v>5153</v>
      </c>
      <c r="K1028" s="33" t="s">
        <v>1791</v>
      </c>
      <c r="L1028" s="33" t="s">
        <v>3436</v>
      </c>
      <c r="M1028" s="33" t="s">
        <v>194</v>
      </c>
      <c r="N1028" s="33" t="s">
        <v>3310</v>
      </c>
      <c r="Q1028" s="33" t="s">
        <v>4050</v>
      </c>
    </row>
    <row r="1029" spans="1:17" hidden="1">
      <c r="A1029" s="33" t="s">
        <v>3439</v>
      </c>
      <c r="B1029" s="33" t="s">
        <v>5154</v>
      </c>
      <c r="C1029" s="33" t="s">
        <v>2096</v>
      </c>
      <c r="D1029" s="33" t="s">
        <v>4068</v>
      </c>
      <c r="E1029" s="33" t="s">
        <v>1808</v>
      </c>
      <c r="F1029" s="33" t="s">
        <v>1787</v>
      </c>
      <c r="G1029" s="33" t="s">
        <v>2097</v>
      </c>
      <c r="H1029" s="33" t="s">
        <v>3308</v>
      </c>
      <c r="I1029" s="33" t="s">
        <v>3308</v>
      </c>
      <c r="J1029" s="33" t="s">
        <v>3441</v>
      </c>
      <c r="K1029" s="33" t="s">
        <v>1791</v>
      </c>
      <c r="L1029" s="33" t="s">
        <v>3308</v>
      </c>
      <c r="M1029" s="33" t="s">
        <v>61</v>
      </c>
      <c r="N1029" s="33" t="s">
        <v>3310</v>
      </c>
      <c r="Q1029" s="33" t="s">
        <v>4050</v>
      </c>
    </row>
    <row r="1030" spans="1:17">
      <c r="A1030" s="33" t="s">
        <v>5155</v>
      </c>
      <c r="B1030" s="33" t="s">
        <v>5156</v>
      </c>
      <c r="C1030" s="33" t="s">
        <v>2096</v>
      </c>
      <c r="D1030" s="33" t="s">
        <v>4068</v>
      </c>
      <c r="E1030" s="33" t="s">
        <v>1786</v>
      </c>
      <c r="F1030" s="33" t="s">
        <v>1787</v>
      </c>
      <c r="G1030" s="33" t="s">
        <v>2097</v>
      </c>
      <c r="H1030" s="33" t="s">
        <v>3308</v>
      </c>
      <c r="I1030" s="33" t="s">
        <v>3308</v>
      </c>
      <c r="J1030" s="33" t="s">
        <v>5157</v>
      </c>
      <c r="K1030" s="33" t="s">
        <v>1791</v>
      </c>
      <c r="L1030" s="33" t="s">
        <v>3436</v>
      </c>
      <c r="M1030" s="33" t="s">
        <v>61</v>
      </c>
      <c r="N1030" s="33" t="s">
        <v>3310</v>
      </c>
      <c r="Q1030" s="33" t="s">
        <v>4050</v>
      </c>
    </row>
    <row r="1031" spans="1:17">
      <c r="A1031" s="33" t="s">
        <v>5158</v>
      </c>
      <c r="B1031" s="33" t="s">
        <v>5159</v>
      </c>
      <c r="C1031" s="33" t="s">
        <v>1949</v>
      </c>
      <c r="D1031" s="33" t="s">
        <v>4068</v>
      </c>
      <c r="E1031" s="33" t="s">
        <v>1786</v>
      </c>
      <c r="F1031" s="33" t="s">
        <v>1856</v>
      </c>
      <c r="G1031" s="33" t="s">
        <v>3472</v>
      </c>
      <c r="H1031" s="33" t="s">
        <v>3318</v>
      </c>
      <c r="I1031" s="33" t="s">
        <v>3318</v>
      </c>
      <c r="J1031" s="33" t="s">
        <v>5160</v>
      </c>
      <c r="K1031" s="33" t="s">
        <v>1791</v>
      </c>
      <c r="L1031" s="33" t="s">
        <v>3228</v>
      </c>
      <c r="M1031" s="33" t="s">
        <v>3284</v>
      </c>
      <c r="N1031" s="33" t="s">
        <v>55</v>
      </c>
      <c r="Q1031" s="33" t="s">
        <v>4050</v>
      </c>
    </row>
    <row r="1032" spans="1:17">
      <c r="A1032" s="33" t="s">
        <v>5161</v>
      </c>
      <c r="B1032" s="33" t="s">
        <v>5162</v>
      </c>
      <c r="C1032" s="33" t="s">
        <v>1949</v>
      </c>
      <c r="D1032" s="33" t="s">
        <v>4068</v>
      </c>
      <c r="E1032" s="33" t="s">
        <v>1786</v>
      </c>
      <c r="F1032" s="33" t="s">
        <v>1815</v>
      </c>
      <c r="G1032" s="33" t="s">
        <v>3472</v>
      </c>
      <c r="H1032" s="33" t="s">
        <v>3318</v>
      </c>
      <c r="I1032" s="33" t="s">
        <v>3318</v>
      </c>
      <c r="J1032" s="33" t="s">
        <v>5163</v>
      </c>
      <c r="K1032" s="33" t="s">
        <v>1791</v>
      </c>
      <c r="L1032" s="33" t="s">
        <v>3228</v>
      </c>
      <c r="M1032" s="33" t="s">
        <v>82</v>
      </c>
      <c r="N1032" s="33" t="s">
        <v>55</v>
      </c>
      <c r="Q1032" s="33" t="s">
        <v>4050</v>
      </c>
    </row>
    <row r="1033" spans="1:17">
      <c r="A1033" s="33" t="s">
        <v>5164</v>
      </c>
      <c r="B1033" s="33" t="s">
        <v>5165</v>
      </c>
      <c r="C1033" s="33" t="s">
        <v>1980</v>
      </c>
      <c r="D1033" s="33" t="s">
        <v>4068</v>
      </c>
      <c r="E1033" s="33" t="s">
        <v>1786</v>
      </c>
      <c r="F1033" s="33" t="s">
        <v>1856</v>
      </c>
      <c r="G1033" s="33" t="s">
        <v>3139</v>
      </c>
      <c r="H1033" s="33" t="s">
        <v>3318</v>
      </c>
      <c r="I1033" s="33" t="s">
        <v>3318</v>
      </c>
      <c r="J1033" s="33" t="s">
        <v>5166</v>
      </c>
      <c r="K1033" s="33" t="s">
        <v>1791</v>
      </c>
      <c r="L1033" s="33" t="s">
        <v>3228</v>
      </c>
      <c r="M1033" s="33" t="s">
        <v>95</v>
      </c>
      <c r="N1033" s="33" t="s">
        <v>69</v>
      </c>
      <c r="Q1033" s="33" t="s">
        <v>4050</v>
      </c>
    </row>
    <row r="1034" spans="1:17">
      <c r="A1034" s="33" t="s">
        <v>5167</v>
      </c>
      <c r="B1034" s="33" t="s">
        <v>5168</v>
      </c>
      <c r="C1034" s="33" t="s">
        <v>2147</v>
      </c>
      <c r="D1034" s="33" t="s">
        <v>4068</v>
      </c>
      <c r="E1034" s="33" t="s">
        <v>1786</v>
      </c>
      <c r="F1034" s="33" t="s">
        <v>1787</v>
      </c>
      <c r="G1034" s="33" t="s">
        <v>86</v>
      </c>
      <c r="H1034" s="33" t="s">
        <v>3318</v>
      </c>
      <c r="I1034" s="33" t="s">
        <v>3318</v>
      </c>
      <c r="J1034" s="33" t="s">
        <v>5169</v>
      </c>
      <c r="K1034" s="33" t="s">
        <v>1791</v>
      </c>
      <c r="L1034" s="33" t="s">
        <v>3228</v>
      </c>
      <c r="M1034" s="33" t="s">
        <v>3310</v>
      </c>
      <c r="N1034" s="33" t="s">
        <v>1763</v>
      </c>
      <c r="Q1034" s="33" t="s">
        <v>4050</v>
      </c>
    </row>
    <row r="1035" spans="1:17" hidden="1">
      <c r="A1035" s="33" t="s">
        <v>5170</v>
      </c>
      <c r="B1035" s="33" t="s">
        <v>5171</v>
      </c>
      <c r="C1035" s="33" t="s">
        <v>4151</v>
      </c>
      <c r="D1035" s="33" t="s">
        <v>4152</v>
      </c>
      <c r="E1035" s="33" t="s">
        <v>2471</v>
      </c>
      <c r="F1035" s="33" t="s">
        <v>1815</v>
      </c>
      <c r="G1035" s="33" t="s">
        <v>4152</v>
      </c>
      <c r="H1035" s="33" t="s">
        <v>3072</v>
      </c>
      <c r="I1035" s="33" t="s">
        <v>3072</v>
      </c>
      <c r="J1035" s="33" t="s">
        <v>5172</v>
      </c>
      <c r="K1035" s="33" t="s">
        <v>2471</v>
      </c>
      <c r="L1035" s="33" t="s">
        <v>3072</v>
      </c>
      <c r="M1035" s="33" t="s">
        <v>3310</v>
      </c>
      <c r="N1035" s="33" t="s">
        <v>34</v>
      </c>
      <c r="Q1035" s="33" t="s">
        <v>4050</v>
      </c>
    </row>
    <row r="1036" spans="1:17" hidden="1">
      <c r="A1036" s="33" t="s">
        <v>5173</v>
      </c>
      <c r="B1036" s="33" t="s">
        <v>5174</v>
      </c>
      <c r="C1036" s="33" t="s">
        <v>1819</v>
      </c>
      <c r="D1036" s="33" t="s">
        <v>4068</v>
      </c>
      <c r="E1036" s="33" t="s">
        <v>1836</v>
      </c>
      <c r="F1036" s="33" t="s">
        <v>2069</v>
      </c>
      <c r="G1036" s="33" t="s">
        <v>1954</v>
      </c>
      <c r="H1036" s="33" t="s">
        <v>3072</v>
      </c>
      <c r="I1036" s="33" t="s">
        <v>3072</v>
      </c>
      <c r="J1036" s="33" t="s">
        <v>5175</v>
      </c>
      <c r="K1036" s="33" t="s">
        <v>1791</v>
      </c>
      <c r="L1036" s="33" t="s">
        <v>3562</v>
      </c>
      <c r="M1036" s="33" t="s">
        <v>136</v>
      </c>
      <c r="N1036" s="33" t="s">
        <v>1078</v>
      </c>
      <c r="Q1036" s="33" t="s">
        <v>4050</v>
      </c>
    </row>
    <row r="1037" spans="1:17">
      <c r="A1037" s="33" t="s">
        <v>5176</v>
      </c>
      <c r="B1037" s="33" t="s">
        <v>5177</v>
      </c>
      <c r="C1037" s="33" t="s">
        <v>1819</v>
      </c>
      <c r="D1037" s="33" t="s">
        <v>4068</v>
      </c>
      <c r="E1037" s="33" t="s">
        <v>1786</v>
      </c>
      <c r="F1037" s="33" t="s">
        <v>1856</v>
      </c>
      <c r="G1037" s="33" t="s">
        <v>53</v>
      </c>
      <c r="H1037" s="33" t="s">
        <v>3231</v>
      </c>
      <c r="I1037" s="33" t="s">
        <v>3231</v>
      </c>
      <c r="J1037" s="33" t="s">
        <v>5178</v>
      </c>
      <c r="K1037" s="33" t="s">
        <v>1791</v>
      </c>
      <c r="L1037" s="33" t="s">
        <v>3228</v>
      </c>
      <c r="M1037" s="33" t="s">
        <v>1402</v>
      </c>
      <c r="N1037" s="33" t="s">
        <v>1078</v>
      </c>
      <c r="Q1037" s="33" t="s">
        <v>4050</v>
      </c>
    </row>
    <row r="1038" spans="1:17" hidden="1">
      <c r="A1038" s="33" t="s">
        <v>5179</v>
      </c>
      <c r="B1038" s="33" t="s">
        <v>5180</v>
      </c>
      <c r="C1038" s="33" t="s">
        <v>2080</v>
      </c>
      <c r="D1038" s="33" t="s">
        <v>5034</v>
      </c>
      <c r="E1038" s="33" t="s">
        <v>2471</v>
      </c>
      <c r="F1038" s="33" t="s">
        <v>1787</v>
      </c>
      <c r="G1038" s="33" t="s">
        <v>5034</v>
      </c>
      <c r="H1038" s="33" t="s">
        <v>3231</v>
      </c>
      <c r="I1038" s="33" t="s">
        <v>3231</v>
      </c>
      <c r="J1038" s="33" t="s">
        <v>5181</v>
      </c>
      <c r="K1038" s="33" t="s">
        <v>2471</v>
      </c>
      <c r="L1038" s="33" t="s">
        <v>3228</v>
      </c>
      <c r="M1038" s="33" t="s">
        <v>1402</v>
      </c>
      <c r="N1038" s="33" t="s">
        <v>193</v>
      </c>
      <c r="Q1038" s="33" t="s">
        <v>4050</v>
      </c>
    </row>
    <row r="1039" spans="1:17" hidden="1">
      <c r="A1039" s="33" t="s">
        <v>5182</v>
      </c>
      <c r="B1039" s="33" t="s">
        <v>5183</v>
      </c>
      <c r="C1039" s="33" t="s">
        <v>2273</v>
      </c>
      <c r="D1039" s="33" t="s">
        <v>5039</v>
      </c>
      <c r="E1039" s="33" t="s">
        <v>2471</v>
      </c>
      <c r="F1039" s="33" t="s">
        <v>1787</v>
      </c>
      <c r="G1039" s="33" t="s">
        <v>5039</v>
      </c>
      <c r="H1039" s="33" t="s">
        <v>5184</v>
      </c>
      <c r="I1039" s="33" t="s">
        <v>5184</v>
      </c>
      <c r="J1039" s="33" t="s">
        <v>5185</v>
      </c>
      <c r="K1039" s="33" t="s">
        <v>2471</v>
      </c>
      <c r="L1039" s="33" t="s">
        <v>3228</v>
      </c>
      <c r="M1039" s="33" t="s">
        <v>3284</v>
      </c>
      <c r="N1039" s="33" t="s">
        <v>193</v>
      </c>
      <c r="Q1039" s="33" t="s">
        <v>4050</v>
      </c>
    </row>
    <row r="1040" spans="1:17">
      <c r="A1040" s="33" t="s">
        <v>5186</v>
      </c>
      <c r="B1040" s="33" t="s">
        <v>5187</v>
      </c>
      <c r="C1040" s="33" t="s">
        <v>1980</v>
      </c>
      <c r="D1040" s="33" t="s">
        <v>4068</v>
      </c>
      <c r="E1040" s="33" t="s">
        <v>1786</v>
      </c>
      <c r="F1040" s="33" t="s">
        <v>1815</v>
      </c>
      <c r="G1040" s="33" t="s">
        <v>3139</v>
      </c>
      <c r="H1040" s="33" t="s">
        <v>3358</v>
      </c>
      <c r="I1040" s="33" t="s">
        <v>3358</v>
      </c>
      <c r="J1040" s="33" t="s">
        <v>5188</v>
      </c>
      <c r="K1040" s="33" t="s">
        <v>1791</v>
      </c>
      <c r="L1040" s="33" t="s">
        <v>3228</v>
      </c>
      <c r="M1040" s="33" t="s">
        <v>11</v>
      </c>
      <c r="N1040" s="33" t="s">
        <v>69</v>
      </c>
      <c r="Q1040" s="33" t="s">
        <v>4050</v>
      </c>
    </row>
    <row r="1041" spans="1:17" hidden="1">
      <c r="A1041" s="33" t="s">
        <v>3465</v>
      </c>
      <c r="B1041" s="33" t="s">
        <v>5189</v>
      </c>
      <c r="C1041" s="33" t="s">
        <v>1831</v>
      </c>
      <c r="D1041" s="33" t="s">
        <v>4068</v>
      </c>
      <c r="E1041" s="33" t="s">
        <v>1808</v>
      </c>
      <c r="F1041" s="33" t="s">
        <v>1787</v>
      </c>
      <c r="G1041" s="33" t="s">
        <v>3467</v>
      </c>
      <c r="H1041" s="33" t="s">
        <v>3365</v>
      </c>
      <c r="I1041" s="33" t="s">
        <v>3365</v>
      </c>
      <c r="J1041" s="33" t="s">
        <v>3468</v>
      </c>
      <c r="K1041" s="33" t="s">
        <v>1791</v>
      </c>
      <c r="L1041" s="33" t="s">
        <v>3365</v>
      </c>
      <c r="M1041" s="33" t="s">
        <v>197</v>
      </c>
      <c r="N1041" s="33" t="s">
        <v>197</v>
      </c>
      <c r="Q1041" s="33" t="s">
        <v>4050</v>
      </c>
    </row>
    <row r="1042" spans="1:17" hidden="1">
      <c r="A1042" s="33" t="s">
        <v>5190</v>
      </c>
      <c r="B1042" s="33" t="s">
        <v>5191</v>
      </c>
      <c r="C1042" s="33" t="s">
        <v>1831</v>
      </c>
      <c r="D1042" s="33" t="s">
        <v>3089</v>
      </c>
      <c r="E1042" s="33" t="s">
        <v>2471</v>
      </c>
      <c r="F1042" s="33" t="s">
        <v>1787</v>
      </c>
      <c r="G1042" s="33" t="s">
        <v>3089</v>
      </c>
      <c r="H1042" s="33" t="s">
        <v>3365</v>
      </c>
      <c r="I1042" s="33" t="s">
        <v>3365</v>
      </c>
      <c r="J1042" s="33" t="s">
        <v>5192</v>
      </c>
      <c r="K1042" s="33" t="s">
        <v>2471</v>
      </c>
      <c r="L1042" s="33" t="s">
        <v>3228</v>
      </c>
      <c r="M1042" s="33" t="s">
        <v>197</v>
      </c>
      <c r="N1042" s="33" t="s">
        <v>197</v>
      </c>
      <c r="Q1042" s="33" t="s">
        <v>4050</v>
      </c>
    </row>
    <row r="1043" spans="1:17">
      <c r="A1043" s="33" t="s">
        <v>5193</v>
      </c>
      <c r="B1043" s="33" t="s">
        <v>5194</v>
      </c>
      <c r="C1043" s="33" t="s">
        <v>4116</v>
      </c>
      <c r="D1043" s="33" t="s">
        <v>4068</v>
      </c>
      <c r="E1043" s="33" t="s">
        <v>1786</v>
      </c>
      <c r="F1043" s="33" t="s">
        <v>1787</v>
      </c>
      <c r="G1043" s="33" t="s">
        <v>27</v>
      </c>
      <c r="H1043" s="33" t="s">
        <v>3365</v>
      </c>
      <c r="I1043" s="33" t="s">
        <v>3365</v>
      </c>
      <c r="J1043" s="33" t="s">
        <v>5195</v>
      </c>
      <c r="K1043" s="33" t="s">
        <v>1791</v>
      </c>
      <c r="L1043" s="33" t="s">
        <v>3228</v>
      </c>
      <c r="M1043" s="33" t="s">
        <v>125</v>
      </c>
      <c r="N1043" s="33" t="s">
        <v>106</v>
      </c>
      <c r="Q1043" s="33" t="s">
        <v>4050</v>
      </c>
    </row>
    <row r="1044" spans="1:17">
      <c r="A1044" s="33" t="s">
        <v>5196</v>
      </c>
      <c r="B1044" s="33" t="s">
        <v>5197</v>
      </c>
      <c r="C1044" s="33" t="s">
        <v>2205</v>
      </c>
      <c r="D1044" s="33" t="s">
        <v>4068</v>
      </c>
      <c r="E1044" s="33" t="s">
        <v>1786</v>
      </c>
      <c r="F1044" s="33" t="s">
        <v>1787</v>
      </c>
      <c r="G1044" s="33" t="s">
        <v>4300</v>
      </c>
      <c r="H1044" s="33" t="s">
        <v>3365</v>
      </c>
      <c r="I1044" s="33" t="s">
        <v>3365</v>
      </c>
      <c r="J1044" s="33" t="s">
        <v>5198</v>
      </c>
      <c r="K1044" s="33" t="s">
        <v>1791</v>
      </c>
      <c r="L1044" s="33" t="s">
        <v>3228</v>
      </c>
      <c r="M1044" s="33" t="s">
        <v>3284</v>
      </c>
      <c r="N1044" s="33" t="s">
        <v>76</v>
      </c>
      <c r="Q1044" s="33" t="s">
        <v>4050</v>
      </c>
    </row>
    <row r="1045" spans="1:17">
      <c r="A1045" s="33" t="s">
        <v>5199</v>
      </c>
      <c r="B1045" s="33" t="s">
        <v>5200</v>
      </c>
      <c r="C1045" s="33" t="s">
        <v>1831</v>
      </c>
      <c r="D1045" s="33" t="s">
        <v>4068</v>
      </c>
      <c r="E1045" s="33" t="s">
        <v>1786</v>
      </c>
      <c r="F1045" s="33" t="s">
        <v>1787</v>
      </c>
      <c r="G1045" s="33" t="s">
        <v>1872</v>
      </c>
      <c r="H1045" s="33" t="s">
        <v>3365</v>
      </c>
      <c r="I1045" s="33" t="s">
        <v>3365</v>
      </c>
      <c r="J1045" s="33" t="s">
        <v>3386</v>
      </c>
      <c r="K1045" s="33" t="s">
        <v>1791</v>
      </c>
      <c r="L1045" s="33" t="s">
        <v>3228</v>
      </c>
      <c r="M1045" s="33" t="s">
        <v>197</v>
      </c>
      <c r="N1045" s="33" t="s">
        <v>69</v>
      </c>
      <c r="Q1045" s="33" t="s">
        <v>4050</v>
      </c>
    </row>
    <row r="1046" spans="1:17">
      <c r="A1046" s="33" t="s">
        <v>4437</v>
      </c>
      <c r="B1046" s="33" t="s">
        <v>5201</v>
      </c>
      <c r="C1046" s="33" t="s">
        <v>4116</v>
      </c>
      <c r="D1046" s="33" t="s">
        <v>4068</v>
      </c>
      <c r="E1046" s="33" t="s">
        <v>1786</v>
      </c>
      <c r="F1046" s="33" t="s">
        <v>1787</v>
      </c>
      <c r="G1046" s="33" t="s">
        <v>27</v>
      </c>
      <c r="H1046" s="33" t="s">
        <v>3365</v>
      </c>
      <c r="I1046" s="33" t="s">
        <v>3365</v>
      </c>
      <c r="J1046" s="33" t="s">
        <v>5202</v>
      </c>
      <c r="K1046" s="33" t="s">
        <v>1791</v>
      </c>
      <c r="L1046" s="33" t="s">
        <v>3228</v>
      </c>
      <c r="M1046" s="33" t="s">
        <v>1402</v>
      </c>
      <c r="N1046" s="33" t="s">
        <v>106</v>
      </c>
      <c r="Q1046" s="33" t="s">
        <v>4050</v>
      </c>
    </row>
    <row r="1047" spans="1:17">
      <c r="A1047" s="33" t="s">
        <v>5203</v>
      </c>
      <c r="B1047" s="33" t="s">
        <v>5204</v>
      </c>
      <c r="C1047" s="33" t="s">
        <v>1949</v>
      </c>
      <c r="D1047" s="33" t="s">
        <v>4068</v>
      </c>
      <c r="E1047" s="33" t="s">
        <v>1786</v>
      </c>
      <c r="F1047" s="33" t="s">
        <v>1815</v>
      </c>
      <c r="G1047" s="33" t="s">
        <v>3472</v>
      </c>
      <c r="H1047" s="33" t="s">
        <v>3365</v>
      </c>
      <c r="I1047" s="33" t="s">
        <v>3365</v>
      </c>
      <c r="J1047" s="33" t="s">
        <v>5205</v>
      </c>
      <c r="K1047" s="33" t="s">
        <v>1791</v>
      </c>
      <c r="L1047" s="33" t="s">
        <v>3228</v>
      </c>
      <c r="M1047" s="33" t="s">
        <v>3284</v>
      </c>
      <c r="N1047" s="33" t="s">
        <v>55</v>
      </c>
      <c r="Q1047" s="33" t="s">
        <v>4050</v>
      </c>
    </row>
    <row r="1048" spans="1:17">
      <c r="A1048" s="33" t="s">
        <v>5203</v>
      </c>
      <c r="B1048" s="33" t="s">
        <v>5206</v>
      </c>
      <c r="C1048" s="33" t="s">
        <v>1949</v>
      </c>
      <c r="D1048" s="33" t="s">
        <v>4068</v>
      </c>
      <c r="E1048" s="33" t="s">
        <v>1786</v>
      </c>
      <c r="F1048" s="33" t="s">
        <v>1815</v>
      </c>
      <c r="G1048" s="33" t="s">
        <v>3472</v>
      </c>
      <c r="H1048" s="33" t="s">
        <v>3365</v>
      </c>
      <c r="I1048" s="33" t="s">
        <v>3365</v>
      </c>
      <c r="J1048" s="33" t="s">
        <v>5207</v>
      </c>
      <c r="K1048" s="33" t="s">
        <v>1791</v>
      </c>
      <c r="L1048" s="33" t="s">
        <v>3228</v>
      </c>
      <c r="M1048" s="33" t="s">
        <v>3284</v>
      </c>
      <c r="N1048" s="33" t="s">
        <v>55</v>
      </c>
      <c r="Q1048" s="33" t="s">
        <v>4050</v>
      </c>
    </row>
    <row r="1049" spans="1:17">
      <c r="A1049" s="33" t="s">
        <v>5203</v>
      </c>
      <c r="B1049" s="33" t="s">
        <v>5208</v>
      </c>
      <c r="C1049" s="33" t="s">
        <v>1949</v>
      </c>
      <c r="D1049" s="33" t="s">
        <v>4068</v>
      </c>
      <c r="E1049" s="33" t="s">
        <v>1786</v>
      </c>
      <c r="F1049" s="33" t="s">
        <v>1815</v>
      </c>
      <c r="G1049" s="33" t="s">
        <v>3472</v>
      </c>
      <c r="H1049" s="33" t="s">
        <v>3365</v>
      </c>
      <c r="I1049" s="33" t="s">
        <v>3365</v>
      </c>
      <c r="J1049" s="33" t="s">
        <v>5209</v>
      </c>
      <c r="K1049" s="33" t="s">
        <v>1791</v>
      </c>
      <c r="L1049" s="33" t="s">
        <v>3228</v>
      </c>
      <c r="M1049" s="33" t="s">
        <v>3284</v>
      </c>
      <c r="N1049" s="33" t="s">
        <v>55</v>
      </c>
      <c r="Q1049" s="33" t="s">
        <v>4050</v>
      </c>
    </row>
    <row r="1050" spans="1:17">
      <c r="A1050" s="33" t="s">
        <v>5210</v>
      </c>
      <c r="B1050" s="33" t="s">
        <v>5211</v>
      </c>
      <c r="C1050" s="33" t="s">
        <v>1949</v>
      </c>
      <c r="D1050" s="33" t="s">
        <v>4068</v>
      </c>
      <c r="E1050" s="33" t="s">
        <v>1786</v>
      </c>
      <c r="F1050" s="33" t="s">
        <v>1815</v>
      </c>
      <c r="G1050" s="33" t="s">
        <v>3472</v>
      </c>
      <c r="H1050" s="33" t="s">
        <v>3365</v>
      </c>
      <c r="I1050" s="33" t="s">
        <v>3365</v>
      </c>
      <c r="J1050" s="33" t="s">
        <v>5212</v>
      </c>
      <c r="K1050" s="33" t="s">
        <v>1791</v>
      </c>
      <c r="L1050" s="33" t="s">
        <v>3228</v>
      </c>
      <c r="M1050" s="33" t="s">
        <v>3284</v>
      </c>
      <c r="N1050" s="33" t="s">
        <v>55</v>
      </c>
      <c r="Q1050" s="33" t="s">
        <v>4050</v>
      </c>
    </row>
    <row r="1051" spans="1:17">
      <c r="A1051" s="33" t="s">
        <v>4987</v>
      </c>
      <c r="B1051" s="33" t="s">
        <v>5213</v>
      </c>
      <c r="C1051" s="33" t="s">
        <v>4116</v>
      </c>
      <c r="D1051" s="33" t="s">
        <v>4068</v>
      </c>
      <c r="E1051" s="33" t="s">
        <v>1786</v>
      </c>
      <c r="F1051" s="33" t="s">
        <v>1787</v>
      </c>
      <c r="G1051" s="33" t="s">
        <v>4789</v>
      </c>
      <c r="H1051" s="33" t="s">
        <v>3365</v>
      </c>
      <c r="I1051" s="33" t="s">
        <v>3365</v>
      </c>
      <c r="J1051" s="33" t="s">
        <v>5214</v>
      </c>
      <c r="K1051" s="33" t="s">
        <v>1791</v>
      </c>
      <c r="L1051" s="33" t="s">
        <v>3228</v>
      </c>
      <c r="M1051" s="33" t="s">
        <v>70</v>
      </c>
      <c r="N1051" s="33" t="s">
        <v>106</v>
      </c>
      <c r="Q1051" s="33" t="s">
        <v>4050</v>
      </c>
    </row>
    <row r="1052" spans="1:17">
      <c r="A1052" s="33" t="s">
        <v>5215</v>
      </c>
      <c r="B1052" s="33" t="s">
        <v>5216</v>
      </c>
      <c r="C1052" s="33" t="s">
        <v>1949</v>
      </c>
      <c r="D1052" s="33" t="s">
        <v>4068</v>
      </c>
      <c r="E1052" s="33" t="s">
        <v>1786</v>
      </c>
      <c r="F1052" s="33" t="s">
        <v>1815</v>
      </c>
      <c r="G1052" s="33" t="s">
        <v>3472</v>
      </c>
      <c r="H1052" s="33" t="s">
        <v>3436</v>
      </c>
      <c r="I1052" s="33" t="s">
        <v>3436</v>
      </c>
      <c r="J1052" s="33" t="s">
        <v>5217</v>
      </c>
      <c r="K1052" s="33" t="s">
        <v>1791</v>
      </c>
      <c r="L1052" s="33" t="s">
        <v>3228</v>
      </c>
      <c r="M1052" s="33" t="s">
        <v>136</v>
      </c>
      <c r="N1052" s="33" t="s">
        <v>55</v>
      </c>
      <c r="Q1052" s="33" t="s">
        <v>4050</v>
      </c>
    </row>
    <row r="1053" spans="1:17">
      <c r="A1053" s="33" t="s">
        <v>5218</v>
      </c>
      <c r="B1053" s="33" t="s">
        <v>5219</v>
      </c>
      <c r="C1053" s="33" t="s">
        <v>2205</v>
      </c>
      <c r="D1053" s="33" t="s">
        <v>4068</v>
      </c>
      <c r="E1053" s="33" t="s">
        <v>1786</v>
      </c>
      <c r="F1053" s="33" t="s">
        <v>1787</v>
      </c>
      <c r="G1053" s="33" t="s">
        <v>3289</v>
      </c>
      <c r="H1053" s="33" t="s">
        <v>3452</v>
      </c>
      <c r="I1053" s="33" t="s">
        <v>3452</v>
      </c>
      <c r="J1053" s="33" t="s">
        <v>5220</v>
      </c>
      <c r="K1053" s="33" t="s">
        <v>1791</v>
      </c>
      <c r="L1053" s="33" t="s">
        <v>3228</v>
      </c>
      <c r="M1053" s="33" t="s">
        <v>1083</v>
      </c>
      <c r="N1053" s="33" t="s">
        <v>77</v>
      </c>
      <c r="Q1053" s="33" t="s">
        <v>4050</v>
      </c>
    </row>
    <row r="1054" spans="1:17">
      <c r="A1054" s="33" t="s">
        <v>5221</v>
      </c>
      <c r="B1054" s="33" t="s">
        <v>5222</v>
      </c>
      <c r="C1054" s="33" t="s">
        <v>2273</v>
      </c>
      <c r="D1054" s="33" t="s">
        <v>4068</v>
      </c>
      <c r="E1054" s="33" t="s">
        <v>1786</v>
      </c>
      <c r="F1054" s="33" t="s">
        <v>1787</v>
      </c>
      <c r="G1054" s="33" t="s">
        <v>2274</v>
      </c>
      <c r="H1054" s="33" t="s">
        <v>3452</v>
      </c>
      <c r="I1054" s="33" t="s">
        <v>3452</v>
      </c>
      <c r="J1054" s="33" t="s">
        <v>5223</v>
      </c>
      <c r="K1054" s="33" t="s">
        <v>1791</v>
      </c>
      <c r="L1054" s="33" t="s">
        <v>3228</v>
      </c>
      <c r="M1054" s="33" t="s">
        <v>3284</v>
      </c>
      <c r="N1054" s="33" t="s">
        <v>970</v>
      </c>
      <c r="Q1054" s="33" t="s">
        <v>4050</v>
      </c>
    </row>
    <row r="1055" spans="1:17">
      <c r="A1055" s="33" t="s">
        <v>5224</v>
      </c>
      <c r="B1055" s="33" t="s">
        <v>5225</v>
      </c>
      <c r="C1055" s="33" t="s">
        <v>1831</v>
      </c>
      <c r="D1055" s="33" t="s">
        <v>4068</v>
      </c>
      <c r="E1055" s="33" t="s">
        <v>1786</v>
      </c>
      <c r="F1055" s="33" t="s">
        <v>1787</v>
      </c>
      <c r="G1055" s="33" t="s">
        <v>4933</v>
      </c>
      <c r="H1055" s="33" t="s">
        <v>3463</v>
      </c>
      <c r="I1055" s="33" t="s">
        <v>3463</v>
      </c>
      <c r="J1055" s="33" t="s">
        <v>5226</v>
      </c>
      <c r="K1055" s="33" t="s">
        <v>1791</v>
      </c>
      <c r="L1055" s="33" t="s">
        <v>3228</v>
      </c>
      <c r="M1055" s="33" t="s">
        <v>197</v>
      </c>
      <c r="N1055" s="33" t="s">
        <v>197</v>
      </c>
      <c r="Q1055" s="33" t="s">
        <v>4050</v>
      </c>
    </row>
    <row r="1056" spans="1:17">
      <c r="A1056" s="33" t="s">
        <v>5227</v>
      </c>
      <c r="B1056" s="33" t="s">
        <v>5228</v>
      </c>
      <c r="C1056" s="33" t="s">
        <v>2443</v>
      </c>
      <c r="D1056" s="33" t="s">
        <v>4068</v>
      </c>
      <c r="E1056" s="33" t="s">
        <v>1786</v>
      </c>
      <c r="F1056" s="33" t="s">
        <v>1864</v>
      </c>
      <c r="G1056" s="33" t="s">
        <v>5229</v>
      </c>
      <c r="H1056" s="33" t="s">
        <v>3463</v>
      </c>
      <c r="I1056" s="33" t="s">
        <v>3463</v>
      </c>
      <c r="J1056" s="33" t="s">
        <v>5230</v>
      </c>
      <c r="K1056" s="33" t="s">
        <v>1791</v>
      </c>
      <c r="L1056" s="33" t="s">
        <v>3228</v>
      </c>
      <c r="M1056" s="33" t="s">
        <v>197</v>
      </c>
      <c r="N1056" s="33" t="s">
        <v>970</v>
      </c>
      <c r="Q1056" s="33" t="s">
        <v>4050</v>
      </c>
    </row>
    <row r="1057" spans="1:17" hidden="1">
      <c r="A1057" s="33" t="s">
        <v>5231</v>
      </c>
      <c r="B1057" s="33" t="s">
        <v>5232</v>
      </c>
      <c r="C1057" s="33" t="s">
        <v>4132</v>
      </c>
      <c r="D1057" s="33" t="s">
        <v>4323</v>
      </c>
      <c r="E1057" s="33" t="s">
        <v>2471</v>
      </c>
      <c r="F1057" s="33" t="s">
        <v>1787</v>
      </c>
      <c r="G1057" s="33" t="s">
        <v>4323</v>
      </c>
      <c r="H1057" s="33" t="s">
        <v>3228</v>
      </c>
      <c r="I1057" s="33" t="s">
        <v>3228</v>
      </c>
      <c r="J1057" s="33" t="s">
        <v>5233</v>
      </c>
      <c r="K1057" s="33" t="s">
        <v>2471</v>
      </c>
      <c r="L1057" s="33" t="s">
        <v>3228</v>
      </c>
      <c r="M1057" s="33" t="s">
        <v>195</v>
      </c>
      <c r="N1057" s="33" t="s">
        <v>134</v>
      </c>
      <c r="Q1057" s="33" t="s">
        <v>4050</v>
      </c>
    </row>
    <row r="1058" spans="1:17">
      <c r="A1058" s="33" t="s">
        <v>5234</v>
      </c>
      <c r="B1058" s="33" t="s">
        <v>5235</v>
      </c>
      <c r="C1058" s="33" t="s">
        <v>4381</v>
      </c>
      <c r="D1058" s="33" t="s">
        <v>4068</v>
      </c>
      <c r="E1058" s="33" t="s">
        <v>1786</v>
      </c>
      <c r="F1058" s="33" t="s">
        <v>1815</v>
      </c>
      <c r="G1058" s="33" t="s">
        <v>20</v>
      </c>
      <c r="H1058" s="33" t="s">
        <v>3228</v>
      </c>
      <c r="I1058" s="33" t="s">
        <v>3228</v>
      </c>
      <c r="J1058" s="33" t="s">
        <v>5236</v>
      </c>
      <c r="K1058" s="33" t="s">
        <v>1791</v>
      </c>
      <c r="L1058" s="33" t="s">
        <v>3228</v>
      </c>
      <c r="M1058" s="33" t="s">
        <v>61</v>
      </c>
      <c r="N1058" s="33" t="s">
        <v>19</v>
      </c>
      <c r="Q1058" s="33" t="s">
        <v>4050</v>
      </c>
    </row>
    <row r="1059" spans="1:17">
      <c r="A1059" s="33" t="s">
        <v>5237</v>
      </c>
      <c r="B1059" s="33" t="s">
        <v>5238</v>
      </c>
      <c r="C1059" s="33" t="s">
        <v>4381</v>
      </c>
      <c r="D1059" s="33" t="s">
        <v>4068</v>
      </c>
      <c r="E1059" s="33" t="s">
        <v>1786</v>
      </c>
      <c r="F1059" s="33" t="s">
        <v>1856</v>
      </c>
      <c r="G1059" s="33" t="s">
        <v>20</v>
      </c>
      <c r="H1059" s="33" t="s">
        <v>3228</v>
      </c>
      <c r="I1059" s="33" t="s">
        <v>3228</v>
      </c>
      <c r="J1059" s="33" t="s">
        <v>5239</v>
      </c>
      <c r="K1059" s="33" t="s">
        <v>1791</v>
      </c>
      <c r="L1059" s="33" t="s">
        <v>3228</v>
      </c>
      <c r="M1059" s="33" t="s">
        <v>3310</v>
      </c>
      <c r="N1059" s="33" t="s">
        <v>19</v>
      </c>
      <c r="Q1059" s="33" t="s">
        <v>4050</v>
      </c>
    </row>
    <row r="1060" spans="1:17">
      <c r="A1060" s="33" t="s">
        <v>5234</v>
      </c>
      <c r="B1060" s="33" t="s">
        <v>5240</v>
      </c>
      <c r="C1060" s="33" t="s">
        <v>4381</v>
      </c>
      <c r="D1060" s="33" t="s">
        <v>4068</v>
      </c>
      <c r="E1060" s="33" t="s">
        <v>1786</v>
      </c>
      <c r="F1060" s="33" t="s">
        <v>1815</v>
      </c>
      <c r="G1060" s="33" t="s">
        <v>20</v>
      </c>
      <c r="H1060" s="33" t="s">
        <v>3228</v>
      </c>
      <c r="I1060" s="33" t="s">
        <v>3228</v>
      </c>
      <c r="J1060" s="33" t="s">
        <v>5241</v>
      </c>
      <c r="K1060" s="33" t="s">
        <v>1791</v>
      </c>
      <c r="L1060" s="33" t="s">
        <v>3228</v>
      </c>
      <c r="M1060" s="33" t="s">
        <v>193</v>
      </c>
      <c r="N1060" s="33" t="s">
        <v>19</v>
      </c>
      <c r="Q1060" s="33" t="s">
        <v>4050</v>
      </c>
    </row>
    <row r="1061" spans="1:17" hidden="1">
      <c r="A1061" s="33" t="s">
        <v>5242</v>
      </c>
      <c r="B1061" s="33" t="s">
        <v>5243</v>
      </c>
      <c r="C1061" s="33" t="s">
        <v>1949</v>
      </c>
      <c r="D1061" s="33" t="s">
        <v>4068</v>
      </c>
      <c r="E1061" s="33" t="s">
        <v>1808</v>
      </c>
      <c r="F1061" s="33" t="s">
        <v>1787</v>
      </c>
      <c r="G1061" s="33" t="s">
        <v>3472</v>
      </c>
      <c r="H1061" s="33" t="s">
        <v>3228</v>
      </c>
      <c r="I1061" s="33" t="s">
        <v>3228</v>
      </c>
      <c r="J1061" s="33" t="s">
        <v>3473</v>
      </c>
      <c r="K1061" s="33" t="s">
        <v>1791</v>
      </c>
      <c r="L1061" s="33" t="s">
        <v>3228</v>
      </c>
      <c r="M1061" s="33" t="s">
        <v>1402</v>
      </c>
      <c r="N1061" s="33" t="s">
        <v>55</v>
      </c>
      <c r="Q1061" s="33" t="s">
        <v>4050</v>
      </c>
    </row>
    <row r="1062" spans="1:17">
      <c r="A1062" s="33" t="s">
        <v>5244</v>
      </c>
      <c r="B1062" s="33" t="s">
        <v>5245</v>
      </c>
      <c r="C1062" s="33" t="s">
        <v>4748</v>
      </c>
      <c r="D1062" s="33" t="s">
        <v>4068</v>
      </c>
      <c r="E1062" s="33" t="s">
        <v>1786</v>
      </c>
      <c r="F1062" s="33" t="s">
        <v>1787</v>
      </c>
      <c r="G1062" s="33" t="s">
        <v>5039</v>
      </c>
      <c r="H1062" s="33" t="s">
        <v>3228</v>
      </c>
      <c r="I1062" s="33" t="s">
        <v>3228</v>
      </c>
      <c r="J1062" s="33" t="s">
        <v>5246</v>
      </c>
      <c r="K1062" s="33" t="s">
        <v>1791</v>
      </c>
      <c r="L1062" s="33" t="s">
        <v>3228</v>
      </c>
      <c r="M1062" s="33" t="s">
        <v>1402</v>
      </c>
      <c r="N1062" s="33" t="s">
        <v>193</v>
      </c>
      <c r="Q1062" s="33" t="s">
        <v>4050</v>
      </c>
    </row>
    <row r="1063" spans="1:17">
      <c r="A1063" s="33" t="s">
        <v>5247</v>
      </c>
      <c r="B1063" s="33" t="s">
        <v>5248</v>
      </c>
      <c r="C1063" s="33" t="s">
        <v>1949</v>
      </c>
      <c r="D1063" s="33" t="s">
        <v>4068</v>
      </c>
      <c r="E1063" s="33" t="s">
        <v>1786</v>
      </c>
      <c r="F1063" s="33" t="s">
        <v>1815</v>
      </c>
      <c r="G1063" s="33" t="s">
        <v>3472</v>
      </c>
      <c r="H1063" s="33" t="s">
        <v>3228</v>
      </c>
      <c r="I1063" s="33" t="s">
        <v>3228</v>
      </c>
      <c r="J1063" s="33" t="s">
        <v>5249</v>
      </c>
      <c r="K1063" s="33" t="s">
        <v>1791</v>
      </c>
      <c r="L1063" s="33" t="s">
        <v>3228</v>
      </c>
      <c r="M1063" s="33" t="s">
        <v>3284</v>
      </c>
      <c r="N1063" s="33" t="s">
        <v>55</v>
      </c>
      <c r="Q1063" s="33" t="s">
        <v>4050</v>
      </c>
    </row>
    <row r="1064" spans="1:17">
      <c r="A1064" s="33" t="s">
        <v>5250</v>
      </c>
      <c r="B1064" s="33" t="s">
        <v>5251</v>
      </c>
      <c r="C1064" s="33" t="s">
        <v>1949</v>
      </c>
      <c r="D1064" s="33" t="s">
        <v>4068</v>
      </c>
      <c r="E1064" s="33" t="s">
        <v>1786</v>
      </c>
      <c r="F1064" s="33" t="s">
        <v>1815</v>
      </c>
      <c r="G1064" s="33" t="s">
        <v>3472</v>
      </c>
      <c r="H1064" s="33" t="s">
        <v>3228</v>
      </c>
      <c r="I1064" s="33" t="s">
        <v>3228</v>
      </c>
      <c r="J1064" s="33" t="s">
        <v>5252</v>
      </c>
      <c r="K1064" s="33" t="s">
        <v>1791</v>
      </c>
      <c r="L1064" s="33" t="s">
        <v>3228</v>
      </c>
      <c r="M1064" s="33" t="s">
        <v>3284</v>
      </c>
      <c r="N1064" s="33" t="s">
        <v>55</v>
      </c>
      <c r="Q1064" s="33" t="s">
        <v>4050</v>
      </c>
    </row>
    <row r="1065" spans="1:17">
      <c r="A1065" s="33" t="s">
        <v>5253</v>
      </c>
      <c r="B1065" s="33" t="s">
        <v>5254</v>
      </c>
      <c r="C1065" s="33" t="s">
        <v>1949</v>
      </c>
      <c r="D1065" s="33" t="s">
        <v>4068</v>
      </c>
      <c r="E1065" s="33" t="s">
        <v>1786</v>
      </c>
      <c r="F1065" s="33" t="s">
        <v>1815</v>
      </c>
      <c r="G1065" s="33" t="s">
        <v>3472</v>
      </c>
      <c r="H1065" s="33" t="s">
        <v>3228</v>
      </c>
      <c r="I1065" s="33" t="s">
        <v>3228</v>
      </c>
      <c r="J1065" s="33" t="s">
        <v>5255</v>
      </c>
      <c r="K1065" s="33" t="s">
        <v>1791</v>
      </c>
      <c r="L1065" s="33" t="s">
        <v>3228</v>
      </c>
      <c r="M1065" s="33" t="s">
        <v>3284</v>
      </c>
      <c r="N1065" s="33" t="s">
        <v>55</v>
      </c>
      <c r="Q1065" s="33" t="s">
        <v>4050</v>
      </c>
    </row>
    <row r="1066" spans="1:17">
      <c r="A1066" s="33" t="s">
        <v>5256</v>
      </c>
      <c r="B1066" s="33" t="s">
        <v>5257</v>
      </c>
      <c r="C1066" s="33" t="s">
        <v>1949</v>
      </c>
      <c r="D1066" s="33" t="s">
        <v>4068</v>
      </c>
      <c r="E1066" s="33" t="s">
        <v>1786</v>
      </c>
      <c r="F1066" s="33" t="s">
        <v>1815</v>
      </c>
      <c r="G1066" s="33" t="s">
        <v>3472</v>
      </c>
      <c r="H1066" s="33" t="s">
        <v>3228</v>
      </c>
      <c r="I1066" s="33" t="s">
        <v>3228</v>
      </c>
      <c r="J1066" s="33" t="s">
        <v>5258</v>
      </c>
      <c r="K1066" s="33" t="s">
        <v>1791</v>
      </c>
      <c r="L1066" s="33" t="s">
        <v>3228</v>
      </c>
      <c r="M1066" s="33" t="s">
        <v>3284</v>
      </c>
      <c r="N1066" s="33" t="s">
        <v>55</v>
      </c>
      <c r="Q1066" s="33" t="s">
        <v>4050</v>
      </c>
    </row>
    <row r="1067" spans="1:17">
      <c r="A1067" s="33" t="s">
        <v>5256</v>
      </c>
      <c r="B1067" s="33" t="s">
        <v>5259</v>
      </c>
      <c r="C1067" s="33" t="s">
        <v>1949</v>
      </c>
      <c r="D1067" s="33" t="s">
        <v>4068</v>
      </c>
      <c r="E1067" s="33" t="s">
        <v>1786</v>
      </c>
      <c r="F1067" s="33" t="s">
        <v>1815</v>
      </c>
      <c r="G1067" s="33" t="s">
        <v>3472</v>
      </c>
      <c r="H1067" s="33" t="s">
        <v>3228</v>
      </c>
      <c r="I1067" s="33" t="s">
        <v>3228</v>
      </c>
      <c r="J1067" s="33" t="s">
        <v>5260</v>
      </c>
      <c r="K1067" s="33" t="s">
        <v>1791</v>
      </c>
      <c r="L1067" s="33" t="s">
        <v>3228</v>
      </c>
      <c r="M1067" s="33" t="s">
        <v>3284</v>
      </c>
      <c r="N1067" s="33" t="s">
        <v>55</v>
      </c>
      <c r="Q1067" s="33" t="s">
        <v>4050</v>
      </c>
    </row>
    <row r="1068" spans="1:17">
      <c r="A1068" s="33" t="s">
        <v>5261</v>
      </c>
      <c r="B1068" s="33" t="s">
        <v>5262</v>
      </c>
      <c r="C1068" s="33" t="s">
        <v>1785</v>
      </c>
      <c r="D1068" s="33" t="s">
        <v>4068</v>
      </c>
      <c r="E1068" s="33" t="s">
        <v>1786</v>
      </c>
      <c r="F1068" s="33" t="s">
        <v>1787</v>
      </c>
      <c r="G1068" s="33" t="s">
        <v>3836</v>
      </c>
      <c r="H1068" s="33" t="s">
        <v>3228</v>
      </c>
      <c r="I1068" s="33" t="s">
        <v>3463</v>
      </c>
      <c r="J1068" s="33" t="s">
        <v>5263</v>
      </c>
      <c r="K1068" s="33" t="s">
        <v>1791</v>
      </c>
      <c r="L1068" s="33" t="s">
        <v>3228</v>
      </c>
      <c r="M1068" s="33" t="s">
        <v>69</v>
      </c>
      <c r="N1068" s="33" t="s">
        <v>1083</v>
      </c>
      <c r="Q1068" s="33" t="s">
        <v>4050</v>
      </c>
    </row>
    <row r="1069" spans="1:17">
      <c r="A1069" s="33" t="s">
        <v>5264</v>
      </c>
      <c r="B1069" s="33" t="s">
        <v>5265</v>
      </c>
      <c r="C1069" s="33" t="s">
        <v>2205</v>
      </c>
      <c r="D1069" s="33" t="s">
        <v>4068</v>
      </c>
      <c r="E1069" s="33" t="s">
        <v>1786</v>
      </c>
      <c r="F1069" s="33" t="s">
        <v>1787</v>
      </c>
      <c r="G1069" s="33" t="s">
        <v>4803</v>
      </c>
      <c r="H1069" s="33" t="s">
        <v>3228</v>
      </c>
      <c r="I1069" s="33" t="s">
        <v>3228</v>
      </c>
      <c r="J1069" s="33" t="s">
        <v>5266</v>
      </c>
      <c r="K1069" s="33" t="s">
        <v>1791</v>
      </c>
      <c r="L1069" s="33" t="s">
        <v>3228</v>
      </c>
      <c r="M1069" s="33" t="s">
        <v>194</v>
      </c>
      <c r="N1069" s="33" t="s">
        <v>77</v>
      </c>
      <c r="Q1069" s="33" t="s">
        <v>4050</v>
      </c>
    </row>
    <row r="1070" spans="1:17">
      <c r="A1070" s="33" t="s">
        <v>5267</v>
      </c>
      <c r="B1070" s="33" t="s">
        <v>5268</v>
      </c>
      <c r="C1070" s="33" t="s">
        <v>2205</v>
      </c>
      <c r="D1070" s="33" t="s">
        <v>4068</v>
      </c>
      <c r="E1070" s="33" t="s">
        <v>1786</v>
      </c>
      <c r="F1070" s="33" t="s">
        <v>1787</v>
      </c>
      <c r="G1070" s="33" t="s">
        <v>4803</v>
      </c>
      <c r="H1070" s="33" t="s">
        <v>3228</v>
      </c>
      <c r="I1070" s="33" t="s">
        <v>3228</v>
      </c>
      <c r="J1070" s="33" t="s">
        <v>5269</v>
      </c>
      <c r="K1070" s="33" t="s">
        <v>1791</v>
      </c>
      <c r="L1070" s="33" t="s">
        <v>3228</v>
      </c>
      <c r="M1070" s="33" t="s">
        <v>194</v>
      </c>
      <c r="N1070" s="33" t="s">
        <v>77</v>
      </c>
      <c r="Q1070" s="33" t="s">
        <v>4050</v>
      </c>
    </row>
    <row r="1071" spans="1:17">
      <c r="A1071" s="33" t="s">
        <v>5270</v>
      </c>
      <c r="B1071" s="33" t="s">
        <v>5271</v>
      </c>
      <c r="C1071" s="33" t="s">
        <v>1785</v>
      </c>
      <c r="D1071" s="33" t="s">
        <v>4068</v>
      </c>
      <c r="E1071" s="33" t="s">
        <v>1786</v>
      </c>
      <c r="F1071" s="33" t="s">
        <v>1787</v>
      </c>
      <c r="G1071" s="33" t="s">
        <v>3836</v>
      </c>
      <c r="H1071" s="33" t="s">
        <v>3228</v>
      </c>
      <c r="I1071" s="33" t="s">
        <v>3365</v>
      </c>
      <c r="J1071" s="33" t="s">
        <v>5272</v>
      </c>
      <c r="K1071" s="33" t="s">
        <v>1791</v>
      </c>
      <c r="L1071" s="33" t="s">
        <v>3228</v>
      </c>
      <c r="M1071" s="33" t="s">
        <v>78</v>
      </c>
      <c r="N1071" s="33" t="s">
        <v>1083</v>
      </c>
      <c r="Q1071" s="33" t="s">
        <v>4050</v>
      </c>
    </row>
    <row r="1072" spans="1:17">
      <c r="A1072" s="33" t="s">
        <v>5273</v>
      </c>
      <c r="B1072" s="33" t="s">
        <v>5274</v>
      </c>
      <c r="C1072" s="33" t="s">
        <v>1785</v>
      </c>
      <c r="D1072" s="33" t="s">
        <v>4068</v>
      </c>
      <c r="E1072" s="33" t="s">
        <v>1786</v>
      </c>
      <c r="F1072" s="33" t="s">
        <v>1787</v>
      </c>
      <c r="G1072" s="33" t="s">
        <v>3836</v>
      </c>
      <c r="H1072" s="33" t="s">
        <v>3228</v>
      </c>
      <c r="I1072" s="33" t="s">
        <v>3365</v>
      </c>
      <c r="J1072" s="33" t="s">
        <v>5275</v>
      </c>
      <c r="K1072" s="33" t="s">
        <v>1791</v>
      </c>
      <c r="L1072" s="33" t="s">
        <v>3228</v>
      </c>
      <c r="M1072" s="33" t="s">
        <v>78</v>
      </c>
      <c r="N1072" s="33" t="s">
        <v>1083</v>
      </c>
      <c r="Q1072" s="33" t="s">
        <v>4050</v>
      </c>
    </row>
    <row r="1073" spans="1:17">
      <c r="A1073" s="33" t="s">
        <v>5276</v>
      </c>
      <c r="B1073" s="33" t="s">
        <v>5277</v>
      </c>
      <c r="C1073" s="33" t="s">
        <v>2205</v>
      </c>
      <c r="D1073" s="33" t="s">
        <v>4068</v>
      </c>
      <c r="E1073" s="33" t="s">
        <v>1786</v>
      </c>
      <c r="F1073" s="33" t="s">
        <v>1787</v>
      </c>
      <c r="G1073" s="33" t="s">
        <v>4803</v>
      </c>
      <c r="H1073" s="33" t="s">
        <v>3228</v>
      </c>
      <c r="I1073" s="33" t="s">
        <v>3228</v>
      </c>
      <c r="J1073" s="33" t="s">
        <v>5278</v>
      </c>
      <c r="K1073" s="33" t="s">
        <v>1791</v>
      </c>
      <c r="L1073" s="33" t="s">
        <v>3228</v>
      </c>
      <c r="M1073" s="33" t="s">
        <v>194</v>
      </c>
      <c r="N1073" s="33" t="s">
        <v>77</v>
      </c>
      <c r="Q1073" s="33" t="s">
        <v>4050</v>
      </c>
    </row>
    <row r="1074" spans="1:17">
      <c r="A1074" s="33" t="s">
        <v>5279</v>
      </c>
      <c r="B1074" s="33" t="s">
        <v>5280</v>
      </c>
      <c r="C1074" s="33" t="s">
        <v>1785</v>
      </c>
      <c r="D1074" s="33" t="s">
        <v>4068</v>
      </c>
      <c r="E1074" s="33" t="s">
        <v>1786</v>
      </c>
      <c r="F1074" s="33" t="s">
        <v>1787</v>
      </c>
      <c r="G1074" s="33" t="s">
        <v>3836</v>
      </c>
      <c r="H1074" s="33" t="s">
        <v>3228</v>
      </c>
      <c r="I1074" s="33" t="s">
        <v>3072</v>
      </c>
      <c r="J1074" s="33" t="s">
        <v>5281</v>
      </c>
      <c r="K1074" s="33" t="s">
        <v>1791</v>
      </c>
      <c r="L1074" s="33" t="s">
        <v>3228</v>
      </c>
      <c r="M1074" s="33" t="s">
        <v>193</v>
      </c>
      <c r="N1074" s="33" t="s">
        <v>1083</v>
      </c>
      <c r="Q1074" s="33" t="s">
        <v>4050</v>
      </c>
    </row>
    <row r="1075" spans="1:17">
      <c r="A1075" s="33" t="s">
        <v>5282</v>
      </c>
      <c r="B1075" s="33" t="s">
        <v>5283</v>
      </c>
      <c r="C1075" s="33" t="s">
        <v>2020</v>
      </c>
      <c r="D1075" s="33" t="s">
        <v>4068</v>
      </c>
      <c r="E1075" s="33" t="s">
        <v>1786</v>
      </c>
      <c r="F1075" s="33" t="s">
        <v>1787</v>
      </c>
      <c r="G1075" s="33" t="s">
        <v>3085</v>
      </c>
      <c r="H1075" s="33" t="s">
        <v>3228</v>
      </c>
      <c r="I1075" s="33" t="s">
        <v>5184</v>
      </c>
      <c r="J1075" s="33" t="s">
        <v>5284</v>
      </c>
      <c r="K1075" s="33" t="s">
        <v>1791</v>
      </c>
      <c r="L1075" s="33" t="s">
        <v>3228</v>
      </c>
      <c r="M1075" s="33" t="s">
        <v>1083</v>
      </c>
      <c r="N1075" s="33" t="s">
        <v>196</v>
      </c>
      <c r="Q1075" s="33" t="s">
        <v>4050</v>
      </c>
    </row>
    <row r="1076" spans="1:17">
      <c r="A1076" s="33" t="s">
        <v>5285</v>
      </c>
      <c r="B1076" s="33" t="s">
        <v>5286</v>
      </c>
      <c r="C1076" s="33" t="s">
        <v>2205</v>
      </c>
      <c r="D1076" s="33" t="s">
        <v>4068</v>
      </c>
      <c r="E1076" s="33" t="s">
        <v>1786</v>
      </c>
      <c r="F1076" s="33" t="s">
        <v>1787</v>
      </c>
      <c r="G1076" s="33" t="s">
        <v>5014</v>
      </c>
      <c r="H1076" s="33" t="s">
        <v>3228</v>
      </c>
      <c r="I1076" s="33" t="s">
        <v>3228</v>
      </c>
      <c r="J1076" s="33" t="s">
        <v>5287</v>
      </c>
      <c r="K1076" s="33" t="s">
        <v>1791</v>
      </c>
      <c r="L1076" s="33" t="s">
        <v>3228</v>
      </c>
      <c r="M1076" s="33" t="s">
        <v>197</v>
      </c>
      <c r="N1076" s="33" t="s">
        <v>77</v>
      </c>
      <c r="Q1076" s="33" t="s">
        <v>4050</v>
      </c>
    </row>
    <row r="1077" spans="1:17" hidden="1">
      <c r="A1077" s="33" t="s">
        <v>5285</v>
      </c>
      <c r="B1077" s="33" t="s">
        <v>5288</v>
      </c>
      <c r="C1077" s="33" t="s">
        <v>2205</v>
      </c>
      <c r="D1077" s="33" t="s">
        <v>4068</v>
      </c>
      <c r="E1077" s="33" t="s">
        <v>1836</v>
      </c>
      <c r="F1077" s="33" t="s">
        <v>1787</v>
      </c>
      <c r="G1077" s="33" t="s">
        <v>5014</v>
      </c>
      <c r="H1077" s="33" t="s">
        <v>3228</v>
      </c>
      <c r="I1077" s="33" t="s">
        <v>3228</v>
      </c>
      <c r="J1077" s="33" t="s">
        <v>5287</v>
      </c>
      <c r="K1077" s="33" t="s">
        <v>1791</v>
      </c>
      <c r="L1077" s="33" t="s">
        <v>3228</v>
      </c>
      <c r="M1077" s="33" t="s">
        <v>197</v>
      </c>
      <c r="N1077" s="33" t="s">
        <v>77</v>
      </c>
      <c r="Q1077" s="33" t="s">
        <v>4050</v>
      </c>
    </row>
    <row r="1078" spans="1:17" hidden="1">
      <c r="A1078" s="33" t="s">
        <v>5289</v>
      </c>
      <c r="B1078" s="33" t="s">
        <v>5290</v>
      </c>
      <c r="C1078" s="33" t="s">
        <v>1949</v>
      </c>
      <c r="D1078" s="33" t="s">
        <v>4068</v>
      </c>
      <c r="E1078" s="33" t="s">
        <v>1836</v>
      </c>
      <c r="F1078" s="33" t="s">
        <v>1787</v>
      </c>
      <c r="G1078" s="33" t="s">
        <v>3472</v>
      </c>
      <c r="H1078" s="33" t="s">
        <v>3475</v>
      </c>
      <c r="I1078" s="33" t="s">
        <v>3475</v>
      </c>
      <c r="J1078" s="33" t="s">
        <v>5291</v>
      </c>
      <c r="K1078" s="33" t="s">
        <v>1791</v>
      </c>
      <c r="L1078" s="33" t="s">
        <v>3475</v>
      </c>
      <c r="M1078" s="33" t="s">
        <v>3284</v>
      </c>
      <c r="N1078" s="33" t="s">
        <v>55</v>
      </c>
      <c r="Q1078" s="33" t="s">
        <v>4050</v>
      </c>
    </row>
    <row r="1079" spans="1:17">
      <c r="A1079" s="33" t="s">
        <v>5292</v>
      </c>
      <c r="B1079" s="33" t="s">
        <v>5293</v>
      </c>
      <c r="C1079" s="33" t="s">
        <v>2273</v>
      </c>
      <c r="D1079" s="33" t="s">
        <v>4068</v>
      </c>
      <c r="E1079" s="33" t="s">
        <v>1786</v>
      </c>
      <c r="F1079" s="33" t="s">
        <v>1787</v>
      </c>
      <c r="G1079" s="33" t="s">
        <v>2274</v>
      </c>
      <c r="H1079" s="33" t="s">
        <v>3475</v>
      </c>
      <c r="I1079" s="33" t="s">
        <v>3475</v>
      </c>
      <c r="J1079" s="33" t="s">
        <v>5294</v>
      </c>
      <c r="K1079" s="33" t="s">
        <v>1791</v>
      </c>
      <c r="L1079" s="33" t="s">
        <v>3795</v>
      </c>
      <c r="M1079" s="33" t="s">
        <v>75</v>
      </c>
      <c r="N1079" s="33" t="s">
        <v>3284</v>
      </c>
      <c r="Q1079" s="33" t="s">
        <v>4050</v>
      </c>
    </row>
    <row r="1080" spans="1:17">
      <c r="A1080" s="33" t="s">
        <v>5295</v>
      </c>
      <c r="B1080" s="33" t="s">
        <v>5296</v>
      </c>
      <c r="C1080" s="33" t="s">
        <v>3316</v>
      </c>
      <c r="D1080" s="33" t="s">
        <v>4068</v>
      </c>
      <c r="E1080" s="33" t="s">
        <v>1786</v>
      </c>
      <c r="F1080" s="33" t="s">
        <v>1856</v>
      </c>
      <c r="G1080" s="33" t="s">
        <v>2550</v>
      </c>
      <c r="H1080" s="33" t="s">
        <v>3475</v>
      </c>
      <c r="I1080" s="33" t="s">
        <v>3475</v>
      </c>
      <c r="J1080" s="33" t="s">
        <v>5297</v>
      </c>
      <c r="K1080" s="33" t="s">
        <v>1791</v>
      </c>
      <c r="L1080" s="33" t="s">
        <v>3795</v>
      </c>
      <c r="M1080" s="33" t="s">
        <v>95</v>
      </c>
      <c r="N1080" s="33" t="s">
        <v>196</v>
      </c>
      <c r="Q1080" s="33" t="s">
        <v>4050</v>
      </c>
    </row>
    <row r="1081" spans="1:17" hidden="1">
      <c r="A1081" s="33" t="s">
        <v>5298</v>
      </c>
      <c r="B1081" s="33" t="s">
        <v>5299</v>
      </c>
      <c r="C1081" s="33" t="s">
        <v>3316</v>
      </c>
      <c r="D1081" s="33" t="s">
        <v>4068</v>
      </c>
      <c r="E1081" s="33" t="s">
        <v>1836</v>
      </c>
      <c r="F1081" s="33" t="s">
        <v>1787</v>
      </c>
      <c r="G1081" s="33" t="s">
        <v>2550</v>
      </c>
      <c r="H1081" s="33" t="s">
        <v>3475</v>
      </c>
      <c r="I1081" s="33" t="s">
        <v>3475</v>
      </c>
      <c r="J1081" s="33" t="s">
        <v>5300</v>
      </c>
      <c r="K1081" s="33" t="s">
        <v>1791</v>
      </c>
      <c r="L1081" s="33" t="s">
        <v>3795</v>
      </c>
      <c r="M1081" s="33" t="s">
        <v>61</v>
      </c>
      <c r="N1081" s="33" t="s">
        <v>196</v>
      </c>
      <c r="Q1081" s="33" t="s">
        <v>4050</v>
      </c>
    </row>
    <row r="1082" spans="1:17">
      <c r="A1082" s="33" t="s">
        <v>5301</v>
      </c>
      <c r="B1082" s="33" t="s">
        <v>5302</v>
      </c>
      <c r="C1082" s="33" t="s">
        <v>2825</v>
      </c>
      <c r="D1082" s="33" t="s">
        <v>4068</v>
      </c>
      <c r="E1082" s="33" t="s">
        <v>1786</v>
      </c>
      <c r="F1082" s="33" t="s">
        <v>1787</v>
      </c>
      <c r="G1082" s="33" t="s">
        <v>71</v>
      </c>
      <c r="H1082" s="33" t="s">
        <v>3475</v>
      </c>
      <c r="I1082" s="33" t="s">
        <v>3475</v>
      </c>
      <c r="J1082" s="33" t="s">
        <v>5303</v>
      </c>
      <c r="K1082" s="33" t="s">
        <v>1791</v>
      </c>
      <c r="L1082" s="33" t="s">
        <v>3795</v>
      </c>
      <c r="M1082" s="33" t="s">
        <v>107</v>
      </c>
      <c r="N1082" s="33" t="s">
        <v>70</v>
      </c>
      <c r="Q1082" s="33" t="s">
        <v>4050</v>
      </c>
    </row>
    <row r="1083" spans="1:17" hidden="1">
      <c r="A1083" s="33" t="s">
        <v>5304</v>
      </c>
      <c r="B1083" s="33" t="s">
        <v>5305</v>
      </c>
      <c r="C1083" s="33" t="s">
        <v>2147</v>
      </c>
      <c r="D1083" s="33" t="s">
        <v>4068</v>
      </c>
      <c r="E1083" s="33" t="s">
        <v>1836</v>
      </c>
      <c r="F1083" s="33" t="s">
        <v>1787</v>
      </c>
      <c r="G1083" s="33" t="s">
        <v>86</v>
      </c>
      <c r="H1083" s="33" t="s">
        <v>3475</v>
      </c>
      <c r="I1083" s="33" t="s">
        <v>3475</v>
      </c>
      <c r="J1083" s="33" t="s">
        <v>5306</v>
      </c>
      <c r="K1083" s="33" t="s">
        <v>1791</v>
      </c>
      <c r="L1083" s="33" t="s">
        <v>3795</v>
      </c>
      <c r="M1083" s="33" t="s">
        <v>84</v>
      </c>
      <c r="N1083" s="33" t="s">
        <v>1763</v>
      </c>
      <c r="Q1083" s="33" t="s">
        <v>4050</v>
      </c>
    </row>
    <row r="1084" spans="1:17" hidden="1">
      <c r="A1084" s="33" t="s">
        <v>5307</v>
      </c>
      <c r="B1084" s="33" t="s">
        <v>5308</v>
      </c>
      <c r="C1084" s="33" t="s">
        <v>4116</v>
      </c>
      <c r="D1084" s="33" t="s">
        <v>4068</v>
      </c>
      <c r="E1084" s="33" t="s">
        <v>1836</v>
      </c>
      <c r="F1084" s="33" t="s">
        <v>1815</v>
      </c>
      <c r="G1084" s="33" t="s">
        <v>27</v>
      </c>
      <c r="H1084" s="33" t="s">
        <v>3251</v>
      </c>
      <c r="I1084" s="33" t="s">
        <v>3251</v>
      </c>
      <c r="J1084" s="33" t="s">
        <v>5309</v>
      </c>
      <c r="K1084" s="33" t="s">
        <v>1791</v>
      </c>
      <c r="L1084" s="33" t="s">
        <v>3820</v>
      </c>
      <c r="M1084" s="33" t="s">
        <v>70</v>
      </c>
      <c r="N1084" s="33" t="s">
        <v>106</v>
      </c>
      <c r="Q1084" s="33" t="s">
        <v>4050</v>
      </c>
    </row>
    <row r="1085" spans="1:17">
      <c r="A1085" s="33" t="s">
        <v>5310</v>
      </c>
      <c r="B1085" s="33" t="s">
        <v>5311</v>
      </c>
      <c r="C1085" s="33" t="s">
        <v>1949</v>
      </c>
      <c r="D1085" s="33" t="s">
        <v>4068</v>
      </c>
      <c r="E1085" s="33" t="s">
        <v>1786</v>
      </c>
      <c r="F1085" s="33" t="s">
        <v>1856</v>
      </c>
      <c r="G1085" s="33" t="s">
        <v>3472</v>
      </c>
      <c r="H1085" s="33" t="s">
        <v>3251</v>
      </c>
      <c r="I1085" s="33" t="s">
        <v>3251</v>
      </c>
      <c r="J1085" s="33" t="s">
        <v>5312</v>
      </c>
      <c r="K1085" s="33" t="s">
        <v>1791</v>
      </c>
      <c r="L1085" s="33" t="s">
        <v>3820</v>
      </c>
      <c r="M1085" s="33" t="s">
        <v>3284</v>
      </c>
      <c r="N1085" s="33" t="s">
        <v>55</v>
      </c>
      <c r="Q1085" s="33" t="s">
        <v>4050</v>
      </c>
    </row>
    <row r="1086" spans="1:17" hidden="1">
      <c r="A1086" s="33" t="s">
        <v>5313</v>
      </c>
      <c r="B1086" s="33" t="s">
        <v>5314</v>
      </c>
      <c r="C1086" s="33" t="s">
        <v>1949</v>
      </c>
      <c r="D1086" s="33" t="s">
        <v>4068</v>
      </c>
      <c r="E1086" s="33" t="s">
        <v>1836</v>
      </c>
      <c r="F1086" s="33" t="s">
        <v>1787</v>
      </c>
      <c r="G1086" s="33" t="s">
        <v>3472</v>
      </c>
      <c r="H1086" s="33" t="s">
        <v>3251</v>
      </c>
      <c r="I1086" s="33" t="s">
        <v>3251</v>
      </c>
      <c r="J1086" s="33" t="s">
        <v>5315</v>
      </c>
      <c r="K1086" s="33" t="s">
        <v>1791</v>
      </c>
      <c r="L1086" s="33" t="s">
        <v>3820</v>
      </c>
      <c r="M1086" s="33" t="s">
        <v>61</v>
      </c>
      <c r="N1086" s="33" t="s">
        <v>55</v>
      </c>
      <c r="Q1086" s="33" t="s">
        <v>4050</v>
      </c>
    </row>
    <row r="1087" spans="1:17" hidden="1">
      <c r="A1087" s="33" t="s">
        <v>5316</v>
      </c>
      <c r="B1087" s="33" t="s">
        <v>5317</v>
      </c>
      <c r="C1087" s="33" t="s">
        <v>2514</v>
      </c>
      <c r="D1087" s="33" t="s">
        <v>4068</v>
      </c>
      <c r="E1087" s="33" t="s">
        <v>1836</v>
      </c>
      <c r="F1087" s="33" t="s">
        <v>1787</v>
      </c>
      <c r="G1087" s="33" t="s">
        <v>5318</v>
      </c>
      <c r="H1087" s="33" t="s">
        <v>3251</v>
      </c>
      <c r="I1087" s="33" t="s">
        <v>3251</v>
      </c>
      <c r="J1087" s="33" t="s">
        <v>5319</v>
      </c>
      <c r="K1087" s="33" t="s">
        <v>1791</v>
      </c>
      <c r="L1087" s="33" t="s">
        <v>3820</v>
      </c>
      <c r="M1087" s="33" t="s">
        <v>61</v>
      </c>
      <c r="N1087" s="33" t="s">
        <v>196</v>
      </c>
      <c r="Q1087" s="33" t="s">
        <v>4050</v>
      </c>
    </row>
    <row r="1088" spans="1:17" hidden="1">
      <c r="A1088" s="33" t="s">
        <v>5320</v>
      </c>
      <c r="B1088" s="33" t="s">
        <v>5321</v>
      </c>
      <c r="C1088" s="33" t="s">
        <v>2096</v>
      </c>
      <c r="D1088" s="33" t="s">
        <v>4068</v>
      </c>
      <c r="E1088" s="33" t="s">
        <v>1836</v>
      </c>
      <c r="F1088" s="33" t="s">
        <v>1787</v>
      </c>
      <c r="G1088" s="33" t="s">
        <v>3113</v>
      </c>
      <c r="H1088" s="33" t="s">
        <v>3251</v>
      </c>
      <c r="I1088" s="33" t="s">
        <v>3251</v>
      </c>
      <c r="J1088" s="33" t="s">
        <v>5322</v>
      </c>
      <c r="K1088" s="33" t="s">
        <v>1791</v>
      </c>
      <c r="L1088" s="33" t="s">
        <v>3820</v>
      </c>
      <c r="M1088" s="33" t="s">
        <v>193</v>
      </c>
      <c r="N1088" s="33" t="s">
        <v>3310</v>
      </c>
      <c r="Q1088" s="33" t="s">
        <v>4050</v>
      </c>
    </row>
    <row r="1089" spans="1:17" hidden="1">
      <c r="A1089" s="33" t="s">
        <v>5323</v>
      </c>
      <c r="B1089" s="33" t="s">
        <v>5324</v>
      </c>
      <c r="C1089" s="33" t="s">
        <v>2020</v>
      </c>
      <c r="D1089" s="33" t="s">
        <v>5318</v>
      </c>
      <c r="E1089" s="33" t="s">
        <v>2471</v>
      </c>
      <c r="F1089" s="33" t="s">
        <v>1787</v>
      </c>
      <c r="G1089" s="33" t="s">
        <v>5318</v>
      </c>
      <c r="H1089" s="33" t="s">
        <v>3251</v>
      </c>
      <c r="I1089" s="33" t="s">
        <v>3251</v>
      </c>
      <c r="J1089" s="33" t="s">
        <v>5325</v>
      </c>
      <c r="K1089" s="33" t="s">
        <v>2471</v>
      </c>
      <c r="L1089" s="33" t="s">
        <v>3820</v>
      </c>
      <c r="M1089" s="33" t="s">
        <v>1083</v>
      </c>
      <c r="N1089" s="33" t="s">
        <v>196</v>
      </c>
      <c r="Q1089" s="33" t="s">
        <v>4050</v>
      </c>
    </row>
    <row r="1090" spans="1:17">
      <c r="A1090" s="33" t="s">
        <v>5326</v>
      </c>
      <c r="B1090" s="33" t="s">
        <v>5327</v>
      </c>
      <c r="C1090" s="33" t="s">
        <v>2026</v>
      </c>
      <c r="D1090" s="33" t="s">
        <v>4068</v>
      </c>
      <c r="E1090" s="33" t="s">
        <v>1786</v>
      </c>
      <c r="F1090" s="33" t="s">
        <v>1815</v>
      </c>
      <c r="G1090" s="33" t="s">
        <v>90</v>
      </c>
      <c r="H1090" s="33" t="s">
        <v>3251</v>
      </c>
      <c r="I1090" s="33" t="s">
        <v>3251</v>
      </c>
      <c r="J1090" s="33" t="s">
        <v>5328</v>
      </c>
      <c r="K1090" s="33" t="s">
        <v>1791</v>
      </c>
      <c r="L1090" s="33" t="s">
        <v>3820</v>
      </c>
      <c r="M1090" s="33" t="s">
        <v>76</v>
      </c>
      <c r="N1090" s="33" t="s">
        <v>1402</v>
      </c>
      <c r="Q1090" s="33" t="s">
        <v>4050</v>
      </c>
    </row>
    <row r="1091" spans="1:17">
      <c r="A1091" s="33" t="s">
        <v>5329</v>
      </c>
      <c r="B1091" s="33" t="s">
        <v>5330</v>
      </c>
      <c r="C1091" s="33" t="s">
        <v>2026</v>
      </c>
      <c r="D1091" s="33" t="s">
        <v>4068</v>
      </c>
      <c r="E1091" s="33" t="s">
        <v>1786</v>
      </c>
      <c r="F1091" s="33" t="s">
        <v>1815</v>
      </c>
      <c r="G1091" s="33" t="s">
        <v>90</v>
      </c>
      <c r="H1091" s="33" t="s">
        <v>3251</v>
      </c>
      <c r="I1091" s="33" t="s">
        <v>3251</v>
      </c>
      <c r="J1091" s="33" t="s">
        <v>5331</v>
      </c>
      <c r="K1091" s="33" t="s">
        <v>1791</v>
      </c>
      <c r="L1091" s="33" t="s">
        <v>3820</v>
      </c>
      <c r="M1091" s="33" t="s">
        <v>78</v>
      </c>
      <c r="N1091" s="33" t="s">
        <v>1402</v>
      </c>
      <c r="Q1091" s="33" t="s">
        <v>4050</v>
      </c>
    </row>
    <row r="1092" spans="1:17" hidden="1">
      <c r="A1092" s="33" t="s">
        <v>5332</v>
      </c>
      <c r="B1092" s="33" t="s">
        <v>5333</v>
      </c>
      <c r="C1092" s="33" t="s">
        <v>1980</v>
      </c>
      <c r="D1092" s="33" t="s">
        <v>3832</v>
      </c>
      <c r="E1092" s="33" t="s">
        <v>2471</v>
      </c>
      <c r="F1092" s="33" t="s">
        <v>1787</v>
      </c>
      <c r="G1092" s="33" t="s">
        <v>3832</v>
      </c>
      <c r="H1092" s="33" t="s">
        <v>3500</v>
      </c>
      <c r="I1092" s="33" t="s">
        <v>3500</v>
      </c>
      <c r="J1092" s="33" t="s">
        <v>5334</v>
      </c>
      <c r="K1092" s="33" t="s">
        <v>2471</v>
      </c>
      <c r="L1092" s="33" t="s">
        <v>3820</v>
      </c>
      <c r="M1092" s="33" t="s">
        <v>1083</v>
      </c>
      <c r="N1092" s="33" t="s">
        <v>69</v>
      </c>
      <c r="Q1092" s="33" t="s">
        <v>4050</v>
      </c>
    </row>
    <row r="1093" spans="1:17">
      <c r="A1093" s="33" t="s">
        <v>5335</v>
      </c>
      <c r="B1093" s="33" t="s">
        <v>5336</v>
      </c>
      <c r="C1093" s="33" t="s">
        <v>2205</v>
      </c>
      <c r="D1093" s="33" t="s">
        <v>4068</v>
      </c>
      <c r="E1093" s="33" t="s">
        <v>1786</v>
      </c>
      <c r="F1093" s="33" t="s">
        <v>1787</v>
      </c>
      <c r="G1093" s="33" t="s">
        <v>3289</v>
      </c>
      <c r="H1093" s="33" t="s">
        <v>3527</v>
      </c>
      <c r="I1093" s="33" t="s">
        <v>3527</v>
      </c>
      <c r="J1093" s="33" t="s">
        <v>5337</v>
      </c>
      <c r="K1093" s="33" t="s">
        <v>1791</v>
      </c>
      <c r="L1093" s="33" t="s">
        <v>3820</v>
      </c>
      <c r="M1093" s="33" t="s">
        <v>1083</v>
      </c>
      <c r="N1093" s="33" t="s">
        <v>77</v>
      </c>
      <c r="Q1093" s="33" t="s">
        <v>4050</v>
      </c>
    </row>
    <row r="1094" spans="1:17" hidden="1">
      <c r="A1094" s="33" t="s">
        <v>5338</v>
      </c>
      <c r="B1094" s="33" t="s">
        <v>5339</v>
      </c>
      <c r="C1094" s="33" t="s">
        <v>2205</v>
      </c>
      <c r="D1094" s="33" t="s">
        <v>4068</v>
      </c>
      <c r="E1094" s="33" t="s">
        <v>1836</v>
      </c>
      <c r="F1094" s="33" t="s">
        <v>1864</v>
      </c>
      <c r="G1094" s="33" t="s">
        <v>3289</v>
      </c>
      <c r="H1094" s="33" t="s">
        <v>3527</v>
      </c>
      <c r="I1094" s="33" t="s">
        <v>3527</v>
      </c>
      <c r="J1094" s="33" t="s">
        <v>5340</v>
      </c>
      <c r="K1094" s="33" t="s">
        <v>1791</v>
      </c>
      <c r="L1094" s="33" t="s">
        <v>3820</v>
      </c>
      <c r="M1094" s="33" t="s">
        <v>125</v>
      </c>
      <c r="N1094" s="33" t="s">
        <v>77</v>
      </c>
      <c r="Q1094" s="33" t="s">
        <v>4050</v>
      </c>
    </row>
    <row r="1095" spans="1:17">
      <c r="A1095" s="33" t="s">
        <v>5341</v>
      </c>
      <c r="B1095" s="33" t="s">
        <v>5342</v>
      </c>
      <c r="C1095" s="33" t="s">
        <v>2205</v>
      </c>
      <c r="D1095" s="33" t="s">
        <v>4068</v>
      </c>
      <c r="E1095" s="33" t="s">
        <v>1786</v>
      </c>
      <c r="F1095" s="33" t="s">
        <v>1787</v>
      </c>
      <c r="G1095" s="33" t="s">
        <v>3289</v>
      </c>
      <c r="H1095" s="33" t="s">
        <v>3527</v>
      </c>
      <c r="I1095" s="33" t="s">
        <v>3527</v>
      </c>
      <c r="J1095" s="33" t="s">
        <v>5343</v>
      </c>
      <c r="K1095" s="33" t="s">
        <v>1791</v>
      </c>
      <c r="L1095" s="33" t="s">
        <v>3820</v>
      </c>
      <c r="M1095" s="33" t="s">
        <v>1083</v>
      </c>
      <c r="N1095" s="33" t="s">
        <v>77</v>
      </c>
      <c r="Q1095" s="33" t="s">
        <v>4050</v>
      </c>
    </row>
    <row r="1096" spans="1:17" hidden="1">
      <c r="A1096" s="33" t="s">
        <v>5344</v>
      </c>
      <c r="B1096" s="33" t="s">
        <v>5345</v>
      </c>
      <c r="C1096" s="33" t="s">
        <v>2205</v>
      </c>
      <c r="D1096" s="33" t="s">
        <v>4068</v>
      </c>
      <c r="E1096" s="33" t="s">
        <v>1836</v>
      </c>
      <c r="F1096" s="33" t="s">
        <v>1787</v>
      </c>
      <c r="G1096" s="33" t="s">
        <v>4618</v>
      </c>
      <c r="H1096" s="33" t="s">
        <v>3527</v>
      </c>
      <c r="I1096" s="33" t="s">
        <v>3527</v>
      </c>
      <c r="J1096" s="33" t="s">
        <v>5346</v>
      </c>
      <c r="K1096" s="33" t="s">
        <v>1791</v>
      </c>
      <c r="L1096" s="33" t="s">
        <v>3820</v>
      </c>
      <c r="M1096" s="33" t="s">
        <v>193</v>
      </c>
      <c r="N1096" s="33" t="s">
        <v>134</v>
      </c>
      <c r="Q1096" s="33" t="s">
        <v>4050</v>
      </c>
    </row>
    <row r="1097" spans="1:17">
      <c r="A1097" s="33" t="s">
        <v>5347</v>
      </c>
      <c r="B1097" s="33" t="s">
        <v>5348</v>
      </c>
      <c r="C1097" s="33" t="s">
        <v>2020</v>
      </c>
      <c r="D1097" s="33" t="s">
        <v>4068</v>
      </c>
      <c r="E1097" s="33" t="s">
        <v>1786</v>
      </c>
      <c r="F1097" s="33" t="s">
        <v>1787</v>
      </c>
      <c r="G1097" s="33" t="s">
        <v>5318</v>
      </c>
      <c r="H1097" s="33" t="s">
        <v>3527</v>
      </c>
      <c r="I1097" s="33" t="s">
        <v>3527</v>
      </c>
      <c r="J1097" s="33" t="s">
        <v>5349</v>
      </c>
      <c r="K1097" s="33" t="s">
        <v>1791</v>
      </c>
      <c r="L1097" s="33" t="s">
        <v>3820</v>
      </c>
      <c r="M1097" s="33" t="s">
        <v>95</v>
      </c>
      <c r="N1097" s="33" t="s">
        <v>196</v>
      </c>
      <c r="Q1097" s="33" t="s">
        <v>4050</v>
      </c>
    </row>
    <row r="1098" spans="1:17">
      <c r="A1098" s="33" t="s">
        <v>5350</v>
      </c>
      <c r="B1098" s="33" t="s">
        <v>5351</v>
      </c>
      <c r="C1098" s="33" t="s">
        <v>2020</v>
      </c>
      <c r="D1098" s="33" t="s">
        <v>4068</v>
      </c>
      <c r="E1098" s="33" t="s">
        <v>1786</v>
      </c>
      <c r="F1098" s="33" t="s">
        <v>1787</v>
      </c>
      <c r="G1098" s="33" t="s">
        <v>5318</v>
      </c>
      <c r="H1098" s="33" t="s">
        <v>5352</v>
      </c>
      <c r="I1098" s="33" t="s">
        <v>5352</v>
      </c>
      <c r="J1098" s="33" t="s">
        <v>5353</v>
      </c>
      <c r="K1098" s="33" t="s">
        <v>1791</v>
      </c>
      <c r="L1098" s="33" t="s">
        <v>3820</v>
      </c>
      <c r="M1098" s="33" t="s">
        <v>5147</v>
      </c>
      <c r="N1098" s="33" t="s">
        <v>196</v>
      </c>
      <c r="Q1098" s="33" t="s">
        <v>4050</v>
      </c>
    </row>
    <row r="1099" spans="1:17">
      <c r="A1099" s="33" t="s">
        <v>5354</v>
      </c>
      <c r="B1099" s="33" t="s">
        <v>5355</v>
      </c>
      <c r="C1099" s="33" t="s">
        <v>4132</v>
      </c>
      <c r="D1099" s="33" t="s">
        <v>4068</v>
      </c>
      <c r="E1099" s="33" t="s">
        <v>1786</v>
      </c>
      <c r="F1099" s="33" t="s">
        <v>1815</v>
      </c>
      <c r="G1099" s="33" t="s">
        <v>4133</v>
      </c>
      <c r="H1099" s="33" t="s">
        <v>3135</v>
      </c>
      <c r="I1099" s="33" t="s">
        <v>3135</v>
      </c>
      <c r="J1099" s="33" t="s">
        <v>5356</v>
      </c>
      <c r="K1099" s="33" t="s">
        <v>1791</v>
      </c>
      <c r="L1099" s="33" t="s">
        <v>3820</v>
      </c>
      <c r="M1099" s="33" t="s">
        <v>76</v>
      </c>
      <c r="N1099" s="33" t="s">
        <v>134</v>
      </c>
      <c r="Q1099" s="33" t="s">
        <v>4050</v>
      </c>
    </row>
    <row r="1100" spans="1:17">
      <c r="A1100" s="33" t="s">
        <v>5357</v>
      </c>
      <c r="B1100" s="33" t="s">
        <v>5358</v>
      </c>
      <c r="C1100" s="33" t="s">
        <v>2205</v>
      </c>
      <c r="D1100" s="33" t="s">
        <v>4068</v>
      </c>
      <c r="E1100" s="33" t="s">
        <v>1786</v>
      </c>
      <c r="F1100" s="33" t="s">
        <v>1787</v>
      </c>
      <c r="G1100" s="33" t="s">
        <v>3289</v>
      </c>
      <c r="H1100" s="33" t="s">
        <v>3135</v>
      </c>
      <c r="I1100" s="33" t="s">
        <v>3135</v>
      </c>
      <c r="J1100" s="33" t="s">
        <v>5359</v>
      </c>
      <c r="K1100" s="33" t="s">
        <v>1791</v>
      </c>
      <c r="L1100" s="33" t="s">
        <v>3820</v>
      </c>
      <c r="M1100" s="33" t="s">
        <v>1083</v>
      </c>
      <c r="N1100" s="33" t="s">
        <v>77</v>
      </c>
      <c r="Q1100" s="33" t="s">
        <v>4050</v>
      </c>
    </row>
    <row r="1101" spans="1:17">
      <c r="A1101" s="33" t="s">
        <v>5360</v>
      </c>
      <c r="B1101" s="33" t="s">
        <v>5361</v>
      </c>
      <c r="C1101" s="33" t="s">
        <v>2205</v>
      </c>
      <c r="D1101" s="33" t="s">
        <v>4068</v>
      </c>
      <c r="E1101" s="33" t="s">
        <v>1786</v>
      </c>
      <c r="F1101" s="33" t="s">
        <v>1787</v>
      </c>
      <c r="G1101" s="33" t="s">
        <v>3289</v>
      </c>
      <c r="H1101" s="33" t="s">
        <v>3135</v>
      </c>
      <c r="I1101" s="33" t="s">
        <v>3135</v>
      </c>
      <c r="J1101" s="33" t="s">
        <v>5343</v>
      </c>
      <c r="K1101" s="33" t="s">
        <v>1791</v>
      </c>
      <c r="L1101" s="33" t="s">
        <v>3820</v>
      </c>
      <c r="M1101" s="33" t="s">
        <v>1083</v>
      </c>
      <c r="N1101" s="33" t="s">
        <v>77</v>
      </c>
      <c r="Q1101" s="33" t="s">
        <v>4050</v>
      </c>
    </row>
    <row r="1102" spans="1:17">
      <c r="A1102" s="33" t="s">
        <v>5362</v>
      </c>
      <c r="B1102" s="33" t="s">
        <v>5363</v>
      </c>
      <c r="C1102" s="33" t="s">
        <v>4116</v>
      </c>
      <c r="D1102" s="33" t="s">
        <v>4068</v>
      </c>
      <c r="E1102" s="33" t="s">
        <v>1786</v>
      </c>
      <c r="F1102" s="33" t="s">
        <v>1787</v>
      </c>
      <c r="G1102" s="33" t="s">
        <v>27</v>
      </c>
      <c r="H1102" s="33" t="s">
        <v>3135</v>
      </c>
      <c r="I1102" s="33" t="s">
        <v>3135</v>
      </c>
      <c r="J1102" s="33" t="s">
        <v>5364</v>
      </c>
      <c r="K1102" s="33" t="s">
        <v>1791</v>
      </c>
      <c r="L1102" s="33" t="s">
        <v>3820</v>
      </c>
      <c r="M1102" s="33" t="s">
        <v>75</v>
      </c>
      <c r="N1102" s="33" t="s">
        <v>106</v>
      </c>
      <c r="Q1102" s="33" t="s">
        <v>4050</v>
      </c>
    </row>
    <row r="1103" spans="1:17">
      <c r="A1103" s="33" t="s">
        <v>5365</v>
      </c>
      <c r="B1103" s="33" t="s">
        <v>5366</v>
      </c>
      <c r="C1103" s="33" t="s">
        <v>4116</v>
      </c>
      <c r="D1103" s="33" t="s">
        <v>4068</v>
      </c>
      <c r="E1103" s="33" t="s">
        <v>1786</v>
      </c>
      <c r="F1103" s="33" t="s">
        <v>1815</v>
      </c>
      <c r="G1103" s="33" t="s">
        <v>14</v>
      </c>
      <c r="H1103" s="33" t="s">
        <v>3135</v>
      </c>
      <c r="I1103" s="33" t="s">
        <v>3135</v>
      </c>
      <c r="J1103" s="33" t="s">
        <v>5367</v>
      </c>
      <c r="K1103" s="33" t="s">
        <v>1791</v>
      </c>
      <c r="L1103" s="33" t="s">
        <v>3820</v>
      </c>
      <c r="M1103" s="33" t="s">
        <v>107</v>
      </c>
      <c r="N1103" s="33" t="s">
        <v>106</v>
      </c>
      <c r="Q1103" s="33" t="s">
        <v>4050</v>
      </c>
    </row>
    <row r="1104" spans="1:17" hidden="1">
      <c r="A1104" s="33" t="s">
        <v>5368</v>
      </c>
      <c r="B1104" s="33" t="s">
        <v>5369</v>
      </c>
      <c r="C1104" s="33" t="s">
        <v>4061</v>
      </c>
      <c r="D1104" s="33" t="s">
        <v>4068</v>
      </c>
      <c r="E1104" s="33" t="s">
        <v>1836</v>
      </c>
      <c r="F1104" s="33" t="s">
        <v>1856</v>
      </c>
      <c r="G1104" s="33" t="s">
        <v>5370</v>
      </c>
      <c r="H1104" s="33" t="s">
        <v>3544</v>
      </c>
      <c r="I1104" s="33" t="s">
        <v>3544</v>
      </c>
      <c r="J1104" s="33" t="s">
        <v>5371</v>
      </c>
      <c r="K1104" s="33" t="s">
        <v>1791</v>
      </c>
      <c r="L1104" s="33" t="s">
        <v>3820</v>
      </c>
      <c r="M1104" s="33" t="s">
        <v>23</v>
      </c>
      <c r="N1104" s="33" t="s">
        <v>108</v>
      </c>
      <c r="Q1104" s="33" t="s">
        <v>4050</v>
      </c>
    </row>
    <row r="1105" spans="1:17" hidden="1">
      <c r="A1105" s="33" t="s">
        <v>5372</v>
      </c>
      <c r="B1105" s="33" t="s">
        <v>5373</v>
      </c>
      <c r="C1105" s="33" t="s">
        <v>4061</v>
      </c>
      <c r="D1105" s="33" t="s">
        <v>4068</v>
      </c>
      <c r="E1105" s="33" t="s">
        <v>1836</v>
      </c>
      <c r="F1105" s="33" t="s">
        <v>1815</v>
      </c>
      <c r="G1105" s="33" t="s">
        <v>5370</v>
      </c>
      <c r="H1105" s="33" t="s">
        <v>3544</v>
      </c>
      <c r="I1105" s="33" t="s">
        <v>3544</v>
      </c>
      <c r="J1105" s="33" t="s">
        <v>5374</v>
      </c>
      <c r="K1105" s="33" t="s">
        <v>1791</v>
      </c>
      <c r="L1105" s="33" t="s">
        <v>3820</v>
      </c>
      <c r="M1105" s="33" t="s">
        <v>1064</v>
      </c>
      <c r="N1105" s="33" t="s">
        <v>108</v>
      </c>
      <c r="Q1105" s="33" t="s">
        <v>4050</v>
      </c>
    </row>
    <row r="1106" spans="1:17" hidden="1">
      <c r="A1106" s="33" t="s">
        <v>5375</v>
      </c>
      <c r="B1106" s="33" t="s">
        <v>5376</v>
      </c>
      <c r="C1106" s="33" t="s">
        <v>1831</v>
      </c>
      <c r="D1106" s="33" t="s">
        <v>4068</v>
      </c>
      <c r="E1106" s="33" t="s">
        <v>1808</v>
      </c>
      <c r="F1106" s="33" t="s">
        <v>1787</v>
      </c>
      <c r="G1106" s="33" t="s">
        <v>1998</v>
      </c>
      <c r="H1106" s="33" t="s">
        <v>3544</v>
      </c>
      <c r="I1106" s="33" t="s">
        <v>3544</v>
      </c>
      <c r="J1106" s="33" t="s">
        <v>5377</v>
      </c>
      <c r="K1106" s="33" t="s">
        <v>1791</v>
      </c>
      <c r="L1106" s="33" t="s">
        <v>3544</v>
      </c>
      <c r="M1106" s="33" t="s">
        <v>107</v>
      </c>
      <c r="N1106" s="33" t="s">
        <v>69</v>
      </c>
      <c r="Q1106" s="33" t="s">
        <v>4050</v>
      </c>
    </row>
    <row r="1107" spans="1:17" hidden="1">
      <c r="A1107" s="33" t="s">
        <v>5372</v>
      </c>
      <c r="B1107" s="33" t="s">
        <v>5378</v>
      </c>
      <c r="C1107" s="33" t="s">
        <v>4061</v>
      </c>
      <c r="D1107" s="33" t="s">
        <v>4068</v>
      </c>
      <c r="E1107" s="33" t="s">
        <v>1836</v>
      </c>
      <c r="F1107" s="33" t="s">
        <v>1815</v>
      </c>
      <c r="G1107" s="33" t="s">
        <v>5370</v>
      </c>
      <c r="H1107" s="33" t="s">
        <v>3544</v>
      </c>
      <c r="I1107" s="33" t="s">
        <v>3544</v>
      </c>
      <c r="J1107" s="33" t="s">
        <v>5379</v>
      </c>
      <c r="K1107" s="33" t="s">
        <v>1791</v>
      </c>
      <c r="L1107" s="33" t="s">
        <v>3820</v>
      </c>
      <c r="M1107" s="33" t="s">
        <v>95</v>
      </c>
      <c r="N1107" s="33" t="s">
        <v>108</v>
      </c>
      <c r="Q1107" s="33" t="s">
        <v>4050</v>
      </c>
    </row>
    <row r="1108" spans="1:17" hidden="1">
      <c r="A1108" s="33" t="s">
        <v>5380</v>
      </c>
      <c r="B1108" s="33" t="s">
        <v>5381</v>
      </c>
      <c r="C1108" s="33" t="s">
        <v>4061</v>
      </c>
      <c r="D1108" s="33" t="s">
        <v>4068</v>
      </c>
      <c r="E1108" s="33" t="s">
        <v>1836</v>
      </c>
      <c r="F1108" s="33" t="s">
        <v>1864</v>
      </c>
      <c r="G1108" s="33" t="s">
        <v>5370</v>
      </c>
      <c r="H1108" s="33" t="s">
        <v>3544</v>
      </c>
      <c r="I1108" s="33" t="s">
        <v>3544</v>
      </c>
      <c r="J1108" s="33" t="s">
        <v>5382</v>
      </c>
      <c r="K1108" s="33" t="s">
        <v>1791</v>
      </c>
      <c r="L1108" s="33" t="s">
        <v>3820</v>
      </c>
      <c r="M1108" s="33" t="s">
        <v>970</v>
      </c>
      <c r="N1108" s="33" t="s">
        <v>108</v>
      </c>
      <c r="Q1108" s="33" t="s">
        <v>4050</v>
      </c>
    </row>
    <row r="1109" spans="1:17" hidden="1">
      <c r="A1109" s="33" t="s">
        <v>5383</v>
      </c>
      <c r="B1109" s="33" t="s">
        <v>5384</v>
      </c>
      <c r="C1109" s="33" t="s">
        <v>4061</v>
      </c>
      <c r="D1109" s="33" t="s">
        <v>4068</v>
      </c>
      <c r="E1109" s="33" t="s">
        <v>1836</v>
      </c>
      <c r="F1109" s="33" t="s">
        <v>1815</v>
      </c>
      <c r="G1109" s="33" t="s">
        <v>5370</v>
      </c>
      <c r="H1109" s="33" t="s">
        <v>3544</v>
      </c>
      <c r="I1109" s="33" t="s">
        <v>3544</v>
      </c>
      <c r="J1109" s="33" t="s">
        <v>5385</v>
      </c>
      <c r="K1109" s="33" t="s">
        <v>1791</v>
      </c>
      <c r="L1109" s="33" t="s">
        <v>3820</v>
      </c>
      <c r="M1109" s="33" t="s">
        <v>58</v>
      </c>
      <c r="N1109" s="33" t="s">
        <v>108</v>
      </c>
      <c r="Q1109" s="33" t="s">
        <v>4050</v>
      </c>
    </row>
    <row r="1110" spans="1:17" hidden="1">
      <c r="A1110" s="33" t="s">
        <v>5372</v>
      </c>
      <c r="B1110" s="33" t="s">
        <v>5386</v>
      </c>
      <c r="C1110" s="33" t="s">
        <v>4061</v>
      </c>
      <c r="D1110" s="33" t="s">
        <v>4068</v>
      </c>
      <c r="E1110" s="33" t="s">
        <v>1836</v>
      </c>
      <c r="F1110" s="33" t="s">
        <v>1815</v>
      </c>
      <c r="G1110" s="33" t="s">
        <v>5370</v>
      </c>
      <c r="H1110" s="33" t="s">
        <v>3544</v>
      </c>
      <c r="I1110" s="33" t="s">
        <v>3544</v>
      </c>
      <c r="J1110" s="33" t="s">
        <v>5387</v>
      </c>
      <c r="K1110" s="33" t="s">
        <v>1791</v>
      </c>
      <c r="L1110" s="33" t="s">
        <v>3820</v>
      </c>
      <c r="M1110" s="33" t="s">
        <v>69</v>
      </c>
      <c r="N1110" s="33" t="s">
        <v>108</v>
      </c>
      <c r="Q1110" s="33" t="s">
        <v>4050</v>
      </c>
    </row>
    <row r="1111" spans="1:17" hidden="1">
      <c r="A1111" s="33" t="s">
        <v>5388</v>
      </c>
      <c r="B1111" s="33" t="s">
        <v>5389</v>
      </c>
      <c r="C1111" s="33" t="s">
        <v>2273</v>
      </c>
      <c r="D1111" s="33" t="s">
        <v>4068</v>
      </c>
      <c r="E1111" s="33" t="s">
        <v>1808</v>
      </c>
      <c r="F1111" s="33" t="s">
        <v>1787</v>
      </c>
      <c r="G1111" s="33" t="s">
        <v>3671</v>
      </c>
      <c r="H1111" s="33" t="s">
        <v>3544</v>
      </c>
      <c r="I1111" s="33" t="s">
        <v>3544</v>
      </c>
      <c r="J1111" s="33" t="s">
        <v>3829</v>
      </c>
      <c r="K1111" s="33" t="s">
        <v>1791</v>
      </c>
      <c r="L1111" s="33" t="s">
        <v>3544</v>
      </c>
      <c r="M1111" s="33" t="s">
        <v>61</v>
      </c>
      <c r="N1111" s="33" t="s">
        <v>3284</v>
      </c>
      <c r="Q1111" s="33" t="s">
        <v>4050</v>
      </c>
    </row>
    <row r="1112" spans="1:17" hidden="1">
      <c r="A1112" s="33" t="s">
        <v>5390</v>
      </c>
      <c r="B1112" s="33" t="s">
        <v>5391</v>
      </c>
      <c r="C1112" s="33" t="s">
        <v>2147</v>
      </c>
      <c r="D1112" s="33" t="s">
        <v>4068</v>
      </c>
      <c r="E1112" s="33" t="s">
        <v>1808</v>
      </c>
      <c r="F1112" s="33" t="s">
        <v>1787</v>
      </c>
      <c r="G1112" s="33" t="s">
        <v>86</v>
      </c>
      <c r="H1112" s="33" t="s">
        <v>3544</v>
      </c>
      <c r="I1112" s="33" t="s">
        <v>3544</v>
      </c>
      <c r="J1112" s="33" t="s">
        <v>5392</v>
      </c>
      <c r="K1112" s="33" t="s">
        <v>1791</v>
      </c>
      <c r="L1112" s="33" t="s">
        <v>3544</v>
      </c>
      <c r="M1112" s="33" t="s">
        <v>23</v>
      </c>
      <c r="N1112" s="33" t="s">
        <v>1763</v>
      </c>
      <c r="Q1112" s="33" t="s">
        <v>4050</v>
      </c>
    </row>
    <row r="1113" spans="1:17">
      <c r="A1113" s="33" t="s">
        <v>5393</v>
      </c>
      <c r="B1113" s="33" t="s">
        <v>5394</v>
      </c>
      <c r="C1113" s="33" t="s">
        <v>2514</v>
      </c>
      <c r="D1113" s="33" t="s">
        <v>4068</v>
      </c>
      <c r="E1113" s="33" t="s">
        <v>1786</v>
      </c>
      <c r="F1113" s="33" t="s">
        <v>1787</v>
      </c>
      <c r="G1113" s="33" t="s">
        <v>3680</v>
      </c>
      <c r="H1113" s="33" t="s">
        <v>3544</v>
      </c>
      <c r="I1113" s="33" t="s">
        <v>3544</v>
      </c>
      <c r="J1113" s="33" t="s">
        <v>5395</v>
      </c>
      <c r="K1113" s="33" t="s">
        <v>1791</v>
      </c>
      <c r="L1113" s="33" t="s">
        <v>3820</v>
      </c>
      <c r="M1113" s="33" t="s">
        <v>82</v>
      </c>
      <c r="N1113" s="33" t="s">
        <v>82</v>
      </c>
      <c r="Q1113" s="33" t="s">
        <v>4050</v>
      </c>
    </row>
    <row r="1114" spans="1:17" hidden="1">
      <c r="A1114" s="33" t="s">
        <v>3830</v>
      </c>
      <c r="B1114" s="33" t="s">
        <v>5396</v>
      </c>
      <c r="C1114" s="33" t="s">
        <v>1980</v>
      </c>
      <c r="D1114" s="33" t="s">
        <v>4068</v>
      </c>
      <c r="E1114" s="33" t="s">
        <v>1808</v>
      </c>
      <c r="F1114" s="33" t="s">
        <v>1787</v>
      </c>
      <c r="G1114" s="33" t="s">
        <v>3832</v>
      </c>
      <c r="H1114" s="33" t="s">
        <v>3544</v>
      </c>
      <c r="I1114" s="33" t="s">
        <v>3544</v>
      </c>
      <c r="J1114" s="33" t="s">
        <v>3833</v>
      </c>
      <c r="K1114" s="33" t="s">
        <v>1791</v>
      </c>
      <c r="L1114" s="33" t="s">
        <v>3544</v>
      </c>
      <c r="M1114" s="33" t="s">
        <v>970</v>
      </c>
      <c r="N1114" s="33" t="s">
        <v>69</v>
      </c>
      <c r="Q1114" s="33" t="s">
        <v>4050</v>
      </c>
    </row>
    <row r="1115" spans="1:17" hidden="1">
      <c r="A1115" s="33" t="s">
        <v>5397</v>
      </c>
      <c r="B1115" s="33" t="s">
        <v>5398</v>
      </c>
      <c r="C1115" s="33" t="s">
        <v>1980</v>
      </c>
      <c r="D1115" s="33" t="s">
        <v>3832</v>
      </c>
      <c r="E1115" s="33" t="s">
        <v>2471</v>
      </c>
      <c r="F1115" s="33" t="s">
        <v>1787</v>
      </c>
      <c r="G1115" s="33" t="s">
        <v>3832</v>
      </c>
      <c r="H1115" s="33" t="s">
        <v>3544</v>
      </c>
      <c r="I1115" s="33" t="s">
        <v>3544</v>
      </c>
      <c r="J1115" s="33" t="s">
        <v>5399</v>
      </c>
      <c r="K1115" s="33" t="s">
        <v>2471</v>
      </c>
      <c r="L1115" s="33" t="s">
        <v>3820</v>
      </c>
      <c r="M1115" s="33" t="s">
        <v>970</v>
      </c>
      <c r="N1115" s="33" t="s">
        <v>69</v>
      </c>
      <c r="Q1115" s="33" t="s">
        <v>4050</v>
      </c>
    </row>
    <row r="1116" spans="1:17" hidden="1">
      <c r="A1116" s="33" t="s">
        <v>3830</v>
      </c>
      <c r="B1116" s="33" t="s">
        <v>5400</v>
      </c>
      <c r="C1116" s="33" t="s">
        <v>1980</v>
      </c>
      <c r="D1116" s="33" t="s">
        <v>4068</v>
      </c>
      <c r="E1116" s="33" t="s">
        <v>1836</v>
      </c>
      <c r="F1116" s="33" t="s">
        <v>1787</v>
      </c>
      <c r="G1116" s="33" t="s">
        <v>3832</v>
      </c>
      <c r="H1116" s="33" t="s">
        <v>3544</v>
      </c>
      <c r="I1116" s="33" t="s">
        <v>3544</v>
      </c>
      <c r="J1116" s="33" t="s">
        <v>5401</v>
      </c>
      <c r="K1116" s="33" t="s">
        <v>1791</v>
      </c>
      <c r="L1116" s="33" t="s">
        <v>3820</v>
      </c>
      <c r="M1116" s="33" t="s">
        <v>1083</v>
      </c>
      <c r="N1116" s="33" t="s">
        <v>69</v>
      </c>
      <c r="Q1116" s="33" t="s">
        <v>4050</v>
      </c>
    </row>
    <row r="1117" spans="1:17">
      <c r="A1117" s="33" t="s">
        <v>3830</v>
      </c>
      <c r="B1117" s="33" t="s">
        <v>5402</v>
      </c>
      <c r="C1117" s="33" t="s">
        <v>1980</v>
      </c>
      <c r="D1117" s="33" t="s">
        <v>4068</v>
      </c>
      <c r="E1117" s="33" t="s">
        <v>1786</v>
      </c>
      <c r="F1117" s="33" t="s">
        <v>1787</v>
      </c>
      <c r="G1117" s="33" t="s">
        <v>3832</v>
      </c>
      <c r="H1117" s="33" t="s">
        <v>3544</v>
      </c>
      <c r="I1117" s="33" t="s">
        <v>3544</v>
      </c>
      <c r="J1117" s="33" t="s">
        <v>5403</v>
      </c>
      <c r="K1117" s="33" t="s">
        <v>1791</v>
      </c>
      <c r="L1117" s="33" t="s">
        <v>3820</v>
      </c>
      <c r="M1117" s="33" t="s">
        <v>69</v>
      </c>
      <c r="N1117" s="33" t="s">
        <v>69</v>
      </c>
      <c r="Q1117" s="33" t="s">
        <v>4050</v>
      </c>
    </row>
    <row r="1118" spans="1:17" hidden="1">
      <c r="A1118" s="33" t="s">
        <v>5404</v>
      </c>
      <c r="B1118" s="33" t="s">
        <v>5405</v>
      </c>
      <c r="C1118" s="33" t="s">
        <v>1785</v>
      </c>
      <c r="D1118" s="33" t="s">
        <v>4068</v>
      </c>
      <c r="E1118" s="33" t="s">
        <v>1836</v>
      </c>
      <c r="F1118" s="33" t="s">
        <v>1787</v>
      </c>
      <c r="G1118" s="33" t="s">
        <v>1788</v>
      </c>
      <c r="H1118" s="33" t="s">
        <v>3551</v>
      </c>
      <c r="I1118" s="33" t="s">
        <v>3551</v>
      </c>
      <c r="J1118" s="33" t="s">
        <v>5406</v>
      </c>
      <c r="K1118" s="33" t="s">
        <v>1791</v>
      </c>
      <c r="L1118" s="33" t="s">
        <v>3820</v>
      </c>
      <c r="M1118" s="33" t="s">
        <v>72</v>
      </c>
      <c r="N1118" s="33" t="s">
        <v>1083</v>
      </c>
      <c r="Q1118" s="33" t="s">
        <v>4050</v>
      </c>
    </row>
    <row r="1119" spans="1:17" hidden="1">
      <c r="A1119" s="33" t="s">
        <v>5407</v>
      </c>
      <c r="B1119" s="33" t="s">
        <v>5408</v>
      </c>
      <c r="C1119" s="33" t="s">
        <v>2205</v>
      </c>
      <c r="D1119" s="33" t="s">
        <v>5014</v>
      </c>
      <c r="E1119" s="33" t="s">
        <v>2471</v>
      </c>
      <c r="F1119" s="33" t="s">
        <v>1787</v>
      </c>
      <c r="G1119" s="33" t="s">
        <v>5014</v>
      </c>
      <c r="H1119" s="33" t="s">
        <v>3551</v>
      </c>
      <c r="I1119" s="33" t="s">
        <v>3551</v>
      </c>
      <c r="J1119" s="33" t="s">
        <v>5409</v>
      </c>
      <c r="K1119" s="33" t="s">
        <v>2471</v>
      </c>
      <c r="L1119" s="33" t="s">
        <v>3820</v>
      </c>
      <c r="M1119" s="33" t="s">
        <v>197</v>
      </c>
      <c r="N1119" s="33" t="s">
        <v>77</v>
      </c>
      <c r="Q1119" s="33" t="s">
        <v>4050</v>
      </c>
    </row>
    <row r="1120" spans="1:17" hidden="1">
      <c r="A1120" s="33" t="s">
        <v>5410</v>
      </c>
      <c r="B1120" s="33" t="s">
        <v>5411</v>
      </c>
      <c r="C1120" s="33" t="s">
        <v>2205</v>
      </c>
      <c r="D1120" s="33" t="s">
        <v>4068</v>
      </c>
      <c r="E1120" s="33" t="s">
        <v>1836</v>
      </c>
      <c r="F1120" s="33" t="s">
        <v>1787</v>
      </c>
      <c r="G1120" s="33" t="s">
        <v>5014</v>
      </c>
      <c r="H1120" s="33" t="s">
        <v>3551</v>
      </c>
      <c r="I1120" s="33" t="s">
        <v>3551</v>
      </c>
      <c r="J1120" s="33" t="s">
        <v>5412</v>
      </c>
      <c r="K1120" s="33" t="s">
        <v>1791</v>
      </c>
      <c r="L1120" s="33" t="s">
        <v>3820</v>
      </c>
      <c r="M1120" s="33" t="s">
        <v>31</v>
      </c>
      <c r="N1120" s="33" t="s">
        <v>77</v>
      </c>
      <c r="Q1120" s="33" t="s">
        <v>4050</v>
      </c>
    </row>
    <row r="1121" spans="1:17">
      <c r="A1121" s="33" t="s">
        <v>5413</v>
      </c>
      <c r="B1121" s="33" t="s">
        <v>5414</v>
      </c>
      <c r="C1121" s="33" t="s">
        <v>2205</v>
      </c>
      <c r="D1121" s="33" t="s">
        <v>4068</v>
      </c>
      <c r="E1121" s="33" t="s">
        <v>1786</v>
      </c>
      <c r="F1121" s="33" t="s">
        <v>1787</v>
      </c>
      <c r="G1121" s="33" t="s">
        <v>5014</v>
      </c>
      <c r="H1121" s="33" t="s">
        <v>3551</v>
      </c>
      <c r="I1121" s="33" t="s">
        <v>3551</v>
      </c>
      <c r="J1121" s="33" t="s">
        <v>5415</v>
      </c>
      <c r="K1121" s="33" t="s">
        <v>1791</v>
      </c>
      <c r="L1121" s="33" t="s">
        <v>3820</v>
      </c>
      <c r="M1121" s="33" t="s">
        <v>69</v>
      </c>
      <c r="N1121" s="33" t="s">
        <v>77</v>
      </c>
      <c r="Q1121" s="33" t="s">
        <v>4050</v>
      </c>
    </row>
    <row r="1122" spans="1:17">
      <c r="A1122" s="33" t="s">
        <v>5416</v>
      </c>
      <c r="B1122" s="33" t="s">
        <v>5417</v>
      </c>
      <c r="C1122" s="33" t="s">
        <v>2205</v>
      </c>
      <c r="D1122" s="33" t="s">
        <v>4068</v>
      </c>
      <c r="E1122" s="33" t="s">
        <v>1786</v>
      </c>
      <c r="F1122" s="33" t="s">
        <v>1787</v>
      </c>
      <c r="G1122" s="33" t="s">
        <v>5014</v>
      </c>
      <c r="H1122" s="33" t="s">
        <v>3551</v>
      </c>
      <c r="I1122" s="33" t="s">
        <v>3551</v>
      </c>
      <c r="J1122" s="33" t="s">
        <v>5418</v>
      </c>
      <c r="K1122" s="33" t="s">
        <v>1791</v>
      </c>
      <c r="L1122" s="33" t="s">
        <v>3820</v>
      </c>
      <c r="M1122" s="33" t="s">
        <v>69</v>
      </c>
      <c r="N1122" s="33" t="s">
        <v>77</v>
      </c>
      <c r="Q1122" s="33" t="s">
        <v>4050</v>
      </c>
    </row>
    <row r="1123" spans="1:17">
      <c r="A1123" s="33" t="s">
        <v>5419</v>
      </c>
      <c r="B1123" s="33" t="s">
        <v>5420</v>
      </c>
      <c r="C1123" s="33" t="s">
        <v>2205</v>
      </c>
      <c r="D1123" s="33" t="s">
        <v>4068</v>
      </c>
      <c r="E1123" s="33" t="s">
        <v>1786</v>
      </c>
      <c r="F1123" s="33" t="s">
        <v>1787</v>
      </c>
      <c r="G1123" s="33" t="s">
        <v>5014</v>
      </c>
      <c r="H1123" s="33" t="s">
        <v>3551</v>
      </c>
      <c r="I1123" s="33" t="s">
        <v>3551</v>
      </c>
      <c r="J1123" s="33" t="s">
        <v>5421</v>
      </c>
      <c r="K1123" s="33" t="s">
        <v>1791</v>
      </c>
      <c r="L1123" s="33" t="s">
        <v>3820</v>
      </c>
      <c r="M1123" s="33" t="s">
        <v>77</v>
      </c>
      <c r="N1123" s="33" t="s">
        <v>77</v>
      </c>
      <c r="Q1123" s="33" t="s">
        <v>4050</v>
      </c>
    </row>
    <row r="1124" spans="1:17" hidden="1">
      <c r="A1124" s="33" t="s">
        <v>5422</v>
      </c>
      <c r="B1124" s="33" t="s">
        <v>5423</v>
      </c>
      <c r="C1124" s="33" t="s">
        <v>2205</v>
      </c>
      <c r="D1124" s="33" t="s">
        <v>4068</v>
      </c>
      <c r="E1124" s="33" t="s">
        <v>1836</v>
      </c>
      <c r="F1124" s="33" t="s">
        <v>1787</v>
      </c>
      <c r="G1124" s="33" t="s">
        <v>5014</v>
      </c>
      <c r="H1124" s="33" t="s">
        <v>3551</v>
      </c>
      <c r="I1124" s="33" t="s">
        <v>3551</v>
      </c>
      <c r="J1124" s="33" t="s">
        <v>5424</v>
      </c>
      <c r="K1124" s="33" t="s">
        <v>1791</v>
      </c>
      <c r="L1124" s="33" t="s">
        <v>3820</v>
      </c>
      <c r="M1124" s="33" t="s">
        <v>77</v>
      </c>
      <c r="N1124" s="33" t="s">
        <v>77</v>
      </c>
      <c r="Q1124" s="33" t="s">
        <v>4050</v>
      </c>
    </row>
    <row r="1125" spans="1:17" hidden="1">
      <c r="A1125" s="33" t="s">
        <v>5425</v>
      </c>
      <c r="B1125" s="33" t="s">
        <v>5426</v>
      </c>
      <c r="C1125" s="33" t="s">
        <v>2205</v>
      </c>
      <c r="D1125" s="33" t="s">
        <v>4068</v>
      </c>
      <c r="E1125" s="33" t="s">
        <v>1836</v>
      </c>
      <c r="F1125" s="33" t="s">
        <v>1787</v>
      </c>
      <c r="G1125" s="33" t="s">
        <v>5014</v>
      </c>
      <c r="H1125" s="33" t="s">
        <v>3551</v>
      </c>
      <c r="I1125" s="33" t="s">
        <v>3551</v>
      </c>
      <c r="J1125" s="33" t="s">
        <v>5427</v>
      </c>
      <c r="K1125" s="33" t="s">
        <v>1791</v>
      </c>
      <c r="L1125" s="33" t="s">
        <v>3820</v>
      </c>
      <c r="M1125" s="33" t="s">
        <v>77</v>
      </c>
      <c r="N1125" s="33" t="s">
        <v>77</v>
      </c>
      <c r="Q1125" s="33" t="s">
        <v>4050</v>
      </c>
    </row>
    <row r="1126" spans="1:17">
      <c r="A1126" s="33" t="s">
        <v>5428</v>
      </c>
      <c r="B1126" s="33" t="s">
        <v>5429</v>
      </c>
      <c r="C1126" s="33" t="s">
        <v>4132</v>
      </c>
      <c r="D1126" s="33" t="s">
        <v>4068</v>
      </c>
      <c r="E1126" s="33" t="s">
        <v>1786</v>
      </c>
      <c r="F1126" s="33" t="s">
        <v>1787</v>
      </c>
      <c r="G1126" s="33" t="s">
        <v>16</v>
      </c>
      <c r="H1126" s="33" t="s">
        <v>3551</v>
      </c>
      <c r="I1126" s="33" t="s">
        <v>3551</v>
      </c>
      <c r="J1126" s="33" t="s">
        <v>5430</v>
      </c>
      <c r="K1126" s="33" t="s">
        <v>1791</v>
      </c>
      <c r="L1126" s="33" t="s">
        <v>3820</v>
      </c>
      <c r="M1126" s="33" t="s">
        <v>193</v>
      </c>
      <c r="N1126" s="33" t="s">
        <v>134</v>
      </c>
      <c r="Q1126" s="33" t="s">
        <v>4050</v>
      </c>
    </row>
    <row r="1127" spans="1:17">
      <c r="A1127" s="33" t="s">
        <v>5431</v>
      </c>
      <c r="B1127" s="33" t="s">
        <v>5432</v>
      </c>
      <c r="C1127" s="33" t="s">
        <v>2205</v>
      </c>
      <c r="D1127" s="33" t="s">
        <v>4068</v>
      </c>
      <c r="E1127" s="33" t="s">
        <v>1786</v>
      </c>
      <c r="F1127" s="33" t="s">
        <v>1787</v>
      </c>
      <c r="G1127" s="33" t="s">
        <v>3289</v>
      </c>
      <c r="H1127" s="33" t="s">
        <v>3551</v>
      </c>
      <c r="I1127" s="33" t="s">
        <v>3551</v>
      </c>
      <c r="J1127" s="33" t="s">
        <v>5433</v>
      </c>
      <c r="K1127" s="33" t="s">
        <v>1791</v>
      </c>
      <c r="L1127" s="33" t="s">
        <v>3820</v>
      </c>
      <c r="M1127" s="33" t="s">
        <v>1083</v>
      </c>
      <c r="N1127" s="33" t="s">
        <v>77</v>
      </c>
      <c r="Q1127" s="33" t="s">
        <v>4050</v>
      </c>
    </row>
    <row r="1128" spans="1:17">
      <c r="A1128" s="33" t="s">
        <v>5434</v>
      </c>
      <c r="B1128" s="33" t="s">
        <v>5435</v>
      </c>
      <c r="C1128" s="33" t="s">
        <v>2147</v>
      </c>
      <c r="D1128" s="33" t="s">
        <v>4068</v>
      </c>
      <c r="E1128" s="33" t="s">
        <v>1786</v>
      </c>
      <c r="F1128" s="33" t="s">
        <v>1787</v>
      </c>
      <c r="G1128" s="33" t="s">
        <v>86</v>
      </c>
      <c r="H1128" s="33" t="s">
        <v>3551</v>
      </c>
      <c r="I1128" s="33" t="s">
        <v>3551</v>
      </c>
      <c r="J1128" s="33" t="s">
        <v>5436</v>
      </c>
      <c r="K1128" s="33" t="s">
        <v>1791</v>
      </c>
      <c r="L1128" s="33" t="s">
        <v>3820</v>
      </c>
      <c r="M1128" s="33" t="s">
        <v>196</v>
      </c>
      <c r="N1128" s="33" t="s">
        <v>1763</v>
      </c>
      <c r="Q1128" s="33" t="s">
        <v>4050</v>
      </c>
    </row>
    <row r="1129" spans="1:17" hidden="1">
      <c r="A1129" s="33" t="s">
        <v>5437</v>
      </c>
      <c r="B1129" s="33" t="s">
        <v>5438</v>
      </c>
      <c r="C1129" s="33" t="s">
        <v>1785</v>
      </c>
      <c r="D1129" s="33" t="s">
        <v>4068</v>
      </c>
      <c r="E1129" s="33" t="s">
        <v>1808</v>
      </c>
      <c r="F1129" s="33" t="s">
        <v>1787</v>
      </c>
      <c r="G1129" s="33" t="s">
        <v>3836</v>
      </c>
      <c r="H1129" s="33" t="s">
        <v>3562</v>
      </c>
      <c r="I1129" s="33" t="s">
        <v>3562</v>
      </c>
      <c r="J1129" s="33" t="s">
        <v>3837</v>
      </c>
      <c r="K1129" s="33" t="s">
        <v>1791</v>
      </c>
      <c r="L1129" s="33" t="s">
        <v>3562</v>
      </c>
      <c r="M1129" s="33" t="s">
        <v>80</v>
      </c>
      <c r="N1129" s="33" t="s">
        <v>1083</v>
      </c>
      <c r="Q1129" s="33" t="s">
        <v>4050</v>
      </c>
    </row>
    <row r="1130" spans="1:17">
      <c r="A1130" s="33" t="s">
        <v>5439</v>
      </c>
      <c r="B1130" s="33" t="s">
        <v>5440</v>
      </c>
      <c r="C1130" s="33" t="s">
        <v>4132</v>
      </c>
      <c r="D1130" s="33" t="s">
        <v>4068</v>
      </c>
      <c r="E1130" s="33" t="s">
        <v>1786</v>
      </c>
      <c r="F1130" s="33" t="s">
        <v>1787</v>
      </c>
      <c r="G1130" s="33" t="s">
        <v>4209</v>
      </c>
      <c r="H1130" s="33" t="s">
        <v>3562</v>
      </c>
      <c r="I1130" s="33" t="s">
        <v>3562</v>
      </c>
      <c r="J1130" s="33" t="s">
        <v>5441</v>
      </c>
      <c r="K1130" s="33" t="s">
        <v>1791</v>
      </c>
      <c r="L1130" s="33" t="s">
        <v>3820</v>
      </c>
      <c r="M1130" s="33" t="s">
        <v>193</v>
      </c>
      <c r="N1130" s="33" t="s">
        <v>134</v>
      </c>
      <c r="Q1130" s="33" t="s">
        <v>4050</v>
      </c>
    </row>
    <row r="1131" spans="1:17">
      <c r="A1131" s="33" t="s">
        <v>5442</v>
      </c>
      <c r="B1131" s="33" t="s">
        <v>5443</v>
      </c>
      <c r="C1131" s="33" t="s">
        <v>4953</v>
      </c>
      <c r="D1131" s="33" t="s">
        <v>4068</v>
      </c>
      <c r="E1131" s="33" t="s">
        <v>1786</v>
      </c>
      <c r="F1131" s="33" t="s">
        <v>1787</v>
      </c>
      <c r="G1131" s="33" t="s">
        <v>4954</v>
      </c>
      <c r="H1131" s="33" t="s">
        <v>3562</v>
      </c>
      <c r="I1131" s="33" t="s">
        <v>3562</v>
      </c>
      <c r="J1131" s="33" t="s">
        <v>5444</v>
      </c>
      <c r="K1131" s="33" t="s">
        <v>1791</v>
      </c>
      <c r="L1131" s="33" t="s">
        <v>3820</v>
      </c>
      <c r="M1131" s="33" t="s">
        <v>1083</v>
      </c>
      <c r="N1131" s="33" t="s">
        <v>59</v>
      </c>
      <c r="Q1131" s="33" t="s">
        <v>4050</v>
      </c>
    </row>
    <row r="1132" spans="1:17">
      <c r="A1132" s="33" t="s">
        <v>5445</v>
      </c>
      <c r="B1132" s="33" t="s">
        <v>5446</v>
      </c>
      <c r="C1132" s="33" t="s">
        <v>2205</v>
      </c>
      <c r="D1132" s="33" t="s">
        <v>4068</v>
      </c>
      <c r="E1132" s="33" t="s">
        <v>1786</v>
      </c>
      <c r="F1132" s="33" t="s">
        <v>1787</v>
      </c>
      <c r="G1132" s="33" t="s">
        <v>5014</v>
      </c>
      <c r="H1132" s="33" t="s">
        <v>3562</v>
      </c>
      <c r="I1132" s="33" t="s">
        <v>3562</v>
      </c>
      <c r="J1132" s="33" t="s">
        <v>5447</v>
      </c>
      <c r="K1132" s="33" t="s">
        <v>1791</v>
      </c>
      <c r="L1132" s="33" t="s">
        <v>3820</v>
      </c>
      <c r="M1132" s="33" t="s">
        <v>197</v>
      </c>
      <c r="N1132" s="33" t="s">
        <v>77</v>
      </c>
      <c r="Q1132" s="33" t="s">
        <v>4050</v>
      </c>
    </row>
    <row r="1133" spans="1:17">
      <c r="A1133" s="33" t="s">
        <v>5448</v>
      </c>
      <c r="B1133" s="33" t="s">
        <v>5449</v>
      </c>
      <c r="C1133" s="33" t="s">
        <v>2205</v>
      </c>
      <c r="D1133" s="33" t="s">
        <v>4068</v>
      </c>
      <c r="E1133" s="33" t="s">
        <v>1786</v>
      </c>
      <c r="F1133" s="33" t="s">
        <v>1787</v>
      </c>
      <c r="G1133" s="33" t="s">
        <v>5014</v>
      </c>
      <c r="H1133" s="33" t="s">
        <v>3562</v>
      </c>
      <c r="I1133" s="33" t="s">
        <v>3562</v>
      </c>
      <c r="J1133" s="33" t="s">
        <v>5450</v>
      </c>
      <c r="K1133" s="33" t="s">
        <v>1791</v>
      </c>
      <c r="L1133" s="33" t="s">
        <v>3820</v>
      </c>
      <c r="M1133" s="33" t="s">
        <v>197</v>
      </c>
      <c r="N1133" s="33" t="s">
        <v>77</v>
      </c>
      <c r="Q1133" s="33" t="s">
        <v>4050</v>
      </c>
    </row>
    <row r="1134" spans="1:17" hidden="1">
      <c r="A1134" s="33" t="s">
        <v>5451</v>
      </c>
      <c r="B1134" s="33" t="s">
        <v>5452</v>
      </c>
      <c r="C1134" s="33" t="s">
        <v>2205</v>
      </c>
      <c r="D1134" s="33" t="s">
        <v>5014</v>
      </c>
      <c r="E1134" s="33" t="s">
        <v>2471</v>
      </c>
      <c r="F1134" s="33" t="s">
        <v>1787</v>
      </c>
      <c r="G1134" s="33" t="s">
        <v>5014</v>
      </c>
      <c r="H1134" s="33" t="s">
        <v>3562</v>
      </c>
      <c r="I1134" s="33" t="s">
        <v>3562</v>
      </c>
      <c r="J1134" s="33" t="s">
        <v>5453</v>
      </c>
      <c r="K1134" s="33" t="s">
        <v>2471</v>
      </c>
      <c r="L1134" s="33" t="s">
        <v>3820</v>
      </c>
      <c r="M1134" s="33" t="s">
        <v>69</v>
      </c>
      <c r="N1134" s="33" t="s">
        <v>77</v>
      </c>
      <c r="Q1134" s="33" t="s">
        <v>4050</v>
      </c>
    </row>
    <row r="1135" spans="1:17" hidden="1">
      <c r="A1135" s="33" t="s">
        <v>5454</v>
      </c>
      <c r="B1135" s="33" t="s">
        <v>5455</v>
      </c>
      <c r="C1135" s="33" t="s">
        <v>2205</v>
      </c>
      <c r="D1135" s="33" t="s">
        <v>4068</v>
      </c>
      <c r="E1135" s="33" t="s">
        <v>1836</v>
      </c>
      <c r="F1135" s="33" t="s">
        <v>1787</v>
      </c>
      <c r="G1135" s="33" t="s">
        <v>3289</v>
      </c>
      <c r="H1135" s="33" t="s">
        <v>3562</v>
      </c>
      <c r="I1135" s="33" t="s">
        <v>3562</v>
      </c>
      <c r="J1135" s="33" t="s">
        <v>5456</v>
      </c>
      <c r="K1135" s="33" t="s">
        <v>1791</v>
      </c>
      <c r="L1135" s="33" t="s">
        <v>3820</v>
      </c>
      <c r="M1135" s="33" t="s">
        <v>77</v>
      </c>
      <c r="N1135" s="33" t="s">
        <v>77</v>
      </c>
      <c r="Q1135" s="33" t="s">
        <v>4050</v>
      </c>
    </row>
    <row r="1136" spans="1:17" hidden="1">
      <c r="A1136" s="33" t="s">
        <v>5457</v>
      </c>
      <c r="B1136" s="33" t="s">
        <v>5458</v>
      </c>
      <c r="C1136" s="33" t="s">
        <v>2205</v>
      </c>
      <c r="D1136" s="33" t="s">
        <v>4068</v>
      </c>
      <c r="E1136" s="33" t="s">
        <v>1836</v>
      </c>
      <c r="F1136" s="33" t="s">
        <v>1787</v>
      </c>
      <c r="G1136" s="33" t="s">
        <v>3289</v>
      </c>
      <c r="H1136" s="33" t="s">
        <v>3562</v>
      </c>
      <c r="I1136" s="33" t="s">
        <v>3562</v>
      </c>
      <c r="J1136" s="33" t="s">
        <v>5459</v>
      </c>
      <c r="K1136" s="33" t="s">
        <v>1791</v>
      </c>
      <c r="L1136" s="33" t="s">
        <v>3820</v>
      </c>
      <c r="M1136" s="33" t="s">
        <v>134</v>
      </c>
      <c r="N1136" s="33" t="s">
        <v>77</v>
      </c>
      <c r="Q1136" s="33" t="s">
        <v>4050</v>
      </c>
    </row>
    <row r="1137" spans="1:17" hidden="1">
      <c r="A1137" s="33" t="s">
        <v>5372</v>
      </c>
      <c r="B1137" s="33" t="s">
        <v>5460</v>
      </c>
      <c r="C1137" s="33" t="s">
        <v>4061</v>
      </c>
      <c r="D1137" s="33" t="s">
        <v>4068</v>
      </c>
      <c r="E1137" s="33" t="s">
        <v>1836</v>
      </c>
      <c r="F1137" s="33" t="s">
        <v>2069</v>
      </c>
      <c r="G1137" s="33" t="s">
        <v>5370</v>
      </c>
      <c r="H1137" s="33" t="s">
        <v>3562</v>
      </c>
      <c r="I1137" s="33" t="s">
        <v>3562</v>
      </c>
      <c r="J1137" s="33" t="s">
        <v>5461</v>
      </c>
      <c r="K1137" s="33" t="s">
        <v>1791</v>
      </c>
      <c r="L1137" s="33" t="s">
        <v>3820</v>
      </c>
      <c r="M1137" s="33" t="s">
        <v>11</v>
      </c>
      <c r="N1137" s="33" t="s">
        <v>108</v>
      </c>
      <c r="Q1137" s="33" t="s">
        <v>4050</v>
      </c>
    </row>
    <row r="1138" spans="1:17" hidden="1">
      <c r="A1138" s="33" t="s">
        <v>5462</v>
      </c>
      <c r="B1138" s="33" t="s">
        <v>5463</v>
      </c>
      <c r="C1138" s="33" t="s">
        <v>1831</v>
      </c>
      <c r="D1138" s="33" t="s">
        <v>4068</v>
      </c>
      <c r="E1138" s="33" t="s">
        <v>1836</v>
      </c>
      <c r="F1138" s="33" t="s">
        <v>1787</v>
      </c>
      <c r="G1138" s="33" t="s">
        <v>1998</v>
      </c>
      <c r="H1138" s="33" t="s">
        <v>3597</v>
      </c>
      <c r="I1138" s="33" t="s">
        <v>3597</v>
      </c>
      <c r="J1138" s="33" t="s">
        <v>5464</v>
      </c>
      <c r="K1138" s="33" t="s">
        <v>1791</v>
      </c>
      <c r="L1138" s="33" t="s">
        <v>3820</v>
      </c>
      <c r="M1138" s="33" t="s">
        <v>197</v>
      </c>
      <c r="N1138" s="33" t="s">
        <v>69</v>
      </c>
      <c r="Q1138" s="33" t="s">
        <v>4050</v>
      </c>
    </row>
    <row r="1139" spans="1:17">
      <c r="A1139" s="33" t="s">
        <v>5465</v>
      </c>
      <c r="B1139" s="33" t="s">
        <v>5466</v>
      </c>
      <c r="C1139" s="33" t="s">
        <v>2020</v>
      </c>
      <c r="D1139" s="33" t="s">
        <v>4068</v>
      </c>
      <c r="E1139" s="33" t="s">
        <v>1786</v>
      </c>
      <c r="F1139" s="33" t="s">
        <v>1787</v>
      </c>
      <c r="G1139" s="33" t="s">
        <v>65</v>
      </c>
      <c r="H1139" s="33" t="s">
        <v>3597</v>
      </c>
      <c r="I1139" s="33" t="s">
        <v>3597</v>
      </c>
      <c r="J1139" s="33" t="s">
        <v>5467</v>
      </c>
      <c r="K1139" s="33" t="s">
        <v>1791</v>
      </c>
      <c r="L1139" s="33" t="s">
        <v>3820</v>
      </c>
      <c r="M1139" s="33" t="s">
        <v>196</v>
      </c>
      <c r="N1139" s="33" t="s">
        <v>1083</v>
      </c>
      <c r="Q1139" s="33" t="s">
        <v>4050</v>
      </c>
    </row>
    <row r="1140" spans="1:17" hidden="1">
      <c r="A1140" s="33" t="s">
        <v>5468</v>
      </c>
      <c r="B1140" s="33" t="s">
        <v>5469</v>
      </c>
      <c r="C1140" s="33" t="s">
        <v>2205</v>
      </c>
      <c r="D1140" s="33" t="s">
        <v>4068</v>
      </c>
      <c r="E1140" s="33" t="s">
        <v>1836</v>
      </c>
      <c r="F1140" s="33" t="s">
        <v>1787</v>
      </c>
      <c r="G1140" s="33" t="s">
        <v>3289</v>
      </c>
      <c r="H1140" s="33" t="s">
        <v>3597</v>
      </c>
      <c r="I1140" s="33" t="s">
        <v>3597</v>
      </c>
      <c r="J1140" s="33" t="s">
        <v>5470</v>
      </c>
      <c r="K1140" s="33" t="s">
        <v>1791</v>
      </c>
      <c r="L1140" s="33" t="s">
        <v>3820</v>
      </c>
      <c r="M1140" s="33" t="s">
        <v>77</v>
      </c>
      <c r="N1140" s="33" t="s">
        <v>77</v>
      </c>
      <c r="Q1140" s="33" t="s">
        <v>4050</v>
      </c>
    </row>
    <row r="1141" spans="1:17" hidden="1">
      <c r="A1141" s="33" t="s">
        <v>5471</v>
      </c>
      <c r="B1141" s="33" t="s">
        <v>5472</v>
      </c>
      <c r="C1141" s="33" t="s">
        <v>2205</v>
      </c>
      <c r="D1141" s="33" t="s">
        <v>4068</v>
      </c>
      <c r="E1141" s="33" t="s">
        <v>1836</v>
      </c>
      <c r="F1141" s="33" t="s">
        <v>1787</v>
      </c>
      <c r="G1141" s="33" t="s">
        <v>3289</v>
      </c>
      <c r="H1141" s="33" t="s">
        <v>3597</v>
      </c>
      <c r="I1141" s="33" t="s">
        <v>3597</v>
      </c>
      <c r="J1141" s="33" t="s">
        <v>5473</v>
      </c>
      <c r="K1141" s="33" t="s">
        <v>1791</v>
      </c>
      <c r="L1141" s="33" t="s">
        <v>3820</v>
      </c>
      <c r="M1141" s="33" t="s">
        <v>134</v>
      </c>
      <c r="N1141" s="33" t="s">
        <v>77</v>
      </c>
      <c r="Q1141" s="33" t="s">
        <v>4050</v>
      </c>
    </row>
    <row r="1142" spans="1:17" hidden="1">
      <c r="A1142" s="33" t="s">
        <v>5474</v>
      </c>
      <c r="B1142" s="33" t="s">
        <v>5475</v>
      </c>
      <c r="C1142" s="33" t="s">
        <v>2205</v>
      </c>
      <c r="D1142" s="33" t="s">
        <v>4068</v>
      </c>
      <c r="E1142" s="33" t="s">
        <v>1836</v>
      </c>
      <c r="F1142" s="33" t="s">
        <v>1787</v>
      </c>
      <c r="G1142" s="33" t="s">
        <v>3289</v>
      </c>
      <c r="H1142" s="33" t="s">
        <v>3597</v>
      </c>
      <c r="I1142" s="33" t="s">
        <v>3597</v>
      </c>
      <c r="J1142" s="33" t="s">
        <v>5476</v>
      </c>
      <c r="K1142" s="33" t="s">
        <v>1791</v>
      </c>
      <c r="L1142" s="33" t="s">
        <v>3820</v>
      </c>
      <c r="M1142" s="33" t="s">
        <v>134</v>
      </c>
      <c r="N1142" s="33" t="s">
        <v>77</v>
      </c>
      <c r="Q1142" s="33" t="s">
        <v>4050</v>
      </c>
    </row>
    <row r="1143" spans="1:17">
      <c r="A1143" s="33" t="s">
        <v>5477</v>
      </c>
      <c r="B1143" s="33" t="s">
        <v>5478</v>
      </c>
      <c r="C1143" s="33" t="s">
        <v>1785</v>
      </c>
      <c r="D1143" s="33" t="s">
        <v>4068</v>
      </c>
      <c r="E1143" s="33" t="s">
        <v>1786</v>
      </c>
      <c r="F1143" s="33" t="s">
        <v>1787</v>
      </c>
      <c r="G1143" s="33" t="s">
        <v>1788</v>
      </c>
      <c r="H1143" s="33" t="s">
        <v>3597</v>
      </c>
      <c r="I1143" s="33" t="s">
        <v>3597</v>
      </c>
      <c r="J1143" s="33" t="s">
        <v>5479</v>
      </c>
      <c r="K1143" s="33" t="s">
        <v>1791</v>
      </c>
      <c r="L1143" s="33" t="s">
        <v>3820</v>
      </c>
      <c r="M1143" s="33" t="s">
        <v>72</v>
      </c>
      <c r="N1143" s="33" t="s">
        <v>1083</v>
      </c>
      <c r="Q1143" s="33" t="s">
        <v>4050</v>
      </c>
    </row>
    <row r="1144" spans="1:17" hidden="1">
      <c r="A1144" s="33" t="s">
        <v>3606</v>
      </c>
      <c r="B1144" s="33" t="s">
        <v>5480</v>
      </c>
      <c r="C1144" s="33" t="s">
        <v>1831</v>
      </c>
      <c r="D1144" s="33" t="s">
        <v>3608</v>
      </c>
      <c r="E1144" s="33" t="s">
        <v>2471</v>
      </c>
      <c r="F1144" s="33" t="s">
        <v>1787</v>
      </c>
      <c r="G1144" s="33" t="s">
        <v>3608</v>
      </c>
      <c r="H1144" s="33" t="s">
        <v>3597</v>
      </c>
      <c r="I1144" s="33" t="s">
        <v>3551</v>
      </c>
      <c r="J1144" s="33" t="s">
        <v>5481</v>
      </c>
      <c r="K1144" s="33" t="s">
        <v>2471</v>
      </c>
      <c r="L1144" s="33" t="s">
        <v>3597</v>
      </c>
      <c r="M1144" s="33" t="s">
        <v>197</v>
      </c>
      <c r="N1144" s="33" t="s">
        <v>69</v>
      </c>
      <c r="Q1144" s="33" t="s">
        <v>4050</v>
      </c>
    </row>
    <row r="1145" spans="1:17">
      <c r="A1145" s="33" t="s">
        <v>3830</v>
      </c>
      <c r="B1145" s="33" t="s">
        <v>5482</v>
      </c>
      <c r="C1145" s="33" t="s">
        <v>1980</v>
      </c>
      <c r="D1145" s="33" t="s">
        <v>4068</v>
      </c>
      <c r="E1145" s="33" t="s">
        <v>1786</v>
      </c>
      <c r="F1145" s="33" t="s">
        <v>1787</v>
      </c>
      <c r="G1145" s="33" t="s">
        <v>5483</v>
      </c>
      <c r="H1145" s="33" t="s">
        <v>3597</v>
      </c>
      <c r="I1145" s="33" t="s">
        <v>5484</v>
      </c>
      <c r="J1145" s="33" t="s">
        <v>5485</v>
      </c>
      <c r="K1145" s="33" t="s">
        <v>1791</v>
      </c>
      <c r="L1145" s="33" t="s">
        <v>3820</v>
      </c>
      <c r="M1145" s="33" t="s">
        <v>69</v>
      </c>
      <c r="N1145" s="33" t="s">
        <v>69</v>
      </c>
      <c r="Q1145" s="33" t="s">
        <v>4050</v>
      </c>
    </row>
    <row r="1146" spans="1:17" hidden="1">
      <c r="A1146" s="33" t="s">
        <v>5486</v>
      </c>
      <c r="B1146" s="33" t="s">
        <v>5487</v>
      </c>
      <c r="C1146" s="33" t="s">
        <v>2514</v>
      </c>
      <c r="D1146" s="33" t="s">
        <v>4068</v>
      </c>
      <c r="E1146" s="33" t="s">
        <v>1836</v>
      </c>
      <c r="F1146" s="33" t="s">
        <v>1787</v>
      </c>
      <c r="G1146" s="33" t="s">
        <v>3680</v>
      </c>
      <c r="H1146" s="33" t="s">
        <v>3597</v>
      </c>
      <c r="I1146" s="33" t="s">
        <v>3597</v>
      </c>
      <c r="J1146" s="33" t="s">
        <v>5488</v>
      </c>
      <c r="K1146" s="33" t="s">
        <v>1791</v>
      </c>
      <c r="L1146" s="33" t="s">
        <v>3820</v>
      </c>
      <c r="M1146" s="33" t="s">
        <v>82</v>
      </c>
      <c r="N1146" s="33" t="s">
        <v>82</v>
      </c>
      <c r="Q1146" s="33" t="s">
        <v>4050</v>
      </c>
    </row>
    <row r="1147" spans="1:17" hidden="1">
      <c r="A1147" s="33" t="s">
        <v>5489</v>
      </c>
      <c r="B1147" s="33" t="s">
        <v>5490</v>
      </c>
      <c r="C1147" s="33" t="s">
        <v>1980</v>
      </c>
      <c r="D1147" s="33" t="s">
        <v>3832</v>
      </c>
      <c r="E1147" s="33" t="s">
        <v>2471</v>
      </c>
      <c r="F1147" s="33" t="s">
        <v>1787</v>
      </c>
      <c r="G1147" s="33" t="s">
        <v>3832</v>
      </c>
      <c r="H1147" s="33" t="s">
        <v>3597</v>
      </c>
      <c r="I1147" s="33" t="s">
        <v>3597</v>
      </c>
      <c r="J1147" s="33" t="s">
        <v>5491</v>
      </c>
      <c r="K1147" s="33" t="s">
        <v>2471</v>
      </c>
      <c r="L1147" s="33" t="s">
        <v>3597</v>
      </c>
      <c r="M1147" s="33" t="s">
        <v>1083</v>
      </c>
      <c r="N1147" s="33" t="s">
        <v>69</v>
      </c>
      <c r="Q1147" s="33" t="s">
        <v>4050</v>
      </c>
    </row>
    <row r="1148" spans="1:17" hidden="1">
      <c r="A1148" s="33" t="s">
        <v>5492</v>
      </c>
      <c r="B1148" s="33" t="s">
        <v>5493</v>
      </c>
      <c r="C1148" s="33" t="s">
        <v>1831</v>
      </c>
      <c r="D1148" s="33" t="s">
        <v>3608</v>
      </c>
      <c r="E1148" s="33" t="s">
        <v>2471</v>
      </c>
      <c r="F1148" s="33" t="s">
        <v>1787</v>
      </c>
      <c r="G1148" s="33" t="s">
        <v>3608</v>
      </c>
      <c r="H1148" s="33" t="s">
        <v>3597</v>
      </c>
      <c r="I1148" s="33" t="s">
        <v>3597</v>
      </c>
      <c r="J1148" s="33" t="s">
        <v>5494</v>
      </c>
      <c r="K1148" s="33" t="s">
        <v>2471</v>
      </c>
      <c r="L1148" s="33" t="s">
        <v>3597</v>
      </c>
      <c r="M1148" s="33" t="s">
        <v>69</v>
      </c>
      <c r="N1148" s="33" t="s">
        <v>197</v>
      </c>
      <c r="Q1148" s="33" t="s">
        <v>4050</v>
      </c>
    </row>
    <row r="1149" spans="1:17" hidden="1">
      <c r="A1149" s="33" t="s">
        <v>3606</v>
      </c>
      <c r="B1149" s="33" t="s">
        <v>5495</v>
      </c>
      <c r="C1149" s="33" t="s">
        <v>1831</v>
      </c>
      <c r="D1149" s="33" t="s">
        <v>3608</v>
      </c>
      <c r="E1149" s="33" t="s">
        <v>2471</v>
      </c>
      <c r="F1149" s="33" t="s">
        <v>1787</v>
      </c>
      <c r="G1149" s="33" t="s">
        <v>3608</v>
      </c>
      <c r="H1149" s="33" t="s">
        <v>3597</v>
      </c>
      <c r="I1149" s="33" t="s">
        <v>3562</v>
      </c>
      <c r="J1149" s="33" t="s">
        <v>5496</v>
      </c>
      <c r="K1149" s="33" t="s">
        <v>2471</v>
      </c>
      <c r="L1149" s="33" t="s">
        <v>3597</v>
      </c>
      <c r="M1149" s="33" t="s">
        <v>3310</v>
      </c>
      <c r="N1149" s="33" t="s">
        <v>197</v>
      </c>
      <c r="Q1149" s="33" t="s">
        <v>4050</v>
      </c>
    </row>
    <row r="1150" spans="1:17" hidden="1">
      <c r="A1150" s="33" t="s">
        <v>5497</v>
      </c>
      <c r="B1150" s="33" t="s">
        <v>5498</v>
      </c>
      <c r="C1150" s="33" t="s">
        <v>5499</v>
      </c>
      <c r="D1150" s="33" t="s">
        <v>4068</v>
      </c>
      <c r="E1150" s="33" t="s">
        <v>1808</v>
      </c>
      <c r="F1150" s="33" t="s">
        <v>1787</v>
      </c>
      <c r="G1150" s="33" t="s">
        <v>5500</v>
      </c>
      <c r="H1150" s="33" t="s">
        <v>3597</v>
      </c>
      <c r="I1150" s="33" t="s">
        <v>3544</v>
      </c>
      <c r="J1150" s="33" t="s">
        <v>5501</v>
      </c>
      <c r="K1150" s="33" t="s">
        <v>1791</v>
      </c>
      <c r="L1150" s="33" t="s">
        <v>3597</v>
      </c>
      <c r="M1150" s="33" t="s">
        <v>107</v>
      </c>
      <c r="N1150" s="33" t="s">
        <v>1142</v>
      </c>
      <c r="Q1150" s="33" t="s">
        <v>4050</v>
      </c>
    </row>
    <row r="1151" spans="1:17" hidden="1">
      <c r="A1151" s="33" t="s">
        <v>5502</v>
      </c>
      <c r="B1151" s="33" t="s">
        <v>5503</v>
      </c>
      <c r="C1151" s="33" t="s">
        <v>2273</v>
      </c>
      <c r="D1151" s="33" t="s">
        <v>5504</v>
      </c>
      <c r="E1151" s="33" t="s">
        <v>2471</v>
      </c>
      <c r="F1151" s="33" t="s">
        <v>1787</v>
      </c>
      <c r="G1151" s="33" t="s">
        <v>5504</v>
      </c>
      <c r="H1151" s="33" t="s">
        <v>3597</v>
      </c>
      <c r="I1151" s="33" t="s">
        <v>3597</v>
      </c>
      <c r="J1151" s="33" t="s">
        <v>5505</v>
      </c>
      <c r="K1151" s="33" t="s">
        <v>2471</v>
      </c>
      <c r="L1151" s="33" t="s">
        <v>3820</v>
      </c>
      <c r="M1151" s="33" t="s">
        <v>3284</v>
      </c>
      <c r="N1151" s="33" t="s">
        <v>95</v>
      </c>
      <c r="Q1151" s="33" t="s">
        <v>4050</v>
      </c>
    </row>
    <row r="1152" spans="1:17">
      <c r="A1152" s="33" t="s">
        <v>5506</v>
      </c>
      <c r="B1152" s="33" t="s">
        <v>5507</v>
      </c>
      <c r="C1152" s="33" t="s">
        <v>1785</v>
      </c>
      <c r="D1152" s="33" t="s">
        <v>4068</v>
      </c>
      <c r="E1152" s="33" t="s">
        <v>1786</v>
      </c>
      <c r="F1152" s="33" t="s">
        <v>1787</v>
      </c>
      <c r="G1152" s="33" t="s">
        <v>5039</v>
      </c>
      <c r="H1152" s="33" t="s">
        <v>5508</v>
      </c>
      <c r="I1152" s="33" t="s">
        <v>5508</v>
      </c>
      <c r="J1152" s="33" t="s">
        <v>5509</v>
      </c>
      <c r="K1152" s="33" t="s">
        <v>1791</v>
      </c>
      <c r="L1152" s="33" t="s">
        <v>3820</v>
      </c>
      <c r="M1152" s="33" t="s">
        <v>1083</v>
      </c>
      <c r="N1152" s="33" t="s">
        <v>193</v>
      </c>
      <c r="Q1152" s="33" t="s">
        <v>4050</v>
      </c>
    </row>
    <row r="1153" spans="1:17">
      <c r="A1153" s="33" t="s">
        <v>5510</v>
      </c>
      <c r="B1153" s="33" t="s">
        <v>5511</v>
      </c>
      <c r="C1153" s="33" t="s">
        <v>4748</v>
      </c>
      <c r="D1153" s="33" t="s">
        <v>4068</v>
      </c>
      <c r="E1153" s="33" t="s">
        <v>1786</v>
      </c>
      <c r="F1153" s="33" t="s">
        <v>1787</v>
      </c>
      <c r="G1153" s="33" t="s">
        <v>5039</v>
      </c>
      <c r="H1153" s="33" t="s">
        <v>3616</v>
      </c>
      <c r="I1153" s="33" t="s">
        <v>3616</v>
      </c>
      <c r="J1153" s="33" t="s">
        <v>5512</v>
      </c>
      <c r="K1153" s="33" t="s">
        <v>1791</v>
      </c>
      <c r="L1153" s="33" t="s">
        <v>3820</v>
      </c>
      <c r="M1153" s="33" t="s">
        <v>76</v>
      </c>
      <c r="N1153" s="33" t="s">
        <v>193</v>
      </c>
      <c r="Q1153" s="33" t="s">
        <v>4050</v>
      </c>
    </row>
    <row r="1154" spans="1:17">
      <c r="A1154" s="33" t="s">
        <v>5513</v>
      </c>
      <c r="B1154" s="33" t="s">
        <v>5514</v>
      </c>
      <c r="C1154" s="33" t="s">
        <v>4748</v>
      </c>
      <c r="D1154" s="33" t="s">
        <v>4068</v>
      </c>
      <c r="E1154" s="33" t="s">
        <v>1786</v>
      </c>
      <c r="F1154" s="33" t="s">
        <v>1787</v>
      </c>
      <c r="G1154" s="33" t="s">
        <v>5039</v>
      </c>
      <c r="H1154" s="33" t="s">
        <v>3616</v>
      </c>
      <c r="I1154" s="33" t="s">
        <v>3616</v>
      </c>
      <c r="J1154" s="33" t="s">
        <v>5515</v>
      </c>
      <c r="K1154" s="33" t="s">
        <v>1791</v>
      </c>
      <c r="L1154" s="33" t="s">
        <v>3820</v>
      </c>
      <c r="M1154" s="33" t="s">
        <v>76</v>
      </c>
      <c r="N1154" s="33" t="s">
        <v>193</v>
      </c>
      <c r="Q1154" s="33" t="s">
        <v>4050</v>
      </c>
    </row>
    <row r="1155" spans="1:17">
      <c r="A1155" s="33" t="s">
        <v>5516</v>
      </c>
      <c r="B1155" s="33" t="s">
        <v>5517</v>
      </c>
      <c r="C1155" s="33" t="s">
        <v>2443</v>
      </c>
      <c r="D1155" s="33" t="s">
        <v>4068</v>
      </c>
      <c r="E1155" s="33" t="s">
        <v>1786</v>
      </c>
      <c r="F1155" s="33" t="s">
        <v>2011</v>
      </c>
      <c r="G1155" s="33" t="s">
        <v>2444</v>
      </c>
      <c r="H1155" s="33" t="s">
        <v>3616</v>
      </c>
      <c r="I1155" s="33" t="s">
        <v>3616</v>
      </c>
      <c r="J1155" s="33" t="s">
        <v>5518</v>
      </c>
      <c r="K1155" s="33" t="s">
        <v>1791</v>
      </c>
      <c r="L1155" s="33" t="s">
        <v>3820</v>
      </c>
      <c r="M1155" s="33" t="s">
        <v>195</v>
      </c>
      <c r="N1155" s="33" t="s">
        <v>970</v>
      </c>
      <c r="Q1155" s="33" t="s">
        <v>4050</v>
      </c>
    </row>
    <row r="1156" spans="1:17">
      <c r="A1156" s="33" t="s">
        <v>5519</v>
      </c>
      <c r="B1156" s="33" t="s">
        <v>5520</v>
      </c>
      <c r="C1156" s="33" t="s">
        <v>1980</v>
      </c>
      <c r="D1156" s="33" t="s">
        <v>4068</v>
      </c>
      <c r="E1156" s="33" t="s">
        <v>1786</v>
      </c>
      <c r="F1156" s="33" t="s">
        <v>1856</v>
      </c>
      <c r="G1156" s="33" t="s">
        <v>1981</v>
      </c>
      <c r="H1156" s="33" t="s">
        <v>3616</v>
      </c>
      <c r="I1156" s="33" t="s">
        <v>3616</v>
      </c>
      <c r="J1156" s="33" t="s">
        <v>5521</v>
      </c>
      <c r="K1156" s="33" t="s">
        <v>1791</v>
      </c>
      <c r="L1156" s="33" t="s">
        <v>3820</v>
      </c>
      <c r="M1156" s="33" t="s">
        <v>3310</v>
      </c>
      <c r="N1156" s="33" t="s">
        <v>69</v>
      </c>
      <c r="Q1156" s="33" t="s">
        <v>4050</v>
      </c>
    </row>
    <row r="1157" spans="1:17">
      <c r="A1157" s="33" t="s">
        <v>5522</v>
      </c>
      <c r="B1157" s="33" t="s">
        <v>5523</v>
      </c>
      <c r="C1157" s="33" t="s">
        <v>1980</v>
      </c>
      <c r="D1157" s="33" t="s">
        <v>4068</v>
      </c>
      <c r="E1157" s="33" t="s">
        <v>1786</v>
      </c>
      <c r="F1157" s="33" t="s">
        <v>1815</v>
      </c>
      <c r="G1157" s="33" t="s">
        <v>1981</v>
      </c>
      <c r="H1157" s="33" t="s">
        <v>3616</v>
      </c>
      <c r="I1157" s="33" t="s">
        <v>3616</v>
      </c>
      <c r="J1157" s="33" t="s">
        <v>5524</v>
      </c>
      <c r="K1157" s="33" t="s">
        <v>1791</v>
      </c>
      <c r="L1157" s="33" t="s">
        <v>3820</v>
      </c>
      <c r="M1157" s="33" t="s">
        <v>1402</v>
      </c>
      <c r="N1157" s="33" t="s">
        <v>69</v>
      </c>
      <c r="Q1157" s="33" t="s">
        <v>4050</v>
      </c>
    </row>
    <row r="1158" spans="1:17">
      <c r="A1158" s="33" t="s">
        <v>5525</v>
      </c>
      <c r="B1158" s="33" t="s">
        <v>5526</v>
      </c>
      <c r="C1158" s="33" t="s">
        <v>1980</v>
      </c>
      <c r="D1158" s="33" t="s">
        <v>4068</v>
      </c>
      <c r="E1158" s="33" t="s">
        <v>1786</v>
      </c>
      <c r="F1158" s="33" t="s">
        <v>1864</v>
      </c>
      <c r="G1158" s="33" t="s">
        <v>1981</v>
      </c>
      <c r="H1158" s="33" t="s">
        <v>3616</v>
      </c>
      <c r="I1158" s="33" t="s">
        <v>3616</v>
      </c>
      <c r="J1158" s="33" t="s">
        <v>5527</v>
      </c>
      <c r="K1158" s="33" t="s">
        <v>1791</v>
      </c>
      <c r="L1158" s="33" t="s">
        <v>3820</v>
      </c>
      <c r="M1158" s="33" t="s">
        <v>31</v>
      </c>
      <c r="N1158" s="33" t="s">
        <v>69</v>
      </c>
      <c r="Q1158" s="33" t="s">
        <v>4050</v>
      </c>
    </row>
    <row r="1159" spans="1:17">
      <c r="A1159" s="33" t="s">
        <v>5528</v>
      </c>
      <c r="B1159" s="33" t="s">
        <v>5529</v>
      </c>
      <c r="C1159" s="33" t="s">
        <v>1980</v>
      </c>
      <c r="D1159" s="33" t="s">
        <v>4068</v>
      </c>
      <c r="E1159" s="33" t="s">
        <v>1786</v>
      </c>
      <c r="F1159" s="33" t="s">
        <v>2069</v>
      </c>
      <c r="G1159" s="33" t="s">
        <v>1981</v>
      </c>
      <c r="H1159" s="33" t="s">
        <v>3616</v>
      </c>
      <c r="I1159" s="33" t="s">
        <v>3616</v>
      </c>
      <c r="J1159" s="33" t="s">
        <v>5530</v>
      </c>
      <c r="K1159" s="33" t="s">
        <v>1791</v>
      </c>
      <c r="L1159" s="33" t="s">
        <v>3820</v>
      </c>
      <c r="M1159" s="33" t="s">
        <v>95</v>
      </c>
      <c r="N1159" s="33" t="s">
        <v>69</v>
      </c>
      <c r="Q1159" s="33" t="s">
        <v>4050</v>
      </c>
    </row>
    <row r="1160" spans="1:17" hidden="1">
      <c r="A1160" s="33" t="s">
        <v>5531</v>
      </c>
      <c r="B1160" s="33" t="s">
        <v>5532</v>
      </c>
      <c r="C1160" s="33" t="s">
        <v>1980</v>
      </c>
      <c r="D1160" s="33" t="s">
        <v>4068</v>
      </c>
      <c r="E1160" s="33" t="s">
        <v>1836</v>
      </c>
      <c r="F1160" s="33" t="s">
        <v>1815</v>
      </c>
      <c r="G1160" s="33" t="s">
        <v>1872</v>
      </c>
      <c r="H1160" s="33" t="s">
        <v>3616</v>
      </c>
      <c r="I1160" s="33" t="s">
        <v>3616</v>
      </c>
      <c r="J1160" s="33" t="s">
        <v>5533</v>
      </c>
      <c r="K1160" s="33" t="s">
        <v>1791</v>
      </c>
      <c r="L1160" s="33" t="s">
        <v>3820</v>
      </c>
      <c r="M1160" s="33" t="s">
        <v>95</v>
      </c>
      <c r="N1160" s="33" t="s">
        <v>69</v>
      </c>
      <c r="Q1160" s="33" t="s">
        <v>4050</v>
      </c>
    </row>
    <row r="1161" spans="1:17" hidden="1">
      <c r="A1161" s="33" t="s">
        <v>3830</v>
      </c>
      <c r="B1161" s="33" t="s">
        <v>5534</v>
      </c>
      <c r="C1161" s="33" t="s">
        <v>1980</v>
      </c>
      <c r="D1161" s="33" t="s">
        <v>5483</v>
      </c>
      <c r="E1161" s="33" t="s">
        <v>2471</v>
      </c>
      <c r="F1161" s="33" t="s">
        <v>1787</v>
      </c>
      <c r="G1161" s="33" t="s">
        <v>5483</v>
      </c>
      <c r="H1161" s="33" t="s">
        <v>3628</v>
      </c>
      <c r="I1161" s="33" t="s">
        <v>3628</v>
      </c>
      <c r="J1161" s="33" t="s">
        <v>5535</v>
      </c>
      <c r="K1161" s="33" t="s">
        <v>2471</v>
      </c>
      <c r="L1161" s="33" t="s">
        <v>3820</v>
      </c>
      <c r="M1161" s="33" t="s">
        <v>69</v>
      </c>
      <c r="N1161" s="33" t="s">
        <v>69</v>
      </c>
      <c r="Q1161" s="33" t="s">
        <v>4050</v>
      </c>
    </row>
    <row r="1162" spans="1:17">
      <c r="A1162" s="33" t="s">
        <v>5536</v>
      </c>
      <c r="B1162" s="33" t="s">
        <v>5537</v>
      </c>
      <c r="C1162" s="33" t="s">
        <v>1785</v>
      </c>
      <c r="D1162" s="33" t="s">
        <v>1788</v>
      </c>
      <c r="E1162" s="33" t="s">
        <v>3976</v>
      </c>
      <c r="F1162" s="33" t="s">
        <v>1787</v>
      </c>
      <c r="G1162" s="33" t="s">
        <v>1788</v>
      </c>
      <c r="H1162" s="33" t="s">
        <v>3628</v>
      </c>
      <c r="I1162" s="33" t="s">
        <v>3628</v>
      </c>
      <c r="J1162" s="33" t="s">
        <v>5538</v>
      </c>
      <c r="K1162" s="33" t="s">
        <v>1791</v>
      </c>
      <c r="L1162" s="33" t="s">
        <v>3902</v>
      </c>
      <c r="M1162" s="33" t="s">
        <v>80</v>
      </c>
      <c r="N1162" s="33" t="s">
        <v>1083</v>
      </c>
      <c r="Q1162" s="33" t="s">
        <v>4050</v>
      </c>
    </row>
    <row r="1163" spans="1:17">
      <c r="A1163" s="33" t="s">
        <v>5539</v>
      </c>
      <c r="B1163" s="33" t="s">
        <v>5540</v>
      </c>
      <c r="C1163" s="33" t="s">
        <v>1785</v>
      </c>
      <c r="D1163" s="33" t="s">
        <v>1788</v>
      </c>
      <c r="E1163" s="33" t="s">
        <v>3976</v>
      </c>
      <c r="F1163" s="33" t="s">
        <v>1787</v>
      </c>
      <c r="G1163" s="33" t="s">
        <v>1788</v>
      </c>
      <c r="H1163" s="33" t="s">
        <v>3628</v>
      </c>
      <c r="I1163" s="33" t="s">
        <v>3628</v>
      </c>
      <c r="J1163" s="33" t="s">
        <v>5538</v>
      </c>
      <c r="K1163" s="33" t="s">
        <v>1791</v>
      </c>
      <c r="L1163" s="33" t="s">
        <v>3902</v>
      </c>
      <c r="M1163" s="33" t="s">
        <v>69</v>
      </c>
      <c r="N1163" s="33" t="s">
        <v>1083</v>
      </c>
      <c r="Q1163" s="33" t="s">
        <v>4050</v>
      </c>
    </row>
    <row r="1164" spans="1:17" hidden="1">
      <c r="A1164" s="33" t="s">
        <v>5539</v>
      </c>
      <c r="B1164" s="33" t="s">
        <v>5541</v>
      </c>
      <c r="C1164" s="33" t="s">
        <v>1785</v>
      </c>
      <c r="D1164" s="33" t="s">
        <v>4068</v>
      </c>
      <c r="E1164" s="33" t="s">
        <v>1836</v>
      </c>
      <c r="F1164" s="33" t="s">
        <v>1787</v>
      </c>
      <c r="G1164" s="33" t="s">
        <v>1788</v>
      </c>
      <c r="H1164" s="33" t="s">
        <v>3628</v>
      </c>
      <c r="I1164" s="33" t="s">
        <v>3628</v>
      </c>
      <c r="J1164" s="33" t="s">
        <v>5538</v>
      </c>
      <c r="K1164" s="33" t="s">
        <v>1791</v>
      </c>
      <c r="L1164" s="33" t="s">
        <v>3820</v>
      </c>
      <c r="M1164" s="33" t="s">
        <v>69</v>
      </c>
      <c r="N1164" s="33" t="s">
        <v>1083</v>
      </c>
      <c r="Q1164" s="33" t="s">
        <v>4050</v>
      </c>
    </row>
    <row r="1165" spans="1:17">
      <c r="A1165" s="33" t="s">
        <v>5542</v>
      </c>
      <c r="B1165" s="33" t="s">
        <v>5543</v>
      </c>
      <c r="C1165" s="33" t="s">
        <v>2205</v>
      </c>
      <c r="D1165" s="33" t="s">
        <v>4068</v>
      </c>
      <c r="E1165" s="33" t="s">
        <v>1786</v>
      </c>
      <c r="F1165" s="33" t="s">
        <v>1787</v>
      </c>
      <c r="G1165" s="33" t="s">
        <v>4450</v>
      </c>
      <c r="H1165" s="33" t="s">
        <v>5544</v>
      </c>
      <c r="I1165" s="33" t="s">
        <v>5544</v>
      </c>
      <c r="J1165" s="33" t="s">
        <v>5545</v>
      </c>
      <c r="K1165" s="33" t="s">
        <v>1791</v>
      </c>
      <c r="L1165" s="33" t="s">
        <v>3820</v>
      </c>
      <c r="M1165" s="33" t="s">
        <v>3284</v>
      </c>
      <c r="N1165" s="33" t="s">
        <v>193</v>
      </c>
      <c r="Q1165" s="33" t="s">
        <v>4050</v>
      </c>
    </row>
    <row r="1166" spans="1:17" hidden="1">
      <c r="A1166" s="33" t="s">
        <v>5546</v>
      </c>
      <c r="B1166" s="33" t="s">
        <v>5547</v>
      </c>
      <c r="C1166" s="33" t="s">
        <v>2205</v>
      </c>
      <c r="D1166" s="33" t="s">
        <v>4068</v>
      </c>
      <c r="E1166" s="33" t="s">
        <v>1836</v>
      </c>
      <c r="F1166" s="33" t="s">
        <v>1787</v>
      </c>
      <c r="G1166" s="33" t="s">
        <v>3289</v>
      </c>
      <c r="H1166" s="33" t="s">
        <v>5544</v>
      </c>
      <c r="I1166" s="33" t="s">
        <v>5544</v>
      </c>
      <c r="J1166" s="33" t="s">
        <v>5548</v>
      </c>
      <c r="K1166" s="33" t="s">
        <v>1791</v>
      </c>
      <c r="L1166" s="33" t="s">
        <v>3820</v>
      </c>
      <c r="M1166" s="33" t="s">
        <v>134</v>
      </c>
      <c r="N1166" s="33" t="s">
        <v>77</v>
      </c>
      <c r="Q1166" s="33" t="s">
        <v>4050</v>
      </c>
    </row>
    <row r="1167" spans="1:17" hidden="1">
      <c r="A1167" s="33" t="s">
        <v>5549</v>
      </c>
      <c r="B1167" s="33" t="s">
        <v>5550</v>
      </c>
      <c r="C1167" s="33" t="s">
        <v>2205</v>
      </c>
      <c r="D1167" s="33" t="s">
        <v>4068</v>
      </c>
      <c r="E1167" s="33" t="s">
        <v>1836</v>
      </c>
      <c r="F1167" s="33" t="s">
        <v>1787</v>
      </c>
      <c r="G1167" s="33" t="s">
        <v>3289</v>
      </c>
      <c r="H1167" s="33" t="s">
        <v>5544</v>
      </c>
      <c r="I1167" s="33" t="s">
        <v>5544</v>
      </c>
      <c r="J1167" s="33" t="s">
        <v>5551</v>
      </c>
      <c r="K1167" s="33" t="s">
        <v>1791</v>
      </c>
      <c r="L1167" s="33" t="s">
        <v>3820</v>
      </c>
      <c r="M1167" s="33" t="s">
        <v>77</v>
      </c>
      <c r="N1167" s="33" t="s">
        <v>77</v>
      </c>
      <c r="Q1167" s="33" t="s">
        <v>4050</v>
      </c>
    </row>
    <row r="1168" spans="1:17">
      <c r="A1168" s="33" t="s">
        <v>5552</v>
      </c>
      <c r="B1168" s="33" t="s">
        <v>5553</v>
      </c>
      <c r="C1168" s="33" t="s">
        <v>4748</v>
      </c>
      <c r="D1168" s="33" t="s">
        <v>4068</v>
      </c>
      <c r="E1168" s="33" t="s">
        <v>1786</v>
      </c>
      <c r="F1168" s="33" t="s">
        <v>1787</v>
      </c>
      <c r="G1168" s="33" t="s">
        <v>5039</v>
      </c>
      <c r="H1168" s="33" t="s">
        <v>5544</v>
      </c>
      <c r="I1168" s="33" t="s">
        <v>5544</v>
      </c>
      <c r="J1168" s="33" t="s">
        <v>5554</v>
      </c>
      <c r="K1168" s="33" t="s">
        <v>1791</v>
      </c>
      <c r="L1168" s="33" t="s">
        <v>3820</v>
      </c>
      <c r="M1168" s="33" t="s">
        <v>76</v>
      </c>
      <c r="N1168" s="33" t="s">
        <v>193</v>
      </c>
      <c r="Q1168" s="33" t="s">
        <v>4050</v>
      </c>
    </row>
    <row r="1169" spans="1:17">
      <c r="A1169" s="33" t="s">
        <v>5555</v>
      </c>
      <c r="B1169" s="33" t="s">
        <v>5556</v>
      </c>
      <c r="C1169" s="33" t="s">
        <v>4132</v>
      </c>
      <c r="D1169" s="33" t="s">
        <v>4068</v>
      </c>
      <c r="E1169" s="33" t="s">
        <v>1786</v>
      </c>
      <c r="F1169" s="33" t="s">
        <v>1787</v>
      </c>
      <c r="G1169" s="33" t="s">
        <v>16</v>
      </c>
      <c r="H1169" s="33" t="s">
        <v>5544</v>
      </c>
      <c r="I1169" s="33" t="s">
        <v>5544</v>
      </c>
      <c r="J1169" s="33" t="s">
        <v>5557</v>
      </c>
      <c r="K1169" s="33" t="s">
        <v>1791</v>
      </c>
      <c r="L1169" s="33" t="s">
        <v>3820</v>
      </c>
      <c r="M1169" s="33" t="s">
        <v>77</v>
      </c>
      <c r="N1169" s="33" t="s">
        <v>134</v>
      </c>
      <c r="Q1169" s="33" t="s">
        <v>4050</v>
      </c>
    </row>
    <row r="1170" spans="1:17">
      <c r="A1170" s="33" t="s">
        <v>5558</v>
      </c>
      <c r="B1170" s="33" t="s">
        <v>5559</v>
      </c>
      <c r="C1170" s="33" t="s">
        <v>4748</v>
      </c>
      <c r="D1170" s="33" t="s">
        <v>4068</v>
      </c>
      <c r="E1170" s="33" t="s">
        <v>1786</v>
      </c>
      <c r="F1170" s="33" t="s">
        <v>1787</v>
      </c>
      <c r="G1170" s="33" t="s">
        <v>5039</v>
      </c>
      <c r="H1170" s="33" t="s">
        <v>5544</v>
      </c>
      <c r="I1170" s="33" t="s">
        <v>5544</v>
      </c>
      <c r="J1170" s="33" t="s">
        <v>5560</v>
      </c>
      <c r="K1170" s="33" t="s">
        <v>1791</v>
      </c>
      <c r="L1170" s="33" t="s">
        <v>3820</v>
      </c>
      <c r="M1170" s="33" t="s">
        <v>76</v>
      </c>
      <c r="N1170" s="33" t="s">
        <v>193</v>
      </c>
      <c r="Q1170" s="33" t="s">
        <v>4050</v>
      </c>
    </row>
    <row r="1171" spans="1:17">
      <c r="A1171" s="33" t="s">
        <v>5561</v>
      </c>
      <c r="B1171" s="33" t="s">
        <v>5562</v>
      </c>
      <c r="C1171" s="33" t="s">
        <v>2205</v>
      </c>
      <c r="D1171" s="33" t="s">
        <v>4068</v>
      </c>
      <c r="E1171" s="33" t="s">
        <v>1786</v>
      </c>
      <c r="F1171" s="33" t="s">
        <v>1787</v>
      </c>
      <c r="G1171" s="33" t="s">
        <v>4618</v>
      </c>
      <c r="H1171" s="33" t="s">
        <v>5544</v>
      </c>
      <c r="I1171" s="33" t="s">
        <v>5544</v>
      </c>
      <c r="J1171" s="33" t="s">
        <v>5563</v>
      </c>
      <c r="K1171" s="33" t="s">
        <v>1791</v>
      </c>
      <c r="L1171" s="33" t="s">
        <v>3820</v>
      </c>
      <c r="M1171" s="33" t="s">
        <v>77</v>
      </c>
      <c r="N1171" s="33" t="s">
        <v>134</v>
      </c>
      <c r="Q1171" s="33" t="s">
        <v>4050</v>
      </c>
    </row>
    <row r="1172" spans="1:17">
      <c r="A1172" s="33" t="s">
        <v>5564</v>
      </c>
      <c r="B1172" s="33" t="s">
        <v>5565</v>
      </c>
      <c r="C1172" s="33" t="s">
        <v>2205</v>
      </c>
      <c r="D1172" s="33" t="s">
        <v>4068</v>
      </c>
      <c r="E1172" s="33" t="s">
        <v>1786</v>
      </c>
      <c r="F1172" s="33" t="s">
        <v>1787</v>
      </c>
      <c r="G1172" s="33" t="s">
        <v>3944</v>
      </c>
      <c r="H1172" s="33" t="s">
        <v>5544</v>
      </c>
      <c r="I1172" s="33" t="s">
        <v>5544</v>
      </c>
      <c r="J1172" s="33" t="s">
        <v>5566</v>
      </c>
      <c r="K1172" s="33" t="s">
        <v>1791</v>
      </c>
      <c r="L1172" s="33" t="s">
        <v>3820</v>
      </c>
      <c r="M1172" s="33" t="s">
        <v>3310</v>
      </c>
      <c r="N1172" s="33" t="s">
        <v>77</v>
      </c>
      <c r="Q1172" s="33" t="s">
        <v>4050</v>
      </c>
    </row>
    <row r="1173" spans="1:17">
      <c r="A1173" s="33" t="s">
        <v>3830</v>
      </c>
      <c r="B1173" s="33" t="s">
        <v>5567</v>
      </c>
      <c r="C1173" s="33" t="s">
        <v>1980</v>
      </c>
      <c r="D1173" s="33" t="s">
        <v>4068</v>
      </c>
      <c r="E1173" s="33" t="s">
        <v>1786</v>
      </c>
      <c r="F1173" s="33" t="s">
        <v>1787</v>
      </c>
      <c r="G1173" s="33" t="s">
        <v>5483</v>
      </c>
      <c r="H1173" s="33" t="s">
        <v>5544</v>
      </c>
      <c r="I1173" s="33" t="s">
        <v>5544</v>
      </c>
      <c r="J1173" s="33" t="s">
        <v>5568</v>
      </c>
      <c r="K1173" s="33" t="s">
        <v>1791</v>
      </c>
      <c r="L1173" s="33" t="s">
        <v>3820</v>
      </c>
      <c r="M1173" s="33" t="s">
        <v>69</v>
      </c>
      <c r="N1173" s="33" t="s">
        <v>69</v>
      </c>
      <c r="Q1173" s="33" t="s">
        <v>4050</v>
      </c>
    </row>
    <row r="1174" spans="1:17">
      <c r="A1174" s="33" t="s">
        <v>3830</v>
      </c>
      <c r="B1174" s="33" t="s">
        <v>5569</v>
      </c>
      <c r="C1174" s="33" t="s">
        <v>1980</v>
      </c>
      <c r="D1174" s="33" t="s">
        <v>4068</v>
      </c>
      <c r="E1174" s="33" t="s">
        <v>1786</v>
      </c>
      <c r="F1174" s="33" t="s">
        <v>1787</v>
      </c>
      <c r="G1174" s="33" t="s">
        <v>5483</v>
      </c>
      <c r="H1174" s="33" t="s">
        <v>5544</v>
      </c>
      <c r="I1174" s="33" t="s">
        <v>5544</v>
      </c>
      <c r="J1174" s="33" t="s">
        <v>5570</v>
      </c>
      <c r="K1174" s="33" t="s">
        <v>1791</v>
      </c>
      <c r="L1174" s="33" t="s">
        <v>3820</v>
      </c>
      <c r="M1174" s="33" t="s">
        <v>69</v>
      </c>
      <c r="N1174" s="33" t="s">
        <v>69</v>
      </c>
      <c r="Q1174" s="33" t="s">
        <v>4050</v>
      </c>
    </row>
    <row r="1175" spans="1:17">
      <c r="A1175" s="33" t="s">
        <v>5571</v>
      </c>
      <c r="B1175" s="33" t="s">
        <v>5572</v>
      </c>
      <c r="C1175" s="33" t="s">
        <v>1785</v>
      </c>
      <c r="D1175" s="33" t="s">
        <v>4068</v>
      </c>
      <c r="E1175" s="33" t="s">
        <v>1786</v>
      </c>
      <c r="F1175" s="33" t="s">
        <v>1787</v>
      </c>
      <c r="G1175" s="33" t="s">
        <v>1788</v>
      </c>
      <c r="H1175" s="33" t="s">
        <v>3633</v>
      </c>
      <c r="I1175" s="33" t="s">
        <v>3633</v>
      </c>
      <c r="J1175" s="33" t="s">
        <v>5573</v>
      </c>
      <c r="K1175" s="33" t="s">
        <v>1791</v>
      </c>
      <c r="L1175" s="33" t="s">
        <v>3820</v>
      </c>
      <c r="M1175" s="33" t="s">
        <v>72</v>
      </c>
      <c r="N1175" s="33" t="s">
        <v>1083</v>
      </c>
      <c r="Q1175" s="33" t="s">
        <v>4050</v>
      </c>
    </row>
    <row r="1176" spans="1:17">
      <c r="A1176" s="33" t="s">
        <v>5574</v>
      </c>
      <c r="B1176" s="33" t="s">
        <v>5575</v>
      </c>
      <c r="C1176" s="33" t="s">
        <v>1831</v>
      </c>
      <c r="D1176" s="33" t="s">
        <v>4068</v>
      </c>
      <c r="E1176" s="33" t="s">
        <v>1786</v>
      </c>
      <c r="F1176" s="33" t="s">
        <v>1815</v>
      </c>
      <c r="G1176" s="33" t="s">
        <v>1872</v>
      </c>
      <c r="H1176" s="33" t="s">
        <v>3633</v>
      </c>
      <c r="I1176" s="33" t="s">
        <v>3633</v>
      </c>
      <c r="J1176" s="33" t="s">
        <v>5576</v>
      </c>
      <c r="K1176" s="33" t="s">
        <v>1791</v>
      </c>
      <c r="L1176" s="33" t="s">
        <v>3820</v>
      </c>
      <c r="M1176" s="33" t="s">
        <v>95</v>
      </c>
      <c r="N1176" s="33" t="s">
        <v>69</v>
      </c>
      <c r="Q1176" s="33" t="s">
        <v>4050</v>
      </c>
    </row>
    <row r="1177" spans="1:17">
      <c r="A1177" s="33" t="s">
        <v>4524</v>
      </c>
      <c r="B1177" s="33" t="s">
        <v>5577</v>
      </c>
      <c r="C1177" s="33" t="s">
        <v>2205</v>
      </c>
      <c r="D1177" s="33" t="s">
        <v>4068</v>
      </c>
      <c r="E1177" s="33" t="s">
        <v>1786</v>
      </c>
      <c r="F1177" s="33" t="s">
        <v>1787</v>
      </c>
      <c r="G1177" s="33" t="s">
        <v>4075</v>
      </c>
      <c r="H1177" s="33" t="s">
        <v>3633</v>
      </c>
      <c r="I1177" s="33" t="s">
        <v>3633</v>
      </c>
      <c r="J1177" s="33" t="s">
        <v>5578</v>
      </c>
      <c r="K1177" s="33" t="s">
        <v>1791</v>
      </c>
      <c r="L1177" s="33" t="s">
        <v>3820</v>
      </c>
      <c r="M1177" s="33" t="s">
        <v>196</v>
      </c>
      <c r="N1177" s="33" t="s">
        <v>196</v>
      </c>
      <c r="Q1177" s="33" t="s">
        <v>4050</v>
      </c>
    </row>
    <row r="1178" spans="1:17">
      <c r="A1178" s="33" t="s">
        <v>5579</v>
      </c>
      <c r="B1178" s="33" t="s">
        <v>5580</v>
      </c>
      <c r="C1178" s="33" t="s">
        <v>2205</v>
      </c>
      <c r="D1178" s="33" t="s">
        <v>4068</v>
      </c>
      <c r="E1178" s="33" t="s">
        <v>1786</v>
      </c>
      <c r="F1178" s="33" t="s">
        <v>1787</v>
      </c>
      <c r="G1178" s="33" t="s">
        <v>3944</v>
      </c>
      <c r="H1178" s="33" t="s">
        <v>3633</v>
      </c>
      <c r="I1178" s="33" t="s">
        <v>3633</v>
      </c>
      <c r="J1178" s="33" t="s">
        <v>5581</v>
      </c>
      <c r="K1178" s="33" t="s">
        <v>1791</v>
      </c>
      <c r="L1178" s="33" t="s">
        <v>3820</v>
      </c>
      <c r="M1178" s="33" t="s">
        <v>3310</v>
      </c>
      <c r="N1178" s="33" t="s">
        <v>77</v>
      </c>
      <c r="Q1178" s="33" t="s">
        <v>4050</v>
      </c>
    </row>
    <row r="1179" spans="1:17">
      <c r="A1179" s="33" t="s">
        <v>5582</v>
      </c>
      <c r="B1179" s="33" t="s">
        <v>5583</v>
      </c>
      <c r="C1179" s="33" t="s">
        <v>1785</v>
      </c>
      <c r="D1179" s="33" t="s">
        <v>4068</v>
      </c>
      <c r="E1179" s="33" t="s">
        <v>1786</v>
      </c>
      <c r="F1179" s="33" t="s">
        <v>1815</v>
      </c>
      <c r="G1179" s="33" t="s">
        <v>1788</v>
      </c>
      <c r="H1179" s="33" t="s">
        <v>3633</v>
      </c>
      <c r="I1179" s="33" t="s">
        <v>3633</v>
      </c>
      <c r="J1179" s="33" t="s">
        <v>5584</v>
      </c>
      <c r="K1179" s="33" t="s">
        <v>1791</v>
      </c>
      <c r="L1179" s="33" t="s">
        <v>3820</v>
      </c>
      <c r="M1179" s="33" t="s">
        <v>80</v>
      </c>
      <c r="N1179" s="33" t="s">
        <v>1083</v>
      </c>
      <c r="Q1179" s="33" t="s">
        <v>4050</v>
      </c>
    </row>
    <row r="1180" spans="1:17">
      <c r="A1180" s="33" t="s">
        <v>5585</v>
      </c>
      <c r="B1180" s="33" t="s">
        <v>5586</v>
      </c>
      <c r="C1180" s="33" t="s">
        <v>1785</v>
      </c>
      <c r="D1180" s="33" t="s">
        <v>4068</v>
      </c>
      <c r="E1180" s="33" t="s">
        <v>1786</v>
      </c>
      <c r="F1180" s="33" t="s">
        <v>1815</v>
      </c>
      <c r="G1180" s="33" t="s">
        <v>1788</v>
      </c>
      <c r="H1180" s="33" t="s">
        <v>3633</v>
      </c>
      <c r="I1180" s="33" t="s">
        <v>3633</v>
      </c>
      <c r="J1180" s="33" t="s">
        <v>5584</v>
      </c>
      <c r="K1180" s="33" t="s">
        <v>1791</v>
      </c>
      <c r="L1180" s="33" t="s">
        <v>3820</v>
      </c>
      <c r="M1180" s="33" t="s">
        <v>69</v>
      </c>
      <c r="N1180" s="33" t="s">
        <v>1083</v>
      </c>
      <c r="Q1180" s="33" t="s">
        <v>4050</v>
      </c>
    </row>
    <row r="1181" spans="1:17">
      <c r="A1181" s="33" t="s">
        <v>5587</v>
      </c>
      <c r="B1181" s="33" t="s">
        <v>5588</v>
      </c>
      <c r="C1181" s="33" t="s">
        <v>1785</v>
      </c>
      <c r="D1181" s="33" t="s">
        <v>4068</v>
      </c>
      <c r="E1181" s="33" t="s">
        <v>1786</v>
      </c>
      <c r="F1181" s="33" t="s">
        <v>1787</v>
      </c>
      <c r="G1181" s="33" t="s">
        <v>1788</v>
      </c>
      <c r="H1181" s="33" t="s">
        <v>3633</v>
      </c>
      <c r="I1181" s="33" t="s">
        <v>3633</v>
      </c>
      <c r="J1181" s="33" t="s">
        <v>5589</v>
      </c>
      <c r="K1181" s="33" t="s">
        <v>1791</v>
      </c>
      <c r="L1181" s="33" t="s">
        <v>3820</v>
      </c>
      <c r="M1181" s="33" t="s">
        <v>80</v>
      </c>
      <c r="N1181" s="33" t="s">
        <v>1083</v>
      </c>
      <c r="Q1181" s="33" t="s">
        <v>4050</v>
      </c>
    </row>
    <row r="1182" spans="1:17" hidden="1">
      <c r="A1182" s="33" t="s">
        <v>5587</v>
      </c>
      <c r="B1182" s="33" t="s">
        <v>5590</v>
      </c>
      <c r="C1182" s="33" t="s">
        <v>1785</v>
      </c>
      <c r="D1182" s="33" t="s">
        <v>4068</v>
      </c>
      <c r="E1182" s="33" t="s">
        <v>1836</v>
      </c>
      <c r="F1182" s="33" t="s">
        <v>1787</v>
      </c>
      <c r="G1182" s="33" t="s">
        <v>1788</v>
      </c>
      <c r="H1182" s="33" t="s">
        <v>3633</v>
      </c>
      <c r="I1182" s="33" t="s">
        <v>3633</v>
      </c>
      <c r="J1182" s="33" t="s">
        <v>5589</v>
      </c>
      <c r="K1182" s="33" t="s">
        <v>1791</v>
      </c>
      <c r="L1182" s="33" t="s">
        <v>3820</v>
      </c>
      <c r="M1182" s="33" t="s">
        <v>69</v>
      </c>
      <c r="N1182" s="33" t="s">
        <v>1083</v>
      </c>
      <c r="Q1182" s="33" t="s">
        <v>4050</v>
      </c>
    </row>
    <row r="1183" spans="1:17" hidden="1">
      <c r="A1183" s="33" t="s">
        <v>5591</v>
      </c>
      <c r="B1183" s="33" t="s">
        <v>5592</v>
      </c>
      <c r="C1183" s="33" t="s">
        <v>2205</v>
      </c>
      <c r="D1183" s="33" t="s">
        <v>4068</v>
      </c>
      <c r="E1183" s="33" t="s">
        <v>1808</v>
      </c>
      <c r="F1183" s="33" t="s">
        <v>1787</v>
      </c>
      <c r="G1183" s="33" t="s">
        <v>3289</v>
      </c>
      <c r="H1183" s="33" t="s">
        <v>3633</v>
      </c>
      <c r="I1183" s="33" t="s">
        <v>3633</v>
      </c>
      <c r="J1183" s="33" t="s">
        <v>5593</v>
      </c>
      <c r="K1183" s="33" t="s">
        <v>1791</v>
      </c>
      <c r="L1183" s="33" t="s">
        <v>3633</v>
      </c>
      <c r="M1183" s="33" t="s">
        <v>129</v>
      </c>
      <c r="N1183" s="33" t="s">
        <v>77</v>
      </c>
      <c r="Q1183" s="33" t="s">
        <v>4050</v>
      </c>
    </row>
    <row r="1184" spans="1:17">
      <c r="A1184" s="33" t="s">
        <v>5594</v>
      </c>
      <c r="B1184" s="33" t="s">
        <v>5595</v>
      </c>
      <c r="C1184" s="33" t="s">
        <v>1785</v>
      </c>
      <c r="D1184" s="33" t="s">
        <v>4068</v>
      </c>
      <c r="E1184" s="33" t="s">
        <v>1786</v>
      </c>
      <c r="F1184" s="33" t="s">
        <v>1815</v>
      </c>
      <c r="G1184" s="33" t="s">
        <v>1788</v>
      </c>
      <c r="H1184" s="33" t="s">
        <v>3633</v>
      </c>
      <c r="I1184" s="33" t="s">
        <v>3633</v>
      </c>
      <c r="J1184" s="33" t="s">
        <v>5596</v>
      </c>
      <c r="K1184" s="33" t="s">
        <v>1791</v>
      </c>
      <c r="L1184" s="33" t="s">
        <v>3820</v>
      </c>
      <c r="M1184" s="33" t="s">
        <v>69</v>
      </c>
      <c r="N1184" s="33" t="s">
        <v>1083</v>
      </c>
      <c r="Q1184" s="33" t="s">
        <v>4050</v>
      </c>
    </row>
    <row r="1185" spans="1:17" hidden="1">
      <c r="A1185" s="33" t="s">
        <v>5597</v>
      </c>
      <c r="B1185" s="33" t="s">
        <v>5598</v>
      </c>
      <c r="C1185" s="33" t="s">
        <v>1785</v>
      </c>
      <c r="D1185" s="33" t="s">
        <v>4068</v>
      </c>
      <c r="E1185" s="33" t="s">
        <v>1836</v>
      </c>
      <c r="F1185" s="33" t="s">
        <v>1787</v>
      </c>
      <c r="G1185" s="33" t="s">
        <v>3836</v>
      </c>
      <c r="H1185" s="33" t="s">
        <v>3847</v>
      </c>
      <c r="I1185" s="33" t="s">
        <v>3847</v>
      </c>
      <c r="J1185" s="33" t="s">
        <v>5599</v>
      </c>
      <c r="K1185" s="33" t="s">
        <v>1791</v>
      </c>
      <c r="L1185" s="33" t="s">
        <v>3820</v>
      </c>
      <c r="M1185" s="33" t="s">
        <v>193</v>
      </c>
      <c r="N1185" s="33" t="s">
        <v>1083</v>
      </c>
      <c r="Q1185" s="33" t="s">
        <v>4050</v>
      </c>
    </row>
    <row r="1186" spans="1:17">
      <c r="A1186" s="33" t="s">
        <v>5600</v>
      </c>
      <c r="B1186" s="33" t="s">
        <v>5601</v>
      </c>
      <c r="C1186" s="33" t="s">
        <v>2205</v>
      </c>
      <c r="D1186" s="33" t="s">
        <v>4068</v>
      </c>
      <c r="E1186" s="33" t="s">
        <v>1786</v>
      </c>
      <c r="F1186" s="33" t="s">
        <v>1787</v>
      </c>
      <c r="G1186" s="33" t="s">
        <v>3289</v>
      </c>
      <c r="H1186" s="33" t="s">
        <v>3847</v>
      </c>
      <c r="I1186" s="33" t="s">
        <v>3847</v>
      </c>
      <c r="J1186" s="33" t="s">
        <v>5602</v>
      </c>
      <c r="K1186" s="33" t="s">
        <v>1791</v>
      </c>
      <c r="L1186" s="33" t="s">
        <v>3820</v>
      </c>
      <c r="M1186" s="33" t="s">
        <v>82</v>
      </c>
      <c r="N1186" s="33" t="s">
        <v>77</v>
      </c>
      <c r="Q1186" s="33" t="s">
        <v>4050</v>
      </c>
    </row>
    <row r="1187" spans="1:17">
      <c r="A1187" s="33" t="s">
        <v>5603</v>
      </c>
      <c r="B1187" s="33" t="s">
        <v>5604</v>
      </c>
      <c r="C1187" s="33" t="s">
        <v>2026</v>
      </c>
      <c r="D1187" s="33" t="s">
        <v>4068</v>
      </c>
      <c r="E1187" s="33" t="s">
        <v>1786</v>
      </c>
      <c r="F1187" s="33" t="s">
        <v>1856</v>
      </c>
      <c r="G1187" s="33" t="s">
        <v>3671</v>
      </c>
      <c r="H1187" s="33" t="s">
        <v>3847</v>
      </c>
      <c r="I1187" s="33" t="s">
        <v>3847</v>
      </c>
      <c r="J1187" s="33" t="s">
        <v>5605</v>
      </c>
      <c r="K1187" s="33" t="s">
        <v>1791</v>
      </c>
      <c r="L1187" s="33" t="s">
        <v>3820</v>
      </c>
      <c r="M1187" s="33" t="s">
        <v>1402</v>
      </c>
      <c r="N1187" s="33" t="s">
        <v>3284</v>
      </c>
      <c r="Q1187" s="33" t="s">
        <v>4050</v>
      </c>
    </row>
    <row r="1188" spans="1:17">
      <c r="A1188" s="33" t="s">
        <v>5606</v>
      </c>
      <c r="B1188" s="33" t="s">
        <v>5607</v>
      </c>
      <c r="C1188" s="33" t="s">
        <v>2026</v>
      </c>
      <c r="D1188" s="33" t="s">
        <v>4068</v>
      </c>
      <c r="E1188" s="33" t="s">
        <v>1786</v>
      </c>
      <c r="F1188" s="33" t="s">
        <v>1856</v>
      </c>
      <c r="G1188" s="33" t="s">
        <v>90</v>
      </c>
      <c r="H1188" s="33" t="s">
        <v>3847</v>
      </c>
      <c r="I1188" s="33" t="s">
        <v>3847</v>
      </c>
      <c r="J1188" s="33" t="s">
        <v>5608</v>
      </c>
      <c r="K1188" s="33" t="s">
        <v>1791</v>
      </c>
      <c r="L1188" s="33" t="s">
        <v>3820</v>
      </c>
      <c r="M1188" s="33" t="s">
        <v>125</v>
      </c>
      <c r="N1188" s="33" t="s">
        <v>1397</v>
      </c>
      <c r="Q1188" s="33" t="s">
        <v>4050</v>
      </c>
    </row>
    <row r="1189" spans="1:17" hidden="1">
      <c r="A1189" s="33" t="s">
        <v>5609</v>
      </c>
      <c r="B1189" s="33" t="s">
        <v>5610</v>
      </c>
      <c r="C1189" s="33" t="s">
        <v>2026</v>
      </c>
      <c r="D1189" s="33" t="s">
        <v>4068</v>
      </c>
      <c r="E1189" s="33" t="s">
        <v>1836</v>
      </c>
      <c r="F1189" s="33" t="s">
        <v>1856</v>
      </c>
      <c r="G1189" s="33" t="s">
        <v>3671</v>
      </c>
      <c r="H1189" s="33" t="s">
        <v>3847</v>
      </c>
      <c r="I1189" s="33" t="s">
        <v>3847</v>
      </c>
      <c r="J1189" s="33" t="s">
        <v>5611</v>
      </c>
      <c r="K1189" s="33" t="s">
        <v>1791</v>
      </c>
      <c r="L1189" s="33" t="s">
        <v>3820</v>
      </c>
      <c r="M1189" s="33" t="s">
        <v>3284</v>
      </c>
      <c r="N1189" s="33" t="s">
        <v>3284</v>
      </c>
      <c r="Q1189" s="33" t="s">
        <v>4050</v>
      </c>
    </row>
    <row r="1190" spans="1:17">
      <c r="A1190" s="33" t="s">
        <v>5612</v>
      </c>
      <c r="B1190" s="33" t="s">
        <v>5613</v>
      </c>
      <c r="C1190" s="33" t="s">
        <v>2514</v>
      </c>
      <c r="D1190" s="33" t="s">
        <v>4068</v>
      </c>
      <c r="E1190" s="33" t="s">
        <v>1786</v>
      </c>
      <c r="F1190" s="33" t="s">
        <v>1787</v>
      </c>
      <c r="G1190" s="33" t="s">
        <v>5318</v>
      </c>
      <c r="H1190" s="33" t="s">
        <v>3847</v>
      </c>
      <c r="I1190" s="33" t="s">
        <v>3847</v>
      </c>
      <c r="J1190" s="33" t="s">
        <v>5614</v>
      </c>
      <c r="K1190" s="33" t="s">
        <v>1791</v>
      </c>
      <c r="L1190" s="33" t="s">
        <v>3820</v>
      </c>
      <c r="M1190" s="33" t="s">
        <v>970</v>
      </c>
      <c r="N1190" s="33" t="s">
        <v>196</v>
      </c>
      <c r="Q1190" s="33" t="s">
        <v>4050</v>
      </c>
    </row>
    <row r="1191" spans="1:17">
      <c r="A1191" s="33" t="s">
        <v>3830</v>
      </c>
      <c r="B1191" s="33" t="s">
        <v>5615</v>
      </c>
      <c r="C1191" s="33" t="s">
        <v>1980</v>
      </c>
      <c r="D1191" s="33" t="s">
        <v>4068</v>
      </c>
      <c r="E1191" s="33" t="s">
        <v>1786</v>
      </c>
      <c r="F1191" s="33" t="s">
        <v>1787</v>
      </c>
      <c r="G1191" s="33" t="s">
        <v>3832</v>
      </c>
      <c r="H1191" s="33" t="s">
        <v>3847</v>
      </c>
      <c r="I1191" s="33" t="s">
        <v>3847</v>
      </c>
      <c r="J1191" s="33" t="s">
        <v>5616</v>
      </c>
      <c r="K1191" s="33" t="s">
        <v>1791</v>
      </c>
      <c r="L1191" s="33" t="s">
        <v>945</v>
      </c>
      <c r="M1191" s="33" t="s">
        <v>69</v>
      </c>
      <c r="N1191" s="33" t="s">
        <v>69</v>
      </c>
      <c r="Q1191" s="33" t="s">
        <v>4050</v>
      </c>
    </row>
    <row r="1192" spans="1:17">
      <c r="A1192" s="33" t="s">
        <v>5617</v>
      </c>
      <c r="B1192" s="33" t="s">
        <v>5618</v>
      </c>
      <c r="C1192" s="33" t="s">
        <v>1980</v>
      </c>
      <c r="D1192" s="33" t="s">
        <v>4068</v>
      </c>
      <c r="E1192" s="33" t="s">
        <v>1786</v>
      </c>
      <c r="F1192" s="33" t="s">
        <v>1787</v>
      </c>
      <c r="G1192" s="33" t="s">
        <v>3832</v>
      </c>
      <c r="H1192" s="33" t="s">
        <v>3847</v>
      </c>
      <c r="I1192" s="33" t="s">
        <v>3847</v>
      </c>
      <c r="J1192" s="33" t="s">
        <v>5619</v>
      </c>
      <c r="K1192" s="33" t="s">
        <v>1791</v>
      </c>
      <c r="L1192" s="33" t="s">
        <v>945</v>
      </c>
      <c r="M1192" s="33" t="s">
        <v>69</v>
      </c>
      <c r="N1192" s="33" t="s">
        <v>69</v>
      </c>
      <c r="Q1192" s="33" t="s">
        <v>4050</v>
      </c>
    </row>
    <row r="1193" spans="1:17">
      <c r="A1193" s="33" t="s">
        <v>5620</v>
      </c>
      <c r="B1193" s="33" t="s">
        <v>5621</v>
      </c>
      <c r="C1193" s="33" t="s">
        <v>1785</v>
      </c>
      <c r="D1193" s="33" t="s">
        <v>4068</v>
      </c>
      <c r="E1193" s="33" t="s">
        <v>1786</v>
      </c>
      <c r="F1193" s="33" t="s">
        <v>1815</v>
      </c>
      <c r="G1193" s="33" t="s">
        <v>1788</v>
      </c>
      <c r="H1193" s="33" t="s">
        <v>5622</v>
      </c>
      <c r="I1193" s="33" t="s">
        <v>5622</v>
      </c>
      <c r="J1193" s="33" t="s">
        <v>5623</v>
      </c>
      <c r="K1193" s="33" t="s">
        <v>1791</v>
      </c>
      <c r="L1193" s="33" t="s">
        <v>945</v>
      </c>
      <c r="M1193" s="33" t="s">
        <v>82</v>
      </c>
      <c r="N1193" s="33" t="s">
        <v>1083</v>
      </c>
      <c r="Q1193" s="33" t="s">
        <v>4050</v>
      </c>
    </row>
    <row r="1194" spans="1:17" hidden="1">
      <c r="A1194" s="33" t="s">
        <v>5437</v>
      </c>
      <c r="B1194" s="33" t="s">
        <v>5624</v>
      </c>
      <c r="C1194" s="33" t="s">
        <v>1785</v>
      </c>
      <c r="D1194" s="33" t="s">
        <v>4068</v>
      </c>
      <c r="E1194" s="33" t="s">
        <v>1808</v>
      </c>
      <c r="F1194" s="33" t="s">
        <v>1787</v>
      </c>
      <c r="G1194" s="33" t="s">
        <v>3862</v>
      </c>
      <c r="H1194" s="33" t="s">
        <v>3863</v>
      </c>
      <c r="I1194" s="33" t="s">
        <v>3863</v>
      </c>
      <c r="J1194" s="33" t="s">
        <v>3864</v>
      </c>
      <c r="K1194" s="33" t="s">
        <v>1791</v>
      </c>
      <c r="L1194" s="33" t="s">
        <v>3863</v>
      </c>
      <c r="M1194" s="33" t="s">
        <v>69</v>
      </c>
      <c r="N1194" s="33" t="s">
        <v>1083</v>
      </c>
      <c r="Q1194" s="33" t="s">
        <v>4050</v>
      </c>
    </row>
    <row r="1195" spans="1:17">
      <c r="A1195" s="33" t="s">
        <v>5625</v>
      </c>
      <c r="B1195" s="33" t="s">
        <v>5626</v>
      </c>
      <c r="C1195" s="33" t="s">
        <v>4748</v>
      </c>
      <c r="D1195" s="33" t="s">
        <v>4068</v>
      </c>
      <c r="E1195" s="33" t="s">
        <v>1786</v>
      </c>
      <c r="F1195" s="33" t="s">
        <v>1787</v>
      </c>
      <c r="G1195" s="33" t="s">
        <v>5039</v>
      </c>
      <c r="H1195" s="33" t="s">
        <v>3863</v>
      </c>
      <c r="I1195" s="33" t="s">
        <v>3863</v>
      </c>
      <c r="J1195" s="33" t="s">
        <v>5627</v>
      </c>
      <c r="K1195" s="33" t="s">
        <v>1791</v>
      </c>
      <c r="L1195" s="33" t="s">
        <v>945</v>
      </c>
      <c r="M1195" s="33" t="s">
        <v>76</v>
      </c>
      <c r="N1195" s="33" t="s">
        <v>193</v>
      </c>
      <c r="Q1195" s="33" t="s">
        <v>4050</v>
      </c>
    </row>
    <row r="1196" spans="1:17" hidden="1">
      <c r="A1196" s="33" t="s">
        <v>5628</v>
      </c>
      <c r="B1196" s="33" t="s">
        <v>5629</v>
      </c>
      <c r="C1196" s="33" t="s">
        <v>4748</v>
      </c>
      <c r="D1196" s="33" t="s">
        <v>5039</v>
      </c>
      <c r="E1196" s="33" t="s">
        <v>2471</v>
      </c>
      <c r="F1196" s="33" t="s">
        <v>1787</v>
      </c>
      <c r="G1196" s="33" t="s">
        <v>5039</v>
      </c>
      <c r="H1196" s="33" t="s">
        <v>3863</v>
      </c>
      <c r="I1196" s="33" t="s">
        <v>3863</v>
      </c>
      <c r="J1196" s="33" t="s">
        <v>5630</v>
      </c>
      <c r="K1196" s="33" t="s">
        <v>2471</v>
      </c>
      <c r="L1196" s="33" t="s">
        <v>945</v>
      </c>
      <c r="M1196" s="33" t="s">
        <v>1083</v>
      </c>
      <c r="N1196" s="33" t="s">
        <v>193</v>
      </c>
      <c r="Q1196" s="33" t="s">
        <v>4050</v>
      </c>
    </row>
    <row r="1197" spans="1:17">
      <c r="A1197" s="33" t="s">
        <v>5631</v>
      </c>
      <c r="B1197" s="33" t="s">
        <v>5632</v>
      </c>
      <c r="C1197" s="33" t="s">
        <v>4748</v>
      </c>
      <c r="D1197" s="33" t="s">
        <v>4068</v>
      </c>
      <c r="E1197" s="33" t="s">
        <v>1786</v>
      </c>
      <c r="F1197" s="33" t="s">
        <v>1787</v>
      </c>
      <c r="G1197" s="33" t="s">
        <v>5039</v>
      </c>
      <c r="H1197" s="33" t="s">
        <v>3863</v>
      </c>
      <c r="I1197" s="33" t="s">
        <v>3863</v>
      </c>
      <c r="J1197" s="33" t="s">
        <v>5633</v>
      </c>
      <c r="K1197" s="33" t="s">
        <v>1791</v>
      </c>
      <c r="L1197" s="33" t="s">
        <v>945</v>
      </c>
      <c r="M1197" s="33" t="s">
        <v>1402</v>
      </c>
      <c r="N1197" s="33" t="s">
        <v>193</v>
      </c>
      <c r="Q1197" s="33" t="s">
        <v>4050</v>
      </c>
    </row>
    <row r="1198" spans="1:17" hidden="1">
      <c r="A1198" s="33" t="s">
        <v>5634</v>
      </c>
      <c r="B1198" s="33" t="s">
        <v>5635</v>
      </c>
      <c r="C1198" s="33" t="s">
        <v>2080</v>
      </c>
      <c r="D1198" s="33" t="s">
        <v>4068</v>
      </c>
      <c r="E1198" s="33" t="s">
        <v>1836</v>
      </c>
      <c r="F1198" s="33" t="s">
        <v>1787</v>
      </c>
      <c r="G1198" s="33" t="s">
        <v>5039</v>
      </c>
      <c r="H1198" s="33" t="s">
        <v>3863</v>
      </c>
      <c r="I1198" s="33" t="s">
        <v>3863</v>
      </c>
      <c r="J1198" s="33" t="s">
        <v>5636</v>
      </c>
      <c r="K1198" s="33" t="s">
        <v>1791</v>
      </c>
      <c r="L1198" s="33" t="s">
        <v>945</v>
      </c>
      <c r="M1198" s="33" t="s">
        <v>1402</v>
      </c>
      <c r="N1198" s="33" t="s">
        <v>193</v>
      </c>
      <c r="Q1198" s="33" t="s">
        <v>4050</v>
      </c>
    </row>
    <row r="1199" spans="1:17">
      <c r="A1199" s="33" t="s">
        <v>5637</v>
      </c>
      <c r="B1199" s="33" t="s">
        <v>5638</v>
      </c>
      <c r="C1199" s="33" t="s">
        <v>1980</v>
      </c>
      <c r="D1199" s="33" t="s">
        <v>4068</v>
      </c>
      <c r="E1199" s="33" t="s">
        <v>1786</v>
      </c>
      <c r="F1199" s="33" t="s">
        <v>1815</v>
      </c>
      <c r="G1199" s="33" t="s">
        <v>1981</v>
      </c>
      <c r="H1199" s="33" t="s">
        <v>3863</v>
      </c>
      <c r="I1199" s="33" t="s">
        <v>3863</v>
      </c>
      <c r="J1199" s="33" t="s">
        <v>5639</v>
      </c>
      <c r="K1199" s="33" t="s">
        <v>1791</v>
      </c>
      <c r="L1199" s="33" t="s">
        <v>945</v>
      </c>
      <c r="M1199" s="33" t="s">
        <v>82</v>
      </c>
      <c r="N1199" s="33" t="s">
        <v>69</v>
      </c>
      <c r="Q1199" s="33" t="s">
        <v>4050</v>
      </c>
    </row>
    <row r="1200" spans="1:17">
      <c r="A1200" s="33" t="s">
        <v>5640</v>
      </c>
      <c r="B1200" s="33" t="s">
        <v>5641</v>
      </c>
      <c r="C1200" s="33" t="s">
        <v>1980</v>
      </c>
      <c r="D1200" s="33" t="s">
        <v>4068</v>
      </c>
      <c r="E1200" s="33" t="s">
        <v>1786</v>
      </c>
      <c r="F1200" s="33" t="s">
        <v>1787</v>
      </c>
      <c r="G1200" s="33" t="s">
        <v>5483</v>
      </c>
      <c r="H1200" s="33" t="s">
        <v>3863</v>
      </c>
      <c r="I1200" s="33" t="s">
        <v>3863</v>
      </c>
      <c r="J1200" s="33" t="s">
        <v>5642</v>
      </c>
      <c r="K1200" s="33" t="s">
        <v>1791</v>
      </c>
      <c r="L1200" s="33" t="s">
        <v>945</v>
      </c>
      <c r="M1200" s="33" t="s">
        <v>69</v>
      </c>
      <c r="N1200" s="33" t="s">
        <v>69</v>
      </c>
      <c r="Q1200" s="33" t="s">
        <v>4050</v>
      </c>
    </row>
    <row r="1201" spans="1:17" hidden="1">
      <c r="A1201" s="33" t="s">
        <v>5643</v>
      </c>
      <c r="B1201" s="33" t="s">
        <v>5644</v>
      </c>
      <c r="C1201" s="33" t="s">
        <v>4132</v>
      </c>
      <c r="D1201" s="33" t="s">
        <v>4323</v>
      </c>
      <c r="E1201" s="33" t="s">
        <v>2471</v>
      </c>
      <c r="F1201" s="33" t="s">
        <v>1787</v>
      </c>
      <c r="G1201" s="33" t="s">
        <v>4323</v>
      </c>
      <c r="H1201" s="33" t="s">
        <v>3651</v>
      </c>
      <c r="I1201" s="33" t="s">
        <v>3651</v>
      </c>
      <c r="J1201" s="33" t="s">
        <v>5645</v>
      </c>
      <c r="K1201" s="33" t="s">
        <v>2471</v>
      </c>
      <c r="L1201" s="33" t="s">
        <v>3651</v>
      </c>
      <c r="M1201" s="33" t="s">
        <v>193</v>
      </c>
      <c r="N1201" s="33" t="s">
        <v>134</v>
      </c>
      <c r="Q1201" s="33" t="s">
        <v>4050</v>
      </c>
    </row>
    <row r="1202" spans="1:17">
      <c r="A1202" s="33" t="s">
        <v>3077</v>
      </c>
      <c r="B1202" s="33" t="s">
        <v>5646</v>
      </c>
      <c r="C1202" s="33" t="s">
        <v>1980</v>
      </c>
      <c r="D1202" s="33" t="s">
        <v>4068</v>
      </c>
      <c r="E1202" s="33" t="s">
        <v>1786</v>
      </c>
      <c r="F1202" s="33" t="s">
        <v>1787</v>
      </c>
      <c r="G1202" s="33" t="s">
        <v>2820</v>
      </c>
      <c r="H1202" s="33" t="s">
        <v>3651</v>
      </c>
      <c r="I1202" s="33" t="s">
        <v>3651</v>
      </c>
      <c r="J1202" s="33" t="s">
        <v>5647</v>
      </c>
      <c r="K1202" s="33" t="s">
        <v>1791</v>
      </c>
      <c r="L1202" s="33" t="s">
        <v>945</v>
      </c>
      <c r="M1202" s="33" t="s">
        <v>197</v>
      </c>
      <c r="N1202" s="33" t="s">
        <v>69</v>
      </c>
      <c r="Q1202" s="33" t="s">
        <v>4050</v>
      </c>
    </row>
    <row r="1203" spans="1:17" hidden="1">
      <c r="A1203" s="33" t="s">
        <v>5648</v>
      </c>
      <c r="B1203" s="33" t="s">
        <v>5649</v>
      </c>
      <c r="C1203" s="33" t="s">
        <v>1785</v>
      </c>
      <c r="D1203" s="33" t="s">
        <v>4068</v>
      </c>
      <c r="E1203" s="33" t="s">
        <v>1836</v>
      </c>
      <c r="F1203" s="33" t="s">
        <v>1787</v>
      </c>
      <c r="G1203" s="33" t="s">
        <v>1788</v>
      </c>
      <c r="H1203" s="33" t="s">
        <v>3651</v>
      </c>
      <c r="I1203" s="33" t="s">
        <v>3651</v>
      </c>
      <c r="J1203" s="33" t="s">
        <v>5650</v>
      </c>
      <c r="K1203" s="33" t="s">
        <v>1791</v>
      </c>
      <c r="L1203" s="33" t="s">
        <v>945</v>
      </c>
      <c r="M1203" s="33" t="s">
        <v>80</v>
      </c>
      <c r="N1203" s="33" t="s">
        <v>1083</v>
      </c>
      <c r="Q1203" s="33" t="s">
        <v>4050</v>
      </c>
    </row>
    <row r="1204" spans="1:17" hidden="1">
      <c r="A1204" s="33" t="s">
        <v>5648</v>
      </c>
      <c r="B1204" s="33" t="s">
        <v>5651</v>
      </c>
      <c r="C1204" s="33" t="s">
        <v>1785</v>
      </c>
      <c r="D1204" s="33" t="s">
        <v>4068</v>
      </c>
      <c r="E1204" s="33" t="s">
        <v>1836</v>
      </c>
      <c r="F1204" s="33" t="s">
        <v>1787</v>
      </c>
      <c r="G1204" s="33" t="s">
        <v>1788</v>
      </c>
      <c r="H1204" s="33" t="s">
        <v>3651</v>
      </c>
      <c r="I1204" s="33" t="s">
        <v>3651</v>
      </c>
      <c r="J1204" s="33" t="s">
        <v>5652</v>
      </c>
      <c r="K1204" s="33" t="s">
        <v>1791</v>
      </c>
      <c r="L1204" s="33" t="s">
        <v>945</v>
      </c>
      <c r="M1204" s="33" t="s">
        <v>69</v>
      </c>
      <c r="N1204" s="33" t="s">
        <v>1083</v>
      </c>
      <c r="Q1204" s="33" t="s">
        <v>4050</v>
      </c>
    </row>
    <row r="1205" spans="1:17">
      <c r="A1205" s="33" t="s">
        <v>5653</v>
      </c>
      <c r="B1205" s="33" t="s">
        <v>5654</v>
      </c>
      <c r="C1205" s="33" t="s">
        <v>2205</v>
      </c>
      <c r="D1205" s="33" t="s">
        <v>4068</v>
      </c>
      <c r="E1205" s="33" t="s">
        <v>1786</v>
      </c>
      <c r="F1205" s="33" t="s">
        <v>1787</v>
      </c>
      <c r="G1205" s="33" t="s">
        <v>4618</v>
      </c>
      <c r="H1205" s="33" t="s">
        <v>3672</v>
      </c>
      <c r="I1205" s="33" t="s">
        <v>3672</v>
      </c>
      <c r="J1205" s="33" t="s">
        <v>5655</v>
      </c>
      <c r="K1205" s="33" t="s">
        <v>1791</v>
      </c>
      <c r="L1205" s="33" t="s">
        <v>945</v>
      </c>
      <c r="M1205" s="33" t="s">
        <v>193</v>
      </c>
      <c r="N1205" s="33" t="s">
        <v>134</v>
      </c>
      <c r="Q1205" s="33" t="s">
        <v>4050</v>
      </c>
    </row>
    <row r="1206" spans="1:17" hidden="1">
      <c r="A1206" s="33" t="s">
        <v>5656</v>
      </c>
      <c r="B1206" s="33" t="s">
        <v>5657</v>
      </c>
      <c r="C1206" s="33" t="s">
        <v>4061</v>
      </c>
      <c r="D1206" s="33" t="s">
        <v>4068</v>
      </c>
      <c r="E1206" s="33" t="s">
        <v>1836</v>
      </c>
      <c r="F1206" s="33" t="s">
        <v>1815</v>
      </c>
      <c r="G1206" s="33" t="s">
        <v>5370</v>
      </c>
      <c r="H1206" s="33" t="s">
        <v>3672</v>
      </c>
      <c r="I1206" s="33" t="s">
        <v>3672</v>
      </c>
      <c r="J1206" s="33" t="s">
        <v>5658</v>
      </c>
      <c r="K1206" s="33" t="s">
        <v>1791</v>
      </c>
      <c r="L1206" s="33" t="s">
        <v>945</v>
      </c>
      <c r="M1206" s="33" t="s">
        <v>82</v>
      </c>
      <c r="N1206" s="33" t="s">
        <v>108</v>
      </c>
      <c r="Q1206" s="33" t="s">
        <v>4050</v>
      </c>
    </row>
    <row r="1207" spans="1:17">
      <c r="A1207" s="33" t="s">
        <v>5659</v>
      </c>
      <c r="B1207" s="33" t="s">
        <v>5660</v>
      </c>
      <c r="C1207" s="33" t="s">
        <v>4748</v>
      </c>
      <c r="D1207" s="33" t="s">
        <v>4068</v>
      </c>
      <c r="E1207" s="33" t="s">
        <v>1786</v>
      </c>
      <c r="F1207" s="33" t="s">
        <v>1787</v>
      </c>
      <c r="G1207" s="33" t="s">
        <v>5039</v>
      </c>
      <c r="H1207" s="33" t="s">
        <v>3672</v>
      </c>
      <c r="I1207" s="33" t="s">
        <v>3672</v>
      </c>
      <c r="J1207" s="33" t="s">
        <v>5661</v>
      </c>
      <c r="K1207" s="33" t="s">
        <v>1791</v>
      </c>
      <c r="L1207" s="33" t="s">
        <v>945</v>
      </c>
      <c r="M1207" s="33" t="s">
        <v>76</v>
      </c>
      <c r="N1207" s="33" t="s">
        <v>193</v>
      </c>
      <c r="Q1207" s="33" t="s">
        <v>4050</v>
      </c>
    </row>
    <row r="1208" spans="1:17">
      <c r="A1208" s="33" t="s">
        <v>5662</v>
      </c>
      <c r="B1208" s="33" t="s">
        <v>5663</v>
      </c>
      <c r="C1208" s="33" t="s">
        <v>4748</v>
      </c>
      <c r="D1208" s="33" t="s">
        <v>4068</v>
      </c>
      <c r="E1208" s="33" t="s">
        <v>1786</v>
      </c>
      <c r="F1208" s="33" t="s">
        <v>1787</v>
      </c>
      <c r="G1208" s="33" t="s">
        <v>5039</v>
      </c>
      <c r="H1208" s="33" t="s">
        <v>3672</v>
      </c>
      <c r="I1208" s="33" t="s">
        <v>3672</v>
      </c>
      <c r="J1208" s="33" t="s">
        <v>5664</v>
      </c>
      <c r="K1208" s="33" t="s">
        <v>1791</v>
      </c>
      <c r="L1208" s="33" t="s">
        <v>1152</v>
      </c>
      <c r="M1208" s="33" t="s">
        <v>76</v>
      </c>
      <c r="N1208" s="33" t="s">
        <v>193</v>
      </c>
      <c r="Q1208" s="33" t="s">
        <v>4050</v>
      </c>
    </row>
    <row r="1209" spans="1:17">
      <c r="A1209" s="33" t="s">
        <v>5665</v>
      </c>
      <c r="B1209" s="33" t="s">
        <v>5666</v>
      </c>
      <c r="C1209" s="33" t="s">
        <v>4132</v>
      </c>
      <c r="D1209" s="33" t="s">
        <v>4068</v>
      </c>
      <c r="E1209" s="33" t="s">
        <v>1786</v>
      </c>
      <c r="F1209" s="33" t="s">
        <v>1787</v>
      </c>
      <c r="G1209" s="33" t="s">
        <v>16</v>
      </c>
      <c r="H1209" s="33" t="s">
        <v>3672</v>
      </c>
      <c r="I1209" s="33" t="s">
        <v>3672</v>
      </c>
      <c r="J1209" s="33" t="s">
        <v>5667</v>
      </c>
      <c r="K1209" s="33" t="s">
        <v>1791</v>
      </c>
      <c r="L1209" s="33" t="s">
        <v>945</v>
      </c>
      <c r="M1209" s="33" t="s">
        <v>193</v>
      </c>
      <c r="N1209" s="33" t="s">
        <v>134</v>
      </c>
      <c r="Q1209" s="33" t="s">
        <v>4050</v>
      </c>
    </row>
    <row r="1210" spans="1:17">
      <c r="A1210" s="33" t="s">
        <v>5668</v>
      </c>
      <c r="B1210" s="33" t="s">
        <v>5669</v>
      </c>
      <c r="C1210" s="33" t="s">
        <v>3549</v>
      </c>
      <c r="D1210" s="33" t="s">
        <v>4068</v>
      </c>
      <c r="E1210" s="33" t="s">
        <v>1786</v>
      </c>
      <c r="F1210" s="33" t="s">
        <v>1787</v>
      </c>
      <c r="G1210" s="33" t="s">
        <v>3550</v>
      </c>
      <c r="H1210" s="33" t="s">
        <v>3672</v>
      </c>
      <c r="I1210" s="33" t="s">
        <v>2337</v>
      </c>
      <c r="J1210" s="33" t="s">
        <v>5670</v>
      </c>
      <c r="K1210" s="33" t="s">
        <v>1791</v>
      </c>
      <c r="L1210" s="33" t="s">
        <v>945</v>
      </c>
      <c r="M1210" s="33" t="s">
        <v>82</v>
      </c>
      <c r="N1210" s="33" t="s">
        <v>3565</v>
      </c>
      <c r="Q1210" s="33" t="s">
        <v>4050</v>
      </c>
    </row>
    <row r="1211" spans="1:17">
      <c r="A1211" s="33" t="s">
        <v>3885</v>
      </c>
      <c r="B1211" s="33" t="s">
        <v>5671</v>
      </c>
      <c r="C1211" s="33" t="s">
        <v>3205</v>
      </c>
      <c r="D1211" s="33" t="s">
        <v>4068</v>
      </c>
      <c r="E1211" s="33" t="s">
        <v>1786</v>
      </c>
      <c r="F1211" s="33" t="s">
        <v>1815</v>
      </c>
      <c r="G1211" s="33" t="s">
        <v>3883</v>
      </c>
      <c r="H1211" s="33" t="s">
        <v>3672</v>
      </c>
      <c r="I1211" s="33" t="s">
        <v>3672</v>
      </c>
      <c r="J1211" s="33" t="s">
        <v>5672</v>
      </c>
      <c r="K1211" s="33" t="s">
        <v>1791</v>
      </c>
      <c r="L1211" s="33" t="s">
        <v>945</v>
      </c>
      <c r="M1211" s="33" t="s">
        <v>3284</v>
      </c>
      <c r="N1211" s="33" t="s">
        <v>95</v>
      </c>
      <c r="Q1211" s="33" t="s">
        <v>4050</v>
      </c>
    </row>
    <row r="1212" spans="1:17">
      <c r="A1212" s="33" t="s">
        <v>5673</v>
      </c>
      <c r="B1212" s="33" t="s">
        <v>5674</v>
      </c>
      <c r="C1212" s="33" t="s">
        <v>3205</v>
      </c>
      <c r="D1212" s="33" t="s">
        <v>4068</v>
      </c>
      <c r="E1212" s="33" t="s">
        <v>1786</v>
      </c>
      <c r="F1212" s="33" t="s">
        <v>1815</v>
      </c>
      <c r="G1212" s="33" t="s">
        <v>3883</v>
      </c>
      <c r="H1212" s="33" t="s">
        <v>3672</v>
      </c>
      <c r="I1212" s="33" t="s">
        <v>3672</v>
      </c>
      <c r="J1212" s="33" t="s">
        <v>5675</v>
      </c>
      <c r="K1212" s="33" t="s">
        <v>1791</v>
      </c>
      <c r="L1212" s="33" t="s">
        <v>945</v>
      </c>
      <c r="M1212" s="33" t="s">
        <v>69</v>
      </c>
      <c r="N1212" s="33" t="s">
        <v>95</v>
      </c>
      <c r="Q1212" s="33" t="s">
        <v>4050</v>
      </c>
    </row>
    <row r="1213" spans="1:17">
      <c r="A1213" s="33" t="s">
        <v>5676</v>
      </c>
      <c r="B1213" s="33" t="s">
        <v>5677</v>
      </c>
      <c r="C1213" s="33" t="s">
        <v>2147</v>
      </c>
      <c r="D1213" s="33" t="s">
        <v>4068</v>
      </c>
      <c r="E1213" s="33" t="s">
        <v>1786</v>
      </c>
      <c r="F1213" s="33" t="s">
        <v>1815</v>
      </c>
      <c r="G1213" s="33" t="s">
        <v>4744</v>
      </c>
      <c r="H1213" s="33" t="s">
        <v>3672</v>
      </c>
      <c r="I1213" s="33" t="s">
        <v>3672</v>
      </c>
      <c r="J1213" s="33" t="s">
        <v>5678</v>
      </c>
      <c r="K1213" s="33" t="s">
        <v>1791</v>
      </c>
      <c r="L1213" s="33" t="s">
        <v>945</v>
      </c>
      <c r="M1213" s="33" t="s">
        <v>1402</v>
      </c>
      <c r="N1213" s="33" t="s">
        <v>3284</v>
      </c>
      <c r="Q1213" s="33" t="s">
        <v>4050</v>
      </c>
    </row>
    <row r="1214" spans="1:17" hidden="1">
      <c r="A1214" s="33" t="s">
        <v>5679</v>
      </c>
      <c r="B1214" s="33" t="s">
        <v>5680</v>
      </c>
      <c r="C1214" s="33" t="s">
        <v>2514</v>
      </c>
      <c r="D1214" s="33" t="s">
        <v>3680</v>
      </c>
      <c r="E1214" s="33" t="s">
        <v>2471</v>
      </c>
      <c r="F1214" s="33" t="s">
        <v>1787</v>
      </c>
      <c r="G1214" s="33" t="s">
        <v>3680</v>
      </c>
      <c r="H1214" s="33" t="s">
        <v>3685</v>
      </c>
      <c r="I1214" s="33" t="s">
        <v>3685</v>
      </c>
      <c r="J1214" s="33" t="s">
        <v>5681</v>
      </c>
      <c r="K1214" s="33" t="s">
        <v>2471</v>
      </c>
      <c r="L1214" s="33" t="s">
        <v>945</v>
      </c>
      <c r="M1214" s="33" t="s">
        <v>82</v>
      </c>
      <c r="N1214" s="33" t="s">
        <v>82</v>
      </c>
      <c r="Q1214" s="33" t="s">
        <v>4050</v>
      </c>
    </row>
    <row r="1215" spans="1:17" hidden="1">
      <c r="A1215" s="33" t="s">
        <v>5682</v>
      </c>
      <c r="B1215" s="33" t="s">
        <v>5683</v>
      </c>
      <c r="C1215" s="33" t="s">
        <v>2205</v>
      </c>
      <c r="D1215" s="33" t="s">
        <v>4068</v>
      </c>
      <c r="E1215" s="33" t="s">
        <v>1836</v>
      </c>
      <c r="F1215" s="33" t="s">
        <v>1787</v>
      </c>
      <c r="G1215" s="33" t="s">
        <v>4979</v>
      </c>
      <c r="H1215" s="33" t="s">
        <v>3685</v>
      </c>
      <c r="I1215" s="33" t="s">
        <v>3685</v>
      </c>
      <c r="J1215" s="33" t="s">
        <v>5684</v>
      </c>
      <c r="K1215" s="33" t="s">
        <v>1791</v>
      </c>
      <c r="L1215" s="33" t="s">
        <v>945</v>
      </c>
      <c r="M1215" s="33" t="s">
        <v>77</v>
      </c>
      <c r="N1215" s="33" t="s">
        <v>1355</v>
      </c>
      <c r="Q1215" s="33" t="s">
        <v>4050</v>
      </c>
    </row>
    <row r="1216" spans="1:17" hidden="1">
      <c r="A1216" s="33" t="s">
        <v>5685</v>
      </c>
      <c r="B1216" s="33" t="s">
        <v>5686</v>
      </c>
      <c r="C1216" s="33" t="s">
        <v>2205</v>
      </c>
      <c r="D1216" s="33" t="s">
        <v>4068</v>
      </c>
      <c r="E1216" s="33" t="s">
        <v>1836</v>
      </c>
      <c r="F1216" s="33" t="s">
        <v>1787</v>
      </c>
      <c r="G1216" s="33" t="s">
        <v>4979</v>
      </c>
      <c r="H1216" s="33" t="s">
        <v>3685</v>
      </c>
      <c r="I1216" s="33" t="s">
        <v>3685</v>
      </c>
      <c r="J1216" s="33" t="s">
        <v>5687</v>
      </c>
      <c r="K1216" s="33" t="s">
        <v>1791</v>
      </c>
      <c r="L1216" s="33" t="s">
        <v>945</v>
      </c>
      <c r="M1216" s="33" t="s">
        <v>77</v>
      </c>
      <c r="N1216" s="33" t="s">
        <v>1355</v>
      </c>
      <c r="Q1216" s="33" t="s">
        <v>4050</v>
      </c>
    </row>
    <row r="1217" spans="1:17" hidden="1">
      <c r="A1217" s="33" t="s">
        <v>3077</v>
      </c>
      <c r="B1217" s="33" t="s">
        <v>5688</v>
      </c>
      <c r="C1217" s="33" t="s">
        <v>1980</v>
      </c>
      <c r="D1217" s="33" t="s">
        <v>4068</v>
      </c>
      <c r="E1217" s="33" t="s">
        <v>1808</v>
      </c>
      <c r="F1217" s="33" t="s">
        <v>1787</v>
      </c>
      <c r="G1217" s="33" t="s">
        <v>2820</v>
      </c>
      <c r="H1217" s="33" t="s">
        <v>3685</v>
      </c>
      <c r="I1217" s="33" t="s">
        <v>3685</v>
      </c>
      <c r="J1217" s="33" t="s">
        <v>3866</v>
      </c>
      <c r="K1217" s="33" t="s">
        <v>1791</v>
      </c>
      <c r="L1217" s="33" t="s">
        <v>3685</v>
      </c>
      <c r="M1217" s="33" t="s">
        <v>82</v>
      </c>
      <c r="N1217" s="33" t="s">
        <v>69</v>
      </c>
      <c r="Q1217" s="33" t="s">
        <v>4050</v>
      </c>
    </row>
    <row r="1218" spans="1:17">
      <c r="A1218" s="33" t="s">
        <v>5689</v>
      </c>
      <c r="B1218" s="33" t="s">
        <v>5690</v>
      </c>
      <c r="C1218" s="33" t="s">
        <v>1980</v>
      </c>
      <c r="D1218" s="33" t="s">
        <v>4068</v>
      </c>
      <c r="E1218" s="33" t="s">
        <v>3976</v>
      </c>
      <c r="F1218" s="33" t="s">
        <v>1787</v>
      </c>
      <c r="G1218" s="33" t="s">
        <v>2820</v>
      </c>
      <c r="H1218" s="33" t="s">
        <v>3685</v>
      </c>
      <c r="I1218" s="33" t="s">
        <v>3685</v>
      </c>
      <c r="J1218" s="33" t="s">
        <v>5691</v>
      </c>
      <c r="K1218" s="33" t="s">
        <v>1791</v>
      </c>
      <c r="L1218" s="33" t="s">
        <v>945</v>
      </c>
      <c r="M1218" s="33" t="s">
        <v>193</v>
      </c>
      <c r="N1218" s="33" t="s">
        <v>69</v>
      </c>
      <c r="Q1218" s="33" t="s">
        <v>4050</v>
      </c>
    </row>
    <row r="1219" spans="1:17" hidden="1">
      <c r="A1219" s="33" t="s">
        <v>5692</v>
      </c>
      <c r="B1219" s="33" t="s">
        <v>5693</v>
      </c>
      <c r="C1219" s="33" t="s">
        <v>1785</v>
      </c>
      <c r="D1219" s="33" t="s">
        <v>4068</v>
      </c>
      <c r="E1219" s="33" t="s">
        <v>1808</v>
      </c>
      <c r="F1219" s="33" t="s">
        <v>1787</v>
      </c>
      <c r="G1219" s="33" t="s">
        <v>3836</v>
      </c>
      <c r="H1219" s="33" t="s">
        <v>2647</v>
      </c>
      <c r="I1219" s="33" t="s">
        <v>2647</v>
      </c>
      <c r="J1219" s="33" t="s">
        <v>3869</v>
      </c>
      <c r="K1219" s="33" t="s">
        <v>1791</v>
      </c>
      <c r="L1219" s="33" t="s">
        <v>2647</v>
      </c>
      <c r="M1219" s="33" t="s">
        <v>80</v>
      </c>
      <c r="N1219" s="33" t="s">
        <v>1083</v>
      </c>
      <c r="Q1219" s="33" t="s">
        <v>4050</v>
      </c>
    </row>
    <row r="1220" spans="1:17">
      <c r="A1220" s="33" t="s">
        <v>5694</v>
      </c>
      <c r="B1220" s="33" t="s">
        <v>5695</v>
      </c>
      <c r="C1220" s="33" t="s">
        <v>4061</v>
      </c>
      <c r="D1220" s="33" t="s">
        <v>4068</v>
      </c>
      <c r="E1220" s="33" t="s">
        <v>1786</v>
      </c>
      <c r="F1220" s="33" t="s">
        <v>1856</v>
      </c>
      <c r="G1220" s="33" t="s">
        <v>5370</v>
      </c>
      <c r="H1220" s="33" t="s">
        <v>2647</v>
      </c>
      <c r="I1220" s="33" t="s">
        <v>2647</v>
      </c>
      <c r="J1220" s="33" t="s">
        <v>5696</v>
      </c>
      <c r="K1220" s="33" t="s">
        <v>1791</v>
      </c>
      <c r="L1220" s="33" t="s">
        <v>945</v>
      </c>
      <c r="M1220" s="33" t="s">
        <v>43</v>
      </c>
      <c r="N1220" s="33" t="s">
        <v>108</v>
      </c>
      <c r="Q1220" s="33" t="s">
        <v>4050</v>
      </c>
    </row>
    <row r="1221" spans="1:17">
      <c r="A1221" s="33" t="s">
        <v>5697</v>
      </c>
      <c r="B1221" s="33" t="s">
        <v>5698</v>
      </c>
      <c r="C1221" s="33" t="s">
        <v>4061</v>
      </c>
      <c r="D1221" s="33" t="s">
        <v>4068</v>
      </c>
      <c r="E1221" s="33" t="s">
        <v>1786</v>
      </c>
      <c r="F1221" s="33" t="s">
        <v>1856</v>
      </c>
      <c r="G1221" s="33" t="s">
        <v>5370</v>
      </c>
      <c r="H1221" s="33" t="s">
        <v>2647</v>
      </c>
      <c r="I1221" s="33" t="s">
        <v>2647</v>
      </c>
      <c r="J1221" s="33" t="s">
        <v>5699</v>
      </c>
      <c r="K1221" s="33" t="s">
        <v>1791</v>
      </c>
      <c r="L1221" s="33" t="s">
        <v>945</v>
      </c>
      <c r="M1221" s="33" t="s">
        <v>95</v>
      </c>
      <c r="N1221" s="33" t="s">
        <v>108</v>
      </c>
      <c r="Q1221" s="33" t="s">
        <v>4050</v>
      </c>
    </row>
    <row r="1222" spans="1:17">
      <c r="A1222" s="33" t="s">
        <v>5697</v>
      </c>
      <c r="B1222" s="33" t="s">
        <v>5700</v>
      </c>
      <c r="C1222" s="33" t="s">
        <v>4061</v>
      </c>
      <c r="D1222" s="33" t="s">
        <v>4068</v>
      </c>
      <c r="E1222" s="33" t="s">
        <v>1786</v>
      </c>
      <c r="F1222" s="33" t="s">
        <v>1856</v>
      </c>
      <c r="G1222" s="33" t="s">
        <v>5370</v>
      </c>
      <c r="H1222" s="33" t="s">
        <v>2647</v>
      </c>
      <c r="I1222" s="33" t="s">
        <v>2647</v>
      </c>
      <c r="J1222" s="33" t="s">
        <v>5701</v>
      </c>
      <c r="K1222" s="33" t="s">
        <v>1791</v>
      </c>
      <c r="L1222" s="33" t="s">
        <v>945</v>
      </c>
      <c r="M1222" s="33" t="s">
        <v>69</v>
      </c>
      <c r="N1222" s="33" t="s">
        <v>108</v>
      </c>
      <c r="Q1222" s="33" t="s">
        <v>4050</v>
      </c>
    </row>
    <row r="1223" spans="1:17">
      <c r="A1223" s="33" t="s">
        <v>5662</v>
      </c>
      <c r="B1223" s="33" t="s">
        <v>5702</v>
      </c>
      <c r="C1223" s="33" t="s">
        <v>4748</v>
      </c>
      <c r="D1223" s="33" t="s">
        <v>4068</v>
      </c>
      <c r="E1223" s="33" t="s">
        <v>1786</v>
      </c>
      <c r="F1223" s="33" t="s">
        <v>1787</v>
      </c>
      <c r="G1223" s="33" t="s">
        <v>5039</v>
      </c>
      <c r="H1223" s="33" t="s">
        <v>2647</v>
      </c>
      <c r="I1223" s="33" t="s">
        <v>2647</v>
      </c>
      <c r="J1223" s="33" t="s">
        <v>5703</v>
      </c>
      <c r="K1223" s="33" t="s">
        <v>1791</v>
      </c>
      <c r="L1223" s="33" t="s">
        <v>945</v>
      </c>
      <c r="M1223" s="33" t="s">
        <v>76</v>
      </c>
      <c r="N1223" s="33" t="s">
        <v>193</v>
      </c>
      <c r="Q1223" s="33" t="s">
        <v>4050</v>
      </c>
    </row>
    <row r="1224" spans="1:17">
      <c r="A1224" s="33" t="s">
        <v>5704</v>
      </c>
      <c r="B1224" s="33" t="s">
        <v>5705</v>
      </c>
      <c r="C1224" s="33" t="s">
        <v>4748</v>
      </c>
      <c r="D1224" s="33" t="s">
        <v>4068</v>
      </c>
      <c r="E1224" s="33" t="s">
        <v>1786</v>
      </c>
      <c r="F1224" s="33" t="s">
        <v>1787</v>
      </c>
      <c r="G1224" s="33" t="s">
        <v>5039</v>
      </c>
      <c r="H1224" s="33" t="s">
        <v>2647</v>
      </c>
      <c r="I1224" s="33" t="s">
        <v>2647</v>
      </c>
      <c r="J1224" s="33" t="s">
        <v>5706</v>
      </c>
      <c r="K1224" s="33" t="s">
        <v>1791</v>
      </c>
      <c r="L1224" s="33" t="s">
        <v>945</v>
      </c>
      <c r="M1224" s="33" t="s">
        <v>76</v>
      </c>
      <c r="N1224" s="33" t="s">
        <v>193</v>
      </c>
      <c r="Q1224" s="33" t="s">
        <v>4050</v>
      </c>
    </row>
    <row r="1225" spans="1:17">
      <c r="A1225" s="33" t="s">
        <v>5707</v>
      </c>
      <c r="B1225" s="33" t="s">
        <v>5708</v>
      </c>
      <c r="C1225" s="33" t="s">
        <v>1785</v>
      </c>
      <c r="D1225" s="33" t="s">
        <v>4068</v>
      </c>
      <c r="E1225" s="33" t="s">
        <v>1786</v>
      </c>
      <c r="F1225" s="33" t="s">
        <v>1787</v>
      </c>
      <c r="G1225" s="33" t="s">
        <v>1788</v>
      </c>
      <c r="H1225" s="33" t="s">
        <v>2647</v>
      </c>
      <c r="I1225" s="33" t="s">
        <v>2647</v>
      </c>
      <c r="J1225" s="33" t="s">
        <v>5709</v>
      </c>
      <c r="K1225" s="33" t="s">
        <v>1791</v>
      </c>
      <c r="L1225" s="33" t="s">
        <v>945</v>
      </c>
      <c r="M1225" s="33" t="s">
        <v>69</v>
      </c>
      <c r="N1225" s="33" t="s">
        <v>1083</v>
      </c>
      <c r="Q1225" s="33" t="s">
        <v>4050</v>
      </c>
    </row>
    <row r="1226" spans="1:17">
      <c r="A1226" s="33" t="s">
        <v>5707</v>
      </c>
      <c r="B1226" s="33" t="s">
        <v>5710</v>
      </c>
      <c r="C1226" s="33" t="s">
        <v>1785</v>
      </c>
      <c r="D1226" s="33" t="s">
        <v>4068</v>
      </c>
      <c r="E1226" s="33" t="s">
        <v>1786</v>
      </c>
      <c r="F1226" s="33" t="s">
        <v>1787</v>
      </c>
      <c r="G1226" s="33" t="s">
        <v>1788</v>
      </c>
      <c r="H1226" s="33" t="s">
        <v>2647</v>
      </c>
      <c r="I1226" s="33" t="s">
        <v>2647</v>
      </c>
      <c r="J1226" s="33" t="s">
        <v>5711</v>
      </c>
      <c r="K1226" s="33" t="s">
        <v>1791</v>
      </c>
      <c r="L1226" s="33" t="s">
        <v>1152</v>
      </c>
      <c r="M1226" s="33" t="s">
        <v>80</v>
      </c>
      <c r="N1226" s="33" t="s">
        <v>1083</v>
      </c>
      <c r="Q1226" s="33" t="s">
        <v>4050</v>
      </c>
    </row>
    <row r="1227" spans="1:17">
      <c r="A1227" s="33" t="s">
        <v>5712</v>
      </c>
      <c r="B1227" s="33" t="s">
        <v>5713</v>
      </c>
      <c r="C1227" s="33" t="s">
        <v>4748</v>
      </c>
      <c r="D1227" s="33" t="s">
        <v>4068</v>
      </c>
      <c r="E1227" s="33" t="s">
        <v>1786</v>
      </c>
      <c r="F1227" s="33" t="s">
        <v>1787</v>
      </c>
      <c r="G1227" s="33" t="s">
        <v>5039</v>
      </c>
      <c r="H1227" s="33" t="s">
        <v>2647</v>
      </c>
      <c r="I1227" s="33" t="s">
        <v>2647</v>
      </c>
      <c r="J1227" s="33" t="s">
        <v>5714</v>
      </c>
      <c r="K1227" s="33" t="s">
        <v>1791</v>
      </c>
      <c r="L1227" s="33" t="s">
        <v>945</v>
      </c>
      <c r="M1227" s="33" t="s">
        <v>1402</v>
      </c>
      <c r="N1227" s="33" t="s">
        <v>193</v>
      </c>
      <c r="Q1227" s="33" t="s">
        <v>4050</v>
      </c>
    </row>
    <row r="1228" spans="1:17">
      <c r="A1228" s="33" t="s">
        <v>5715</v>
      </c>
      <c r="B1228" s="33" t="s">
        <v>5716</v>
      </c>
      <c r="C1228" s="33" t="s">
        <v>2026</v>
      </c>
      <c r="D1228" s="33" t="s">
        <v>4068</v>
      </c>
      <c r="E1228" s="33" t="s">
        <v>1786</v>
      </c>
      <c r="F1228" s="33" t="s">
        <v>1787</v>
      </c>
      <c r="G1228" s="33" t="s">
        <v>90</v>
      </c>
      <c r="H1228" s="33" t="s">
        <v>2647</v>
      </c>
      <c r="I1228" s="33" t="s">
        <v>2647</v>
      </c>
      <c r="J1228" s="33" t="s">
        <v>5717</v>
      </c>
      <c r="K1228" s="33" t="s">
        <v>1791</v>
      </c>
      <c r="L1228" s="33" t="s">
        <v>945</v>
      </c>
      <c r="M1228" s="33" t="s">
        <v>78</v>
      </c>
      <c r="N1228" s="33" t="s">
        <v>1397</v>
      </c>
      <c r="Q1228" s="33" t="s">
        <v>4050</v>
      </c>
    </row>
    <row r="1229" spans="1:17">
      <c r="A1229" s="33" t="s">
        <v>5718</v>
      </c>
      <c r="B1229" s="33" t="s">
        <v>5719</v>
      </c>
      <c r="C1229" s="33" t="s">
        <v>2026</v>
      </c>
      <c r="D1229" s="33" t="s">
        <v>4068</v>
      </c>
      <c r="E1229" s="33" t="s">
        <v>3976</v>
      </c>
      <c r="F1229" s="33" t="s">
        <v>1787</v>
      </c>
      <c r="G1229" s="33" t="s">
        <v>90</v>
      </c>
      <c r="H1229" s="33" t="s">
        <v>2647</v>
      </c>
      <c r="I1229" s="33" t="s">
        <v>2647</v>
      </c>
      <c r="J1229" s="33" t="s">
        <v>5720</v>
      </c>
      <c r="K1229" s="33" t="s">
        <v>1791</v>
      </c>
      <c r="L1229" s="33" t="s">
        <v>945</v>
      </c>
      <c r="M1229" s="33" t="s">
        <v>78</v>
      </c>
      <c r="N1229" s="33" t="s">
        <v>1402</v>
      </c>
      <c r="Q1229" s="33" t="s">
        <v>4050</v>
      </c>
    </row>
    <row r="1230" spans="1:17">
      <c r="A1230" s="33" t="s">
        <v>5721</v>
      </c>
      <c r="B1230" s="33" t="s">
        <v>5722</v>
      </c>
      <c r="C1230" s="33" t="s">
        <v>4940</v>
      </c>
      <c r="D1230" s="33" t="s">
        <v>4068</v>
      </c>
      <c r="E1230" s="33" t="s">
        <v>1786</v>
      </c>
      <c r="F1230" s="33" t="s">
        <v>1787</v>
      </c>
      <c r="G1230" s="33" t="s">
        <v>12</v>
      </c>
      <c r="H1230" s="33" t="s">
        <v>2647</v>
      </c>
      <c r="I1230" s="33" t="s">
        <v>2647</v>
      </c>
      <c r="J1230" s="33" t="s">
        <v>5723</v>
      </c>
      <c r="K1230" s="33" t="s">
        <v>1791</v>
      </c>
      <c r="L1230" s="33" t="s">
        <v>945</v>
      </c>
      <c r="M1230" s="33" t="s">
        <v>3310</v>
      </c>
      <c r="N1230" s="33" t="s">
        <v>11</v>
      </c>
      <c r="Q1230" s="33" t="s">
        <v>4050</v>
      </c>
    </row>
    <row r="1231" spans="1:17">
      <c r="A1231" s="33" t="s">
        <v>5704</v>
      </c>
      <c r="B1231" s="33" t="s">
        <v>5724</v>
      </c>
      <c r="C1231" s="33" t="s">
        <v>4748</v>
      </c>
      <c r="D1231" s="33" t="s">
        <v>4068</v>
      </c>
      <c r="E1231" s="33" t="s">
        <v>1786</v>
      </c>
      <c r="F1231" s="33" t="s">
        <v>1787</v>
      </c>
      <c r="G1231" s="33" t="s">
        <v>5039</v>
      </c>
      <c r="H1231" s="33" t="s">
        <v>2647</v>
      </c>
      <c r="I1231" s="33" t="s">
        <v>2647</v>
      </c>
      <c r="J1231" s="33" t="s">
        <v>5725</v>
      </c>
      <c r="K1231" s="33" t="s">
        <v>1791</v>
      </c>
      <c r="L1231" s="33" t="s">
        <v>945</v>
      </c>
      <c r="M1231" s="33" t="s">
        <v>76</v>
      </c>
      <c r="N1231" s="33" t="s">
        <v>193</v>
      </c>
      <c r="Q1231" s="33" t="s">
        <v>4050</v>
      </c>
    </row>
    <row r="1232" spans="1:17">
      <c r="A1232" s="33" t="s">
        <v>5704</v>
      </c>
      <c r="B1232" s="33" t="s">
        <v>5726</v>
      </c>
      <c r="C1232" s="33" t="s">
        <v>4748</v>
      </c>
      <c r="D1232" s="33" t="s">
        <v>4068</v>
      </c>
      <c r="E1232" s="33" t="s">
        <v>1786</v>
      </c>
      <c r="F1232" s="33" t="s">
        <v>1787</v>
      </c>
      <c r="G1232" s="33" t="s">
        <v>5039</v>
      </c>
      <c r="H1232" s="33" t="s">
        <v>2647</v>
      </c>
      <c r="I1232" s="33" t="s">
        <v>2647</v>
      </c>
      <c r="J1232" s="33" t="s">
        <v>5727</v>
      </c>
      <c r="K1232" s="33" t="s">
        <v>1791</v>
      </c>
      <c r="L1232" s="33" t="s">
        <v>945</v>
      </c>
      <c r="M1232" s="33" t="s">
        <v>76</v>
      </c>
      <c r="N1232" s="33" t="s">
        <v>193</v>
      </c>
      <c r="Q1232" s="33" t="s">
        <v>4050</v>
      </c>
    </row>
    <row r="1233" spans="1:17">
      <c r="A1233" s="33" t="s">
        <v>5728</v>
      </c>
      <c r="B1233" s="33" t="s">
        <v>5729</v>
      </c>
      <c r="C1233" s="33" t="s">
        <v>4748</v>
      </c>
      <c r="D1233" s="33" t="s">
        <v>4068</v>
      </c>
      <c r="E1233" s="33" t="s">
        <v>1786</v>
      </c>
      <c r="F1233" s="33" t="s">
        <v>1787</v>
      </c>
      <c r="G1233" s="33" t="s">
        <v>5039</v>
      </c>
      <c r="H1233" s="33" t="s">
        <v>2647</v>
      </c>
      <c r="I1233" s="33" t="s">
        <v>2647</v>
      </c>
      <c r="J1233" s="33" t="s">
        <v>5730</v>
      </c>
      <c r="K1233" s="33" t="s">
        <v>1791</v>
      </c>
      <c r="L1233" s="33" t="s">
        <v>945</v>
      </c>
      <c r="M1233" s="33" t="s">
        <v>76</v>
      </c>
      <c r="N1233" s="33" t="s">
        <v>193</v>
      </c>
      <c r="Q1233" s="33" t="s">
        <v>4050</v>
      </c>
    </row>
    <row r="1234" spans="1:17">
      <c r="A1234" s="33" t="s">
        <v>5731</v>
      </c>
      <c r="B1234" s="33" t="s">
        <v>5732</v>
      </c>
      <c r="C1234" s="33" t="s">
        <v>2026</v>
      </c>
      <c r="D1234" s="33" t="s">
        <v>4068</v>
      </c>
      <c r="E1234" s="33" t="s">
        <v>1786</v>
      </c>
      <c r="F1234" s="33" t="s">
        <v>1787</v>
      </c>
      <c r="G1234" s="33" t="s">
        <v>90</v>
      </c>
      <c r="H1234" s="33" t="s">
        <v>2647</v>
      </c>
      <c r="I1234" s="33" t="s">
        <v>2647</v>
      </c>
      <c r="J1234" s="33" t="s">
        <v>5733</v>
      </c>
      <c r="K1234" s="33" t="s">
        <v>1791</v>
      </c>
      <c r="L1234" s="33" t="s">
        <v>945</v>
      </c>
      <c r="M1234" s="33" t="s">
        <v>5147</v>
      </c>
      <c r="N1234" s="33" t="s">
        <v>1402</v>
      </c>
      <c r="Q1234" s="33" t="s">
        <v>4050</v>
      </c>
    </row>
    <row r="1235" spans="1:17" hidden="1">
      <c r="A1235" s="33" t="s">
        <v>5734</v>
      </c>
      <c r="B1235" s="33" t="s">
        <v>5735</v>
      </c>
      <c r="C1235" s="33" t="s">
        <v>1831</v>
      </c>
      <c r="D1235" s="33" t="s">
        <v>4068</v>
      </c>
      <c r="E1235" s="33" t="s">
        <v>1808</v>
      </c>
      <c r="F1235" s="33" t="s">
        <v>1787</v>
      </c>
      <c r="G1235" s="33" t="s">
        <v>1872</v>
      </c>
      <c r="H1235" s="33" t="s">
        <v>2647</v>
      </c>
      <c r="I1235" s="33" t="s">
        <v>2647</v>
      </c>
      <c r="J1235" s="33" t="s">
        <v>5736</v>
      </c>
      <c r="K1235" s="33" t="s">
        <v>1791</v>
      </c>
      <c r="L1235" s="33" t="s">
        <v>2647</v>
      </c>
      <c r="M1235" s="33" t="s">
        <v>23</v>
      </c>
      <c r="N1235" s="33" t="s">
        <v>197</v>
      </c>
      <c r="Q1235" s="33" t="s">
        <v>4050</v>
      </c>
    </row>
    <row r="1236" spans="1:17" hidden="1">
      <c r="A1236" s="33" t="s">
        <v>5737</v>
      </c>
      <c r="B1236" s="33" t="s">
        <v>5738</v>
      </c>
      <c r="C1236" s="33" t="s">
        <v>1831</v>
      </c>
      <c r="D1236" s="33" t="s">
        <v>4068</v>
      </c>
      <c r="E1236" s="33" t="s">
        <v>1808</v>
      </c>
      <c r="F1236" s="33" t="s">
        <v>1787</v>
      </c>
      <c r="G1236" s="33" t="s">
        <v>1872</v>
      </c>
      <c r="H1236" s="33" t="s">
        <v>2647</v>
      </c>
      <c r="I1236" s="33" t="s">
        <v>2647</v>
      </c>
      <c r="J1236" s="33" t="s">
        <v>5739</v>
      </c>
      <c r="K1236" s="33" t="s">
        <v>1791</v>
      </c>
      <c r="L1236" s="33" t="s">
        <v>2647</v>
      </c>
      <c r="M1236" s="33" t="s">
        <v>23</v>
      </c>
      <c r="N1236" s="33" t="s">
        <v>197</v>
      </c>
      <c r="Q1236" s="33" t="s">
        <v>4050</v>
      </c>
    </row>
    <row r="1237" spans="1:17" hidden="1">
      <c r="A1237" s="33" t="s">
        <v>5740</v>
      </c>
      <c r="B1237" s="33" t="s">
        <v>5741</v>
      </c>
      <c r="C1237" s="33" t="s">
        <v>1831</v>
      </c>
      <c r="D1237" s="33" t="s">
        <v>4068</v>
      </c>
      <c r="E1237" s="33" t="s">
        <v>1836</v>
      </c>
      <c r="F1237" s="33" t="s">
        <v>1815</v>
      </c>
      <c r="G1237" s="33" t="s">
        <v>1872</v>
      </c>
      <c r="H1237" s="33" t="s">
        <v>2647</v>
      </c>
      <c r="I1237" s="33" t="s">
        <v>2647</v>
      </c>
      <c r="J1237" s="33" t="s">
        <v>5742</v>
      </c>
      <c r="K1237" s="33" t="s">
        <v>1791</v>
      </c>
      <c r="L1237" s="33" t="s">
        <v>945</v>
      </c>
      <c r="M1237" s="33" t="s">
        <v>136</v>
      </c>
      <c r="N1237" s="33" t="s">
        <v>197</v>
      </c>
      <c r="Q1237" s="33" t="s">
        <v>4050</v>
      </c>
    </row>
    <row r="1238" spans="1:17">
      <c r="A1238" s="33" t="s">
        <v>3830</v>
      </c>
      <c r="B1238" s="33" t="s">
        <v>5743</v>
      </c>
      <c r="C1238" s="33" t="s">
        <v>1980</v>
      </c>
      <c r="D1238" s="33" t="s">
        <v>4068</v>
      </c>
      <c r="E1238" s="33" t="s">
        <v>1786</v>
      </c>
      <c r="F1238" s="33" t="s">
        <v>1787</v>
      </c>
      <c r="G1238" s="33" t="s">
        <v>3832</v>
      </c>
      <c r="H1238" s="33" t="s">
        <v>2647</v>
      </c>
      <c r="I1238" s="33" t="s">
        <v>2647</v>
      </c>
      <c r="J1238" s="33" t="s">
        <v>5744</v>
      </c>
      <c r="K1238" s="33" t="s">
        <v>1791</v>
      </c>
      <c r="L1238" s="33" t="s">
        <v>945</v>
      </c>
      <c r="M1238" s="33" t="s">
        <v>82</v>
      </c>
      <c r="N1238" s="33" t="s">
        <v>69</v>
      </c>
      <c r="Q1238" s="33" t="s">
        <v>4050</v>
      </c>
    </row>
    <row r="1239" spans="1:17" hidden="1">
      <c r="A1239" s="33" t="s">
        <v>5745</v>
      </c>
      <c r="B1239" s="33" t="s">
        <v>5746</v>
      </c>
      <c r="C1239" s="33" t="s">
        <v>1785</v>
      </c>
      <c r="D1239" s="33" t="s">
        <v>4068</v>
      </c>
      <c r="E1239" s="33" t="s">
        <v>1808</v>
      </c>
      <c r="F1239" s="33" t="s">
        <v>1787</v>
      </c>
      <c r="G1239" s="33" t="s">
        <v>3836</v>
      </c>
      <c r="H1239" s="33" t="s">
        <v>2647</v>
      </c>
      <c r="I1239" s="33" t="s">
        <v>2647</v>
      </c>
      <c r="J1239" s="33" t="s">
        <v>5747</v>
      </c>
      <c r="K1239" s="33" t="s">
        <v>1791</v>
      </c>
      <c r="L1239" s="33" t="s">
        <v>2647</v>
      </c>
      <c r="M1239" s="33" t="s">
        <v>82</v>
      </c>
      <c r="N1239" s="33" t="s">
        <v>1083</v>
      </c>
      <c r="Q1239" s="33" t="s">
        <v>4050</v>
      </c>
    </row>
    <row r="1240" spans="1:17">
      <c r="A1240" s="33" t="s">
        <v>5748</v>
      </c>
      <c r="B1240" s="33" t="s">
        <v>5749</v>
      </c>
      <c r="C1240" s="33" t="s">
        <v>1980</v>
      </c>
      <c r="D1240" s="33" t="s">
        <v>4068</v>
      </c>
      <c r="E1240" s="33" t="s">
        <v>1786</v>
      </c>
      <c r="F1240" s="33" t="s">
        <v>1787</v>
      </c>
      <c r="G1240" s="33" t="s">
        <v>3832</v>
      </c>
      <c r="H1240" s="33" t="s">
        <v>2647</v>
      </c>
      <c r="I1240" s="33" t="s">
        <v>2647</v>
      </c>
      <c r="J1240" s="33" t="s">
        <v>5750</v>
      </c>
      <c r="K1240" s="33" t="s">
        <v>1791</v>
      </c>
      <c r="L1240" s="33" t="s">
        <v>945</v>
      </c>
      <c r="M1240" s="33" t="s">
        <v>1083</v>
      </c>
      <c r="N1240" s="33" t="s">
        <v>69</v>
      </c>
      <c r="Q1240" s="33" t="s">
        <v>4050</v>
      </c>
    </row>
    <row r="1241" spans="1:17">
      <c r="A1241" s="33" t="s">
        <v>5751</v>
      </c>
      <c r="B1241" s="33" t="s">
        <v>5752</v>
      </c>
      <c r="C1241" s="33" t="s">
        <v>1785</v>
      </c>
      <c r="D1241" s="33" t="s">
        <v>1788</v>
      </c>
      <c r="E1241" s="33" t="s">
        <v>3976</v>
      </c>
      <c r="F1241" s="33" t="s">
        <v>1815</v>
      </c>
      <c r="G1241" s="33" t="s">
        <v>1788</v>
      </c>
      <c r="H1241" s="33" t="s">
        <v>5753</v>
      </c>
      <c r="I1241" s="33" t="s">
        <v>5753</v>
      </c>
      <c r="J1241" s="33" t="s">
        <v>5754</v>
      </c>
      <c r="K1241" s="33" t="s">
        <v>1791</v>
      </c>
      <c r="L1241" s="33" t="s">
        <v>3902</v>
      </c>
      <c r="M1241" s="33" t="s">
        <v>1083</v>
      </c>
      <c r="N1241" s="33" t="s">
        <v>1083</v>
      </c>
      <c r="Q1241" s="33" t="s">
        <v>4050</v>
      </c>
    </row>
    <row r="1242" spans="1:17">
      <c r="A1242" s="33" t="s">
        <v>3275</v>
      </c>
      <c r="B1242" s="33" t="s">
        <v>5755</v>
      </c>
      <c r="C1242" s="33" t="s">
        <v>1785</v>
      </c>
      <c r="D1242" s="33" t="s">
        <v>1788</v>
      </c>
      <c r="E1242" s="33" t="s">
        <v>3976</v>
      </c>
      <c r="F1242" s="33" t="s">
        <v>1815</v>
      </c>
      <c r="G1242" s="33" t="s">
        <v>1788</v>
      </c>
      <c r="H1242" s="33" t="s">
        <v>5753</v>
      </c>
      <c r="I1242" s="33" t="s">
        <v>5753</v>
      </c>
      <c r="J1242" s="33" t="s">
        <v>5756</v>
      </c>
      <c r="K1242" s="33" t="s">
        <v>1791</v>
      </c>
      <c r="L1242" s="33" t="s">
        <v>3902</v>
      </c>
      <c r="M1242" s="33" t="s">
        <v>69</v>
      </c>
      <c r="N1242" s="33" t="s">
        <v>69</v>
      </c>
      <c r="Q1242" s="33" t="s">
        <v>4050</v>
      </c>
    </row>
    <row r="1243" spans="1:17" hidden="1">
      <c r="A1243" s="33" t="s">
        <v>5757</v>
      </c>
      <c r="B1243" s="33" t="s">
        <v>5758</v>
      </c>
      <c r="C1243" s="33" t="s">
        <v>4748</v>
      </c>
      <c r="D1243" s="33" t="s">
        <v>5039</v>
      </c>
      <c r="E1243" s="33" t="s">
        <v>2471</v>
      </c>
      <c r="F1243" s="33" t="s">
        <v>1787</v>
      </c>
      <c r="G1243" s="33" t="s">
        <v>5039</v>
      </c>
      <c r="H1243" s="33" t="s">
        <v>3795</v>
      </c>
      <c r="I1243" s="33" t="s">
        <v>3795</v>
      </c>
      <c r="J1243" s="33" t="s">
        <v>5759</v>
      </c>
      <c r="K1243" s="33" t="s">
        <v>2471</v>
      </c>
      <c r="L1243" s="33" t="s">
        <v>945</v>
      </c>
      <c r="M1243" s="33" t="s">
        <v>193</v>
      </c>
      <c r="N1243" s="33" t="s">
        <v>193</v>
      </c>
      <c r="Q1243" s="33" t="s">
        <v>4050</v>
      </c>
    </row>
    <row r="1244" spans="1:17" hidden="1">
      <c r="A1244" s="33" t="s">
        <v>5760</v>
      </c>
      <c r="B1244" s="33" t="s">
        <v>5761</v>
      </c>
      <c r="C1244" s="33" t="s">
        <v>4061</v>
      </c>
      <c r="D1244" s="33" t="s">
        <v>4062</v>
      </c>
      <c r="E1244" s="33" t="s">
        <v>2471</v>
      </c>
      <c r="F1244" s="33" t="s">
        <v>1815</v>
      </c>
      <c r="G1244" s="33" t="s">
        <v>4062</v>
      </c>
      <c r="H1244" s="33" t="s">
        <v>3795</v>
      </c>
      <c r="I1244" s="33" t="s">
        <v>3795</v>
      </c>
      <c r="J1244" s="33" t="s">
        <v>5762</v>
      </c>
      <c r="K1244" s="33" t="s">
        <v>2471</v>
      </c>
      <c r="L1244" s="33" t="s">
        <v>945</v>
      </c>
      <c r="M1244" s="33" t="s">
        <v>193</v>
      </c>
      <c r="N1244" s="33" t="s">
        <v>108</v>
      </c>
      <c r="Q1244" s="33" t="s">
        <v>4050</v>
      </c>
    </row>
    <row r="1245" spans="1:17" hidden="1">
      <c r="A1245" s="33" t="s">
        <v>5763</v>
      </c>
      <c r="B1245" s="33" t="s">
        <v>5764</v>
      </c>
      <c r="C1245" s="33" t="s">
        <v>4132</v>
      </c>
      <c r="D1245" s="33" t="s">
        <v>4323</v>
      </c>
      <c r="E1245" s="33" t="s">
        <v>2471</v>
      </c>
      <c r="F1245" s="33" t="s">
        <v>1787</v>
      </c>
      <c r="G1245" s="33" t="s">
        <v>4323</v>
      </c>
      <c r="H1245" s="33" t="s">
        <v>3795</v>
      </c>
      <c r="I1245" s="33" t="s">
        <v>3795</v>
      </c>
      <c r="J1245" s="33" t="s">
        <v>5765</v>
      </c>
      <c r="K1245" s="33" t="s">
        <v>2471</v>
      </c>
      <c r="L1245" s="33" t="s">
        <v>945</v>
      </c>
      <c r="M1245" s="33" t="s">
        <v>193</v>
      </c>
      <c r="N1245" s="33" t="s">
        <v>134</v>
      </c>
      <c r="Q1245" s="33" t="s">
        <v>4050</v>
      </c>
    </row>
    <row r="1246" spans="1:17" hidden="1">
      <c r="A1246" s="33" t="s">
        <v>5766</v>
      </c>
      <c r="B1246" s="33" t="s">
        <v>5767</v>
      </c>
      <c r="C1246" s="33" t="s">
        <v>4132</v>
      </c>
      <c r="D1246" s="33" t="s">
        <v>4323</v>
      </c>
      <c r="E1246" s="33" t="s">
        <v>2471</v>
      </c>
      <c r="F1246" s="33" t="s">
        <v>1787</v>
      </c>
      <c r="G1246" s="33" t="s">
        <v>4323</v>
      </c>
      <c r="H1246" s="33" t="s">
        <v>3795</v>
      </c>
      <c r="I1246" s="33" t="s">
        <v>3795</v>
      </c>
      <c r="J1246" s="33" t="s">
        <v>5768</v>
      </c>
      <c r="K1246" s="33" t="s">
        <v>2471</v>
      </c>
      <c r="L1246" s="33" t="s">
        <v>945</v>
      </c>
      <c r="M1246" s="33" t="s">
        <v>193</v>
      </c>
      <c r="N1246" s="33" t="s">
        <v>134</v>
      </c>
      <c r="Q1246" s="33" t="s">
        <v>4050</v>
      </c>
    </row>
    <row r="1247" spans="1:17" hidden="1">
      <c r="A1247" s="33" t="s">
        <v>5757</v>
      </c>
      <c r="B1247" s="33" t="s">
        <v>5769</v>
      </c>
      <c r="C1247" s="33" t="s">
        <v>4748</v>
      </c>
      <c r="D1247" s="33" t="s">
        <v>5039</v>
      </c>
      <c r="E1247" s="33" t="s">
        <v>2471</v>
      </c>
      <c r="F1247" s="33" t="s">
        <v>1787</v>
      </c>
      <c r="G1247" s="33" t="s">
        <v>5039</v>
      </c>
      <c r="H1247" s="33" t="s">
        <v>3795</v>
      </c>
      <c r="I1247" s="33" t="s">
        <v>3795</v>
      </c>
      <c r="J1247" s="33" t="s">
        <v>5770</v>
      </c>
      <c r="K1247" s="33" t="s">
        <v>2471</v>
      </c>
      <c r="L1247" s="33" t="s">
        <v>945</v>
      </c>
      <c r="M1247" s="33" t="s">
        <v>193</v>
      </c>
      <c r="N1247" s="33" t="s">
        <v>193</v>
      </c>
      <c r="Q1247" s="33" t="s">
        <v>4050</v>
      </c>
    </row>
    <row r="1248" spans="1:17">
      <c r="A1248" s="33" t="s">
        <v>5771</v>
      </c>
      <c r="B1248" s="33" t="s">
        <v>5772</v>
      </c>
      <c r="C1248" s="33" t="s">
        <v>2147</v>
      </c>
      <c r="D1248" s="33" t="s">
        <v>4068</v>
      </c>
      <c r="E1248" s="33" t="s">
        <v>1786</v>
      </c>
      <c r="F1248" s="33" t="s">
        <v>1815</v>
      </c>
      <c r="G1248" s="33" t="s">
        <v>86</v>
      </c>
      <c r="H1248" s="33" t="s">
        <v>3795</v>
      </c>
      <c r="I1248" s="33" t="s">
        <v>3795</v>
      </c>
      <c r="J1248" s="33" t="s">
        <v>5773</v>
      </c>
      <c r="K1248" s="33" t="s">
        <v>1791</v>
      </c>
      <c r="L1248" s="33" t="s">
        <v>1206</v>
      </c>
      <c r="M1248" s="33" t="s">
        <v>84</v>
      </c>
      <c r="N1248" s="33" t="s">
        <v>1763</v>
      </c>
      <c r="Q1248" s="33" t="s">
        <v>4050</v>
      </c>
    </row>
    <row r="1249" spans="1:17" hidden="1">
      <c r="A1249" s="33" t="s">
        <v>5774</v>
      </c>
      <c r="B1249" s="33" t="s">
        <v>5775</v>
      </c>
      <c r="C1249" s="33" t="s">
        <v>4748</v>
      </c>
      <c r="D1249" s="33" t="s">
        <v>5039</v>
      </c>
      <c r="E1249" s="33" t="s">
        <v>2471</v>
      </c>
      <c r="F1249" s="33" t="s">
        <v>1787</v>
      </c>
      <c r="G1249" s="33" t="s">
        <v>5039</v>
      </c>
      <c r="H1249" s="33" t="s">
        <v>3795</v>
      </c>
      <c r="I1249" s="33" t="s">
        <v>3795</v>
      </c>
      <c r="J1249" s="33" t="s">
        <v>5776</v>
      </c>
      <c r="K1249" s="33" t="s">
        <v>2471</v>
      </c>
      <c r="L1249" s="33" t="s">
        <v>945</v>
      </c>
      <c r="M1249" s="33" t="s">
        <v>58</v>
      </c>
      <c r="N1249" s="33" t="s">
        <v>193</v>
      </c>
      <c r="Q1249" s="33" t="s">
        <v>4050</v>
      </c>
    </row>
    <row r="1250" spans="1:17" hidden="1">
      <c r="A1250" s="33" t="s">
        <v>5777</v>
      </c>
      <c r="B1250" s="33" t="s">
        <v>5778</v>
      </c>
      <c r="C1250" s="33" t="s">
        <v>3205</v>
      </c>
      <c r="D1250" s="33" t="s">
        <v>3206</v>
      </c>
      <c r="E1250" s="33" t="s">
        <v>2471</v>
      </c>
      <c r="F1250" s="33" t="s">
        <v>1787</v>
      </c>
      <c r="G1250" s="33" t="s">
        <v>3206</v>
      </c>
      <c r="H1250" s="33" t="s">
        <v>5779</v>
      </c>
      <c r="I1250" s="33" t="s">
        <v>5779</v>
      </c>
      <c r="J1250" s="33" t="s">
        <v>5780</v>
      </c>
      <c r="K1250" s="33" t="s">
        <v>2471</v>
      </c>
      <c r="L1250" s="33" t="s">
        <v>945</v>
      </c>
      <c r="M1250" s="33" t="s">
        <v>970</v>
      </c>
      <c r="N1250" s="33" t="s">
        <v>197</v>
      </c>
      <c r="Q1250" s="33" t="s">
        <v>4050</v>
      </c>
    </row>
    <row r="1251" spans="1:17" hidden="1">
      <c r="A1251" s="33" t="s">
        <v>5285</v>
      </c>
      <c r="B1251" s="33" t="s">
        <v>5781</v>
      </c>
      <c r="C1251" s="33" t="s">
        <v>2205</v>
      </c>
      <c r="D1251" s="33" t="s">
        <v>5014</v>
      </c>
      <c r="E1251" s="33" t="s">
        <v>2471</v>
      </c>
      <c r="F1251" s="33" t="s">
        <v>1787</v>
      </c>
      <c r="G1251" s="33" t="s">
        <v>5014</v>
      </c>
      <c r="H1251" s="33" t="s">
        <v>5779</v>
      </c>
      <c r="I1251" s="33" t="s">
        <v>5779</v>
      </c>
      <c r="J1251" s="33" t="s">
        <v>5782</v>
      </c>
      <c r="K1251" s="33" t="s">
        <v>2471</v>
      </c>
      <c r="L1251" s="33" t="s">
        <v>945</v>
      </c>
      <c r="M1251" s="33" t="s">
        <v>195</v>
      </c>
      <c r="N1251" s="33" t="s">
        <v>77</v>
      </c>
      <c r="Q1251" s="33" t="s">
        <v>4050</v>
      </c>
    </row>
    <row r="1252" spans="1:17" hidden="1">
      <c r="A1252" s="33" t="s">
        <v>5783</v>
      </c>
      <c r="B1252" s="33" t="s">
        <v>5784</v>
      </c>
      <c r="C1252" s="33" t="s">
        <v>2205</v>
      </c>
      <c r="D1252" s="33" t="s">
        <v>5014</v>
      </c>
      <c r="E1252" s="33" t="s">
        <v>2471</v>
      </c>
      <c r="F1252" s="33" t="s">
        <v>1787</v>
      </c>
      <c r="G1252" s="33" t="s">
        <v>5014</v>
      </c>
      <c r="H1252" s="33" t="s">
        <v>5779</v>
      </c>
      <c r="I1252" s="33" t="s">
        <v>5779</v>
      </c>
      <c r="J1252" s="33" t="s">
        <v>5785</v>
      </c>
      <c r="K1252" s="33" t="s">
        <v>2471</v>
      </c>
      <c r="L1252" s="33" t="s">
        <v>945</v>
      </c>
      <c r="M1252" s="33" t="s">
        <v>195</v>
      </c>
      <c r="N1252" s="33" t="s">
        <v>77</v>
      </c>
      <c r="Q1252" s="33" t="s">
        <v>4050</v>
      </c>
    </row>
    <row r="1253" spans="1:17" hidden="1">
      <c r="A1253" s="33" t="s">
        <v>5786</v>
      </c>
      <c r="B1253" s="33" t="s">
        <v>5787</v>
      </c>
      <c r="C1253" s="33" t="s">
        <v>2205</v>
      </c>
      <c r="D1253" s="33" t="s">
        <v>3289</v>
      </c>
      <c r="E1253" s="33" t="s">
        <v>2471</v>
      </c>
      <c r="F1253" s="33" t="s">
        <v>1787</v>
      </c>
      <c r="G1253" s="33" t="s">
        <v>3289</v>
      </c>
      <c r="H1253" s="33" t="s">
        <v>5779</v>
      </c>
      <c r="I1253" s="33" t="s">
        <v>5779</v>
      </c>
      <c r="J1253" s="33" t="s">
        <v>5788</v>
      </c>
      <c r="K1253" s="33" t="s">
        <v>2471</v>
      </c>
      <c r="L1253" s="33" t="s">
        <v>945</v>
      </c>
      <c r="M1253" s="33" t="s">
        <v>134</v>
      </c>
      <c r="N1253" s="33" t="s">
        <v>77</v>
      </c>
      <c r="Q1253" s="33" t="s">
        <v>4050</v>
      </c>
    </row>
    <row r="1254" spans="1:17">
      <c r="A1254" s="33" t="s">
        <v>5789</v>
      </c>
      <c r="B1254" s="33" t="s">
        <v>5790</v>
      </c>
      <c r="C1254" s="33" t="s">
        <v>4381</v>
      </c>
      <c r="D1254" s="33" t="s">
        <v>4068</v>
      </c>
      <c r="E1254" s="33" t="s">
        <v>1786</v>
      </c>
      <c r="F1254" s="33" t="s">
        <v>1856</v>
      </c>
      <c r="G1254" s="33" t="s">
        <v>20</v>
      </c>
      <c r="H1254" s="33" t="s">
        <v>5779</v>
      </c>
      <c r="I1254" s="33" t="s">
        <v>5779</v>
      </c>
      <c r="J1254" s="33" t="s">
        <v>5791</v>
      </c>
      <c r="K1254" s="33" t="s">
        <v>1791</v>
      </c>
      <c r="L1254" s="33" t="s">
        <v>1206</v>
      </c>
      <c r="M1254" s="33" t="s">
        <v>95</v>
      </c>
      <c r="N1254" s="33" t="s">
        <v>19</v>
      </c>
      <c r="Q1254" s="33" t="s">
        <v>4050</v>
      </c>
    </row>
    <row r="1255" spans="1:17">
      <c r="A1255" s="33" t="s">
        <v>5789</v>
      </c>
      <c r="B1255" s="33" t="s">
        <v>5792</v>
      </c>
      <c r="C1255" s="33" t="s">
        <v>4381</v>
      </c>
      <c r="D1255" s="33" t="s">
        <v>4068</v>
      </c>
      <c r="E1255" s="33" t="s">
        <v>1786</v>
      </c>
      <c r="F1255" s="33" t="s">
        <v>1815</v>
      </c>
      <c r="G1255" s="33" t="s">
        <v>20</v>
      </c>
      <c r="H1255" s="33" t="s">
        <v>5779</v>
      </c>
      <c r="I1255" s="33" t="s">
        <v>5779</v>
      </c>
      <c r="J1255" s="33" t="s">
        <v>5793</v>
      </c>
      <c r="K1255" s="33" t="s">
        <v>1791</v>
      </c>
      <c r="L1255" s="33" t="s">
        <v>4039</v>
      </c>
      <c r="M1255" s="33" t="s">
        <v>1078</v>
      </c>
      <c r="N1255" s="33" t="s">
        <v>19</v>
      </c>
      <c r="Q1255" s="33" t="s">
        <v>4050</v>
      </c>
    </row>
    <row r="1256" spans="1:17">
      <c r="A1256" s="33" t="s">
        <v>5789</v>
      </c>
      <c r="B1256" s="33" t="s">
        <v>5794</v>
      </c>
      <c r="C1256" s="33" t="s">
        <v>4381</v>
      </c>
      <c r="D1256" s="33" t="s">
        <v>4068</v>
      </c>
      <c r="E1256" s="33" t="s">
        <v>1786</v>
      </c>
      <c r="F1256" s="33" t="s">
        <v>1815</v>
      </c>
      <c r="G1256" s="33" t="s">
        <v>20</v>
      </c>
      <c r="H1256" s="33" t="s">
        <v>5779</v>
      </c>
      <c r="I1256" s="33" t="s">
        <v>5779</v>
      </c>
      <c r="J1256" s="33" t="s">
        <v>5795</v>
      </c>
      <c r="K1256" s="33" t="s">
        <v>1791</v>
      </c>
      <c r="L1256" s="33" t="s">
        <v>4039</v>
      </c>
      <c r="M1256" s="33" t="s">
        <v>193</v>
      </c>
      <c r="N1256" s="33" t="s">
        <v>19</v>
      </c>
      <c r="Q1256" s="33" t="s">
        <v>4050</v>
      </c>
    </row>
    <row r="1257" spans="1:17">
      <c r="A1257" s="33" t="s">
        <v>5796</v>
      </c>
      <c r="B1257" s="33" t="s">
        <v>5797</v>
      </c>
      <c r="C1257" s="33" t="s">
        <v>1785</v>
      </c>
      <c r="D1257" s="33" t="s">
        <v>1788</v>
      </c>
      <c r="E1257" s="33" t="s">
        <v>3976</v>
      </c>
      <c r="F1257" s="33" t="s">
        <v>1787</v>
      </c>
      <c r="G1257" s="33" t="s">
        <v>1788</v>
      </c>
      <c r="H1257" s="33" t="s">
        <v>5779</v>
      </c>
      <c r="I1257" s="33" t="s">
        <v>5779</v>
      </c>
      <c r="J1257" s="33" t="s">
        <v>5798</v>
      </c>
      <c r="K1257" s="33" t="s">
        <v>1791</v>
      </c>
      <c r="L1257" s="33" t="s">
        <v>3902</v>
      </c>
      <c r="M1257" s="33" t="s">
        <v>80</v>
      </c>
      <c r="N1257" s="33" t="s">
        <v>1083</v>
      </c>
      <c r="Q1257" s="33" t="s">
        <v>4050</v>
      </c>
    </row>
    <row r="1258" spans="1:17">
      <c r="A1258" s="33" t="s">
        <v>5789</v>
      </c>
      <c r="B1258" s="33" t="s">
        <v>5799</v>
      </c>
      <c r="C1258" s="33" t="s">
        <v>4381</v>
      </c>
      <c r="D1258" s="33" t="s">
        <v>4068</v>
      </c>
      <c r="E1258" s="33" t="s">
        <v>1786</v>
      </c>
      <c r="F1258" s="33" t="s">
        <v>1815</v>
      </c>
      <c r="G1258" s="33" t="s">
        <v>20</v>
      </c>
      <c r="H1258" s="33" t="s">
        <v>5779</v>
      </c>
      <c r="I1258" s="33" t="s">
        <v>5779</v>
      </c>
      <c r="J1258" s="33" t="s">
        <v>5800</v>
      </c>
      <c r="K1258" s="33" t="s">
        <v>1791</v>
      </c>
      <c r="L1258" s="33" t="s">
        <v>4039</v>
      </c>
      <c r="M1258" s="33" t="s">
        <v>1064</v>
      </c>
      <c r="N1258" s="33" t="s">
        <v>19</v>
      </c>
      <c r="Q1258" s="33" t="s">
        <v>4050</v>
      </c>
    </row>
    <row r="1259" spans="1:17">
      <c r="A1259" s="33" t="s">
        <v>5234</v>
      </c>
      <c r="B1259" s="33" t="s">
        <v>5801</v>
      </c>
      <c r="C1259" s="33" t="s">
        <v>4381</v>
      </c>
      <c r="D1259" s="33" t="s">
        <v>4068</v>
      </c>
      <c r="E1259" s="33" t="s">
        <v>1786</v>
      </c>
      <c r="F1259" s="33" t="s">
        <v>1815</v>
      </c>
      <c r="G1259" s="33" t="s">
        <v>20</v>
      </c>
      <c r="H1259" s="33" t="s">
        <v>3564</v>
      </c>
      <c r="I1259" s="33" t="s">
        <v>3564</v>
      </c>
      <c r="J1259" s="33" t="s">
        <v>5802</v>
      </c>
      <c r="K1259" s="33" t="s">
        <v>1791</v>
      </c>
      <c r="L1259" s="33" t="s">
        <v>4039</v>
      </c>
      <c r="M1259" s="33" t="s">
        <v>1402</v>
      </c>
      <c r="N1259" s="33" t="s">
        <v>19</v>
      </c>
      <c r="Q1259" s="33" t="s">
        <v>4050</v>
      </c>
    </row>
    <row r="1260" spans="1:17">
      <c r="A1260" s="33" t="s">
        <v>5234</v>
      </c>
      <c r="B1260" s="33" t="s">
        <v>5803</v>
      </c>
      <c r="C1260" s="33" t="s">
        <v>4381</v>
      </c>
      <c r="D1260" s="33" t="s">
        <v>4068</v>
      </c>
      <c r="E1260" s="33" t="s">
        <v>1786</v>
      </c>
      <c r="F1260" s="33" t="s">
        <v>1815</v>
      </c>
      <c r="G1260" s="33" t="s">
        <v>20</v>
      </c>
      <c r="H1260" s="33" t="s">
        <v>3564</v>
      </c>
      <c r="I1260" s="33" t="s">
        <v>3564</v>
      </c>
      <c r="J1260" s="33" t="s">
        <v>5804</v>
      </c>
      <c r="K1260" s="33" t="s">
        <v>1791</v>
      </c>
      <c r="L1260" s="33" t="s">
        <v>4039</v>
      </c>
      <c r="M1260" s="33" t="s">
        <v>61</v>
      </c>
      <c r="N1260" s="33" t="s">
        <v>19</v>
      </c>
      <c r="Q1260" s="33" t="s">
        <v>4050</v>
      </c>
    </row>
    <row r="1261" spans="1:17">
      <c r="A1261" s="33" t="s">
        <v>5234</v>
      </c>
      <c r="B1261" s="33" t="s">
        <v>5805</v>
      </c>
      <c r="C1261" s="33" t="s">
        <v>4381</v>
      </c>
      <c r="D1261" s="33" t="s">
        <v>4068</v>
      </c>
      <c r="E1261" s="33" t="s">
        <v>1786</v>
      </c>
      <c r="F1261" s="33" t="s">
        <v>1815</v>
      </c>
      <c r="G1261" s="33" t="s">
        <v>20</v>
      </c>
      <c r="H1261" s="33" t="s">
        <v>3564</v>
      </c>
      <c r="I1261" s="33" t="s">
        <v>3564</v>
      </c>
      <c r="J1261" s="33" t="s">
        <v>5806</v>
      </c>
      <c r="K1261" s="33" t="s">
        <v>1791</v>
      </c>
      <c r="L1261" s="33" t="s">
        <v>4039</v>
      </c>
      <c r="M1261" s="33" t="s">
        <v>3284</v>
      </c>
      <c r="N1261" s="33" t="s">
        <v>19</v>
      </c>
      <c r="Q1261" s="33" t="s">
        <v>4050</v>
      </c>
    </row>
    <row r="1262" spans="1:17">
      <c r="A1262" s="33" t="s">
        <v>5234</v>
      </c>
      <c r="B1262" s="33" t="s">
        <v>5807</v>
      </c>
      <c r="C1262" s="33" t="s">
        <v>4381</v>
      </c>
      <c r="D1262" s="33" t="s">
        <v>4068</v>
      </c>
      <c r="E1262" s="33" t="s">
        <v>1786</v>
      </c>
      <c r="F1262" s="33" t="s">
        <v>1815</v>
      </c>
      <c r="G1262" s="33" t="s">
        <v>20</v>
      </c>
      <c r="H1262" s="33" t="s">
        <v>3564</v>
      </c>
      <c r="I1262" s="33" t="s">
        <v>3564</v>
      </c>
      <c r="J1262" s="33" t="s">
        <v>5808</v>
      </c>
      <c r="K1262" s="33" t="s">
        <v>1791</v>
      </c>
      <c r="L1262" s="33" t="s">
        <v>4039</v>
      </c>
      <c r="M1262" s="33" t="s">
        <v>69</v>
      </c>
      <c r="N1262" s="33" t="s">
        <v>19</v>
      </c>
      <c r="Q1262" s="33" t="s">
        <v>4050</v>
      </c>
    </row>
    <row r="1263" spans="1:17" hidden="1">
      <c r="A1263" s="33" t="s">
        <v>5809</v>
      </c>
      <c r="B1263" s="33" t="s">
        <v>5810</v>
      </c>
      <c r="C1263" s="33" t="s">
        <v>2205</v>
      </c>
      <c r="D1263" s="33" t="s">
        <v>3289</v>
      </c>
      <c r="E1263" s="33" t="s">
        <v>2471</v>
      </c>
      <c r="F1263" s="33" t="s">
        <v>1787</v>
      </c>
      <c r="G1263" s="33" t="s">
        <v>3289</v>
      </c>
      <c r="H1263" s="33" t="s">
        <v>3564</v>
      </c>
      <c r="I1263" s="33" t="s">
        <v>3564</v>
      </c>
      <c r="J1263" s="33" t="s">
        <v>5811</v>
      </c>
      <c r="K1263" s="33" t="s">
        <v>2471</v>
      </c>
      <c r="L1263" s="33" t="s">
        <v>945</v>
      </c>
      <c r="M1263" s="33" t="s">
        <v>134</v>
      </c>
      <c r="N1263" s="33" t="s">
        <v>77</v>
      </c>
      <c r="Q1263" s="33" t="s">
        <v>4050</v>
      </c>
    </row>
    <row r="1264" spans="1:17" hidden="1">
      <c r="A1264" s="33" t="s">
        <v>5812</v>
      </c>
      <c r="B1264" s="33" t="s">
        <v>5813</v>
      </c>
      <c r="C1264" s="33" t="s">
        <v>3205</v>
      </c>
      <c r="D1264" s="33" t="s">
        <v>3883</v>
      </c>
      <c r="E1264" s="33" t="s">
        <v>2471</v>
      </c>
      <c r="F1264" s="33" t="s">
        <v>1864</v>
      </c>
      <c r="G1264" s="33" t="s">
        <v>3883</v>
      </c>
      <c r="H1264" s="33" t="s">
        <v>3564</v>
      </c>
      <c r="I1264" s="33" t="s">
        <v>3564</v>
      </c>
      <c r="J1264" s="33" t="s">
        <v>5814</v>
      </c>
      <c r="K1264" s="33" t="s">
        <v>2471</v>
      </c>
      <c r="L1264" s="33" t="s">
        <v>945</v>
      </c>
      <c r="M1264" s="33" t="s">
        <v>69</v>
      </c>
      <c r="N1264" s="33" t="s">
        <v>95</v>
      </c>
      <c r="Q1264" s="33" t="s">
        <v>4050</v>
      </c>
    </row>
    <row r="1265" spans="1:17" hidden="1">
      <c r="A1265" s="33" t="s">
        <v>3830</v>
      </c>
      <c r="B1265" s="33" t="s">
        <v>5815</v>
      </c>
      <c r="C1265" s="33" t="s">
        <v>1980</v>
      </c>
      <c r="D1265" s="33" t="s">
        <v>5483</v>
      </c>
      <c r="E1265" s="33" t="s">
        <v>2471</v>
      </c>
      <c r="F1265" s="33" t="s">
        <v>1787</v>
      </c>
      <c r="G1265" s="33" t="s">
        <v>5483</v>
      </c>
      <c r="H1265" s="33" t="s">
        <v>3564</v>
      </c>
      <c r="I1265" s="33" t="s">
        <v>3564</v>
      </c>
      <c r="J1265" s="33" t="s">
        <v>5816</v>
      </c>
      <c r="K1265" s="33" t="s">
        <v>2471</v>
      </c>
      <c r="L1265" s="33" t="s">
        <v>945</v>
      </c>
      <c r="M1265" s="33" t="s">
        <v>69</v>
      </c>
      <c r="N1265" s="33" t="s">
        <v>69</v>
      </c>
      <c r="Q1265" s="33" t="s">
        <v>4050</v>
      </c>
    </row>
    <row r="1266" spans="1:17" hidden="1">
      <c r="A1266" s="33" t="s">
        <v>3830</v>
      </c>
      <c r="B1266" s="33" t="s">
        <v>5817</v>
      </c>
      <c r="C1266" s="33" t="s">
        <v>1980</v>
      </c>
      <c r="D1266" s="33" t="s">
        <v>5483</v>
      </c>
      <c r="E1266" s="33" t="s">
        <v>2471</v>
      </c>
      <c r="F1266" s="33" t="s">
        <v>1787</v>
      </c>
      <c r="G1266" s="33" t="s">
        <v>5483</v>
      </c>
      <c r="H1266" s="33" t="s">
        <v>3564</v>
      </c>
      <c r="I1266" s="33" t="s">
        <v>3564</v>
      </c>
      <c r="J1266" s="33" t="s">
        <v>5818</v>
      </c>
      <c r="K1266" s="33" t="s">
        <v>2471</v>
      </c>
      <c r="L1266" s="33" t="s">
        <v>945</v>
      </c>
      <c r="M1266" s="33" t="s">
        <v>69</v>
      </c>
      <c r="N1266" s="33" t="s">
        <v>69</v>
      </c>
      <c r="Q1266" s="33" t="s">
        <v>4050</v>
      </c>
    </row>
    <row r="1267" spans="1:17" hidden="1">
      <c r="A1267" s="33" t="s">
        <v>3830</v>
      </c>
      <c r="B1267" s="33" t="s">
        <v>5819</v>
      </c>
      <c r="C1267" s="33" t="s">
        <v>1980</v>
      </c>
      <c r="D1267" s="33" t="s">
        <v>5483</v>
      </c>
      <c r="E1267" s="33" t="s">
        <v>2471</v>
      </c>
      <c r="F1267" s="33" t="s">
        <v>1787</v>
      </c>
      <c r="G1267" s="33" t="s">
        <v>5483</v>
      </c>
      <c r="H1267" s="33" t="s">
        <v>3564</v>
      </c>
      <c r="I1267" s="33" t="s">
        <v>3564</v>
      </c>
      <c r="J1267" s="33" t="s">
        <v>5820</v>
      </c>
      <c r="K1267" s="33" t="s">
        <v>2471</v>
      </c>
      <c r="L1267" s="33" t="s">
        <v>945</v>
      </c>
      <c r="M1267" s="33" t="s">
        <v>69</v>
      </c>
      <c r="N1267" s="33" t="s">
        <v>69</v>
      </c>
      <c r="Q1267" s="33" t="s">
        <v>4050</v>
      </c>
    </row>
    <row r="1268" spans="1:17" hidden="1">
      <c r="A1268" s="33" t="s">
        <v>5821</v>
      </c>
      <c r="B1268" s="33" t="s">
        <v>5822</v>
      </c>
      <c r="C1268" s="33" t="s">
        <v>3205</v>
      </c>
      <c r="D1268" s="33" t="s">
        <v>96</v>
      </c>
      <c r="E1268" s="33" t="s">
        <v>2471</v>
      </c>
      <c r="F1268" s="33" t="s">
        <v>1815</v>
      </c>
      <c r="G1268" s="33" t="s">
        <v>96</v>
      </c>
      <c r="H1268" s="33" t="s">
        <v>3820</v>
      </c>
      <c r="I1268" s="33" t="s">
        <v>3820</v>
      </c>
      <c r="J1268" s="33" t="s">
        <v>5823</v>
      </c>
      <c r="K1268" s="33" t="s">
        <v>2471</v>
      </c>
      <c r="L1268" s="33" t="s">
        <v>945</v>
      </c>
      <c r="M1268" s="33" t="s">
        <v>3310</v>
      </c>
      <c r="N1268" s="33" t="s">
        <v>95</v>
      </c>
      <c r="Q1268" s="33" t="s">
        <v>4050</v>
      </c>
    </row>
    <row r="1269" spans="1:17" hidden="1">
      <c r="A1269" s="33" t="s">
        <v>5824</v>
      </c>
      <c r="B1269" s="33" t="s">
        <v>5825</v>
      </c>
      <c r="C1269" s="33" t="s">
        <v>3205</v>
      </c>
      <c r="D1269" s="33" t="s">
        <v>96</v>
      </c>
      <c r="E1269" s="33" t="s">
        <v>2471</v>
      </c>
      <c r="F1269" s="33" t="s">
        <v>1815</v>
      </c>
      <c r="G1269" s="33" t="s">
        <v>96</v>
      </c>
      <c r="H1269" s="33" t="s">
        <v>3820</v>
      </c>
      <c r="I1269" s="33" t="s">
        <v>3820</v>
      </c>
      <c r="J1269" s="33" t="s">
        <v>5826</v>
      </c>
      <c r="K1269" s="33" t="s">
        <v>2471</v>
      </c>
      <c r="L1269" s="33" t="s">
        <v>945</v>
      </c>
      <c r="M1269" s="33" t="s">
        <v>125</v>
      </c>
      <c r="N1269" s="33" t="s">
        <v>95</v>
      </c>
      <c r="Q1269" s="33" t="s">
        <v>4050</v>
      </c>
    </row>
    <row r="1270" spans="1:17" hidden="1">
      <c r="A1270" s="33" t="s">
        <v>5827</v>
      </c>
      <c r="B1270" s="33" t="s">
        <v>5828</v>
      </c>
      <c r="C1270" s="33" t="s">
        <v>3205</v>
      </c>
      <c r="D1270" s="33" t="s">
        <v>96</v>
      </c>
      <c r="E1270" s="33" t="s">
        <v>2471</v>
      </c>
      <c r="F1270" s="33" t="s">
        <v>1815</v>
      </c>
      <c r="G1270" s="33" t="s">
        <v>96</v>
      </c>
      <c r="H1270" s="33" t="s">
        <v>3820</v>
      </c>
      <c r="I1270" s="33" t="s">
        <v>3820</v>
      </c>
      <c r="J1270" s="33" t="s">
        <v>5829</v>
      </c>
      <c r="K1270" s="33" t="s">
        <v>2471</v>
      </c>
      <c r="L1270" s="33" t="s">
        <v>945</v>
      </c>
      <c r="M1270" s="33" t="s">
        <v>125</v>
      </c>
      <c r="N1270" s="33" t="s">
        <v>95</v>
      </c>
      <c r="Q1270" s="33" t="s">
        <v>4050</v>
      </c>
    </row>
    <row r="1271" spans="1:17" hidden="1">
      <c r="A1271" s="33" t="s">
        <v>5830</v>
      </c>
      <c r="B1271" s="33" t="s">
        <v>5831</v>
      </c>
      <c r="C1271" s="33" t="s">
        <v>3205</v>
      </c>
      <c r="D1271" s="33" t="s">
        <v>4068</v>
      </c>
      <c r="E1271" s="33" t="s">
        <v>1836</v>
      </c>
      <c r="F1271" s="33" t="s">
        <v>1815</v>
      </c>
      <c r="G1271" s="33" t="s">
        <v>96</v>
      </c>
      <c r="H1271" s="33" t="s">
        <v>3820</v>
      </c>
      <c r="I1271" s="33" t="s">
        <v>3820</v>
      </c>
      <c r="J1271" s="33" t="s">
        <v>5832</v>
      </c>
      <c r="K1271" s="33" t="s">
        <v>1791</v>
      </c>
      <c r="L1271" s="33" t="s">
        <v>945</v>
      </c>
      <c r="M1271" s="33" t="s">
        <v>125</v>
      </c>
      <c r="N1271" s="33" t="s">
        <v>95</v>
      </c>
      <c r="Q1271" s="33" t="s">
        <v>4050</v>
      </c>
    </row>
    <row r="1272" spans="1:17" hidden="1">
      <c r="A1272" s="33" t="s">
        <v>5833</v>
      </c>
      <c r="B1272" s="33" t="s">
        <v>5834</v>
      </c>
      <c r="C1272" s="33" t="s">
        <v>3205</v>
      </c>
      <c r="D1272" s="33" t="s">
        <v>96</v>
      </c>
      <c r="E1272" s="33" t="s">
        <v>2471</v>
      </c>
      <c r="F1272" s="33" t="s">
        <v>1856</v>
      </c>
      <c r="G1272" s="33" t="s">
        <v>96</v>
      </c>
      <c r="H1272" s="33" t="s">
        <v>3820</v>
      </c>
      <c r="I1272" s="33" t="s">
        <v>3820</v>
      </c>
      <c r="J1272" s="33" t="s">
        <v>5835</v>
      </c>
      <c r="K1272" s="33" t="s">
        <v>2471</v>
      </c>
      <c r="L1272" s="33" t="s">
        <v>945</v>
      </c>
      <c r="M1272" s="33" t="s">
        <v>5147</v>
      </c>
      <c r="N1272" s="33" t="s">
        <v>95</v>
      </c>
      <c r="Q1272" s="33" t="s">
        <v>4050</v>
      </c>
    </row>
    <row r="1273" spans="1:17" hidden="1">
      <c r="A1273" s="33" t="s">
        <v>5836</v>
      </c>
      <c r="B1273" s="33" t="s">
        <v>5837</v>
      </c>
      <c r="C1273" s="33" t="s">
        <v>2205</v>
      </c>
      <c r="D1273" s="33" t="s">
        <v>3289</v>
      </c>
      <c r="E1273" s="33" t="s">
        <v>2471</v>
      </c>
      <c r="F1273" s="33" t="s">
        <v>1787</v>
      </c>
      <c r="G1273" s="33" t="s">
        <v>3289</v>
      </c>
      <c r="H1273" s="33" t="s">
        <v>3820</v>
      </c>
      <c r="I1273" s="33" t="s">
        <v>3820</v>
      </c>
      <c r="J1273" s="33" t="s">
        <v>5838</v>
      </c>
      <c r="K1273" s="33" t="s">
        <v>2471</v>
      </c>
      <c r="L1273" s="33" t="s">
        <v>945</v>
      </c>
      <c r="M1273" s="33" t="s">
        <v>197</v>
      </c>
      <c r="N1273" s="33" t="s">
        <v>77</v>
      </c>
      <c r="Q1273" s="33" t="s">
        <v>4050</v>
      </c>
    </row>
    <row r="1274" spans="1:17" hidden="1">
      <c r="A1274" s="33" t="s">
        <v>5839</v>
      </c>
      <c r="B1274" s="33" t="s">
        <v>5840</v>
      </c>
      <c r="C1274" s="33" t="s">
        <v>2205</v>
      </c>
      <c r="D1274" s="33" t="s">
        <v>3289</v>
      </c>
      <c r="E1274" s="33" t="s">
        <v>2471</v>
      </c>
      <c r="F1274" s="33" t="s">
        <v>1787</v>
      </c>
      <c r="G1274" s="33" t="s">
        <v>3289</v>
      </c>
      <c r="H1274" s="33" t="s">
        <v>3820</v>
      </c>
      <c r="I1274" s="33" t="s">
        <v>3820</v>
      </c>
      <c r="J1274" s="33" t="s">
        <v>5841</v>
      </c>
      <c r="K1274" s="33" t="s">
        <v>2471</v>
      </c>
      <c r="L1274" s="33" t="s">
        <v>945</v>
      </c>
      <c r="M1274" s="33" t="s">
        <v>77</v>
      </c>
      <c r="N1274" s="33" t="s">
        <v>77</v>
      </c>
      <c r="Q1274" s="33" t="s">
        <v>4050</v>
      </c>
    </row>
    <row r="1275" spans="1:17" hidden="1">
      <c r="A1275" s="33" t="s">
        <v>5842</v>
      </c>
      <c r="B1275" s="33" t="s">
        <v>5843</v>
      </c>
      <c r="C1275" s="33" t="s">
        <v>2205</v>
      </c>
      <c r="D1275" s="33" t="s">
        <v>3289</v>
      </c>
      <c r="E1275" s="33" t="s">
        <v>2471</v>
      </c>
      <c r="F1275" s="33" t="s">
        <v>1787</v>
      </c>
      <c r="G1275" s="33" t="s">
        <v>3289</v>
      </c>
      <c r="H1275" s="33" t="s">
        <v>945</v>
      </c>
      <c r="I1275" s="33" t="s">
        <v>945</v>
      </c>
      <c r="J1275" s="33" t="s">
        <v>5844</v>
      </c>
      <c r="K1275" s="33" t="s">
        <v>2471</v>
      </c>
      <c r="L1275" s="33" t="s">
        <v>945</v>
      </c>
      <c r="M1275" s="33" t="s">
        <v>77</v>
      </c>
      <c r="N1275" s="33" t="s">
        <v>77</v>
      </c>
      <c r="Q1275" s="33" t="s">
        <v>4050</v>
      </c>
    </row>
    <row r="1276" spans="1:17">
      <c r="A1276" s="33" t="s">
        <v>5845</v>
      </c>
      <c r="B1276" s="33" t="s">
        <v>944</v>
      </c>
      <c r="C1276" s="33" t="s">
        <v>3549</v>
      </c>
      <c r="D1276" s="33" t="s">
        <v>4068</v>
      </c>
      <c r="E1276" s="33" t="s">
        <v>1786</v>
      </c>
      <c r="F1276" s="33" t="s">
        <v>1787</v>
      </c>
      <c r="G1276" s="33" t="s">
        <v>5846</v>
      </c>
      <c r="H1276" s="33" t="s">
        <v>945</v>
      </c>
      <c r="I1276" s="33" t="s">
        <v>945</v>
      </c>
      <c r="J1276" s="33" t="s">
        <v>5847</v>
      </c>
      <c r="K1276" s="33" t="s">
        <v>1791</v>
      </c>
      <c r="L1276" s="33" t="s">
        <v>4039</v>
      </c>
      <c r="M1276" s="33" t="s">
        <v>107</v>
      </c>
      <c r="N1276" s="33" t="s">
        <v>42</v>
      </c>
      <c r="Q1276" s="33" t="s">
        <v>4050</v>
      </c>
    </row>
    <row r="1277" spans="1:17">
      <c r="A1277" s="33" t="s">
        <v>5848</v>
      </c>
      <c r="B1277" s="33" t="s">
        <v>947</v>
      </c>
      <c r="C1277" s="33" t="s">
        <v>3549</v>
      </c>
      <c r="D1277" s="33" t="s">
        <v>4068</v>
      </c>
      <c r="E1277" s="33" t="s">
        <v>1786</v>
      </c>
      <c r="F1277" s="33" t="s">
        <v>1787</v>
      </c>
      <c r="G1277" s="33" t="s">
        <v>5846</v>
      </c>
      <c r="H1277" s="33" t="s">
        <v>945</v>
      </c>
      <c r="I1277" s="33" t="s">
        <v>945</v>
      </c>
      <c r="J1277" s="33" t="s">
        <v>5849</v>
      </c>
      <c r="K1277" s="33" t="s">
        <v>1791</v>
      </c>
      <c r="L1277" s="33" t="s">
        <v>4039</v>
      </c>
      <c r="M1277" s="33" t="s">
        <v>107</v>
      </c>
      <c r="N1277" s="33" t="s">
        <v>42</v>
      </c>
      <c r="Q1277" s="33" t="s">
        <v>4050</v>
      </c>
    </row>
    <row r="1278" spans="1:17">
      <c r="A1278" s="33" t="s">
        <v>5850</v>
      </c>
      <c r="B1278" s="33" t="s">
        <v>949</v>
      </c>
      <c r="C1278" s="33" t="s">
        <v>3549</v>
      </c>
      <c r="D1278" s="33" t="s">
        <v>4068</v>
      </c>
      <c r="E1278" s="33" t="s">
        <v>1786</v>
      </c>
      <c r="F1278" s="33" t="s">
        <v>1787</v>
      </c>
      <c r="G1278" s="33" t="s">
        <v>5846</v>
      </c>
      <c r="H1278" s="33" t="s">
        <v>945</v>
      </c>
      <c r="I1278" s="33" t="s">
        <v>945</v>
      </c>
      <c r="J1278" s="33" t="s">
        <v>5851</v>
      </c>
      <c r="K1278" s="33" t="s">
        <v>1791</v>
      </c>
      <c r="L1278" s="33" t="s">
        <v>4039</v>
      </c>
      <c r="M1278" s="33" t="s">
        <v>107</v>
      </c>
      <c r="N1278" s="33" t="s">
        <v>42</v>
      </c>
      <c r="Q1278" s="33" t="s">
        <v>4050</v>
      </c>
    </row>
    <row r="1279" spans="1:17">
      <c r="A1279" s="33" t="s">
        <v>5852</v>
      </c>
      <c r="B1279" s="33" t="s">
        <v>951</v>
      </c>
      <c r="C1279" s="33" t="s">
        <v>3549</v>
      </c>
      <c r="D1279" s="33" t="s">
        <v>4068</v>
      </c>
      <c r="E1279" s="33" t="s">
        <v>1786</v>
      </c>
      <c r="F1279" s="33" t="s">
        <v>1787</v>
      </c>
      <c r="G1279" s="33" t="s">
        <v>5846</v>
      </c>
      <c r="H1279" s="33" t="s">
        <v>945</v>
      </c>
      <c r="I1279" s="33" t="s">
        <v>945</v>
      </c>
      <c r="J1279" s="33" t="s">
        <v>5853</v>
      </c>
      <c r="K1279" s="33" t="s">
        <v>1791</v>
      </c>
      <c r="L1279" s="33" t="s">
        <v>4039</v>
      </c>
      <c r="M1279" s="33" t="s">
        <v>106</v>
      </c>
      <c r="N1279" s="33" t="s">
        <v>42</v>
      </c>
      <c r="Q1279" s="33" t="s">
        <v>4050</v>
      </c>
    </row>
    <row r="1280" spans="1:17">
      <c r="A1280" s="33" t="s">
        <v>5854</v>
      </c>
      <c r="B1280" s="33" t="s">
        <v>953</v>
      </c>
      <c r="C1280" s="33" t="s">
        <v>3549</v>
      </c>
      <c r="D1280" s="33" t="s">
        <v>4068</v>
      </c>
      <c r="E1280" s="33" t="s">
        <v>1786</v>
      </c>
      <c r="F1280" s="33" t="s">
        <v>1787</v>
      </c>
      <c r="G1280" s="33" t="s">
        <v>5846</v>
      </c>
      <c r="H1280" s="33" t="s">
        <v>945</v>
      </c>
      <c r="I1280" s="33" t="s">
        <v>945</v>
      </c>
      <c r="J1280" s="33" t="s">
        <v>5855</v>
      </c>
      <c r="K1280" s="33" t="s">
        <v>1791</v>
      </c>
      <c r="L1280" s="33" t="s">
        <v>4039</v>
      </c>
      <c r="M1280" s="33" t="s">
        <v>106</v>
      </c>
      <c r="N1280" s="33" t="s">
        <v>42</v>
      </c>
      <c r="Q1280" s="33" t="s">
        <v>4050</v>
      </c>
    </row>
    <row r="1281" spans="1:17">
      <c r="A1281" s="33" t="s">
        <v>5856</v>
      </c>
      <c r="B1281" s="33" t="s">
        <v>955</v>
      </c>
      <c r="C1281" s="33" t="s">
        <v>3549</v>
      </c>
      <c r="D1281" s="33" t="s">
        <v>4068</v>
      </c>
      <c r="E1281" s="33" t="s">
        <v>1786</v>
      </c>
      <c r="F1281" s="33" t="s">
        <v>1787</v>
      </c>
      <c r="G1281" s="33" t="s">
        <v>5846</v>
      </c>
      <c r="H1281" s="33" t="s">
        <v>945</v>
      </c>
      <c r="I1281" s="33" t="s">
        <v>945</v>
      </c>
      <c r="J1281" s="33" t="s">
        <v>5857</v>
      </c>
      <c r="K1281" s="33" t="s">
        <v>1791</v>
      </c>
      <c r="L1281" s="33" t="s">
        <v>4039</v>
      </c>
      <c r="M1281" s="33" t="s">
        <v>106</v>
      </c>
      <c r="N1281" s="33" t="s">
        <v>42</v>
      </c>
      <c r="Q1281" s="33" t="s">
        <v>4050</v>
      </c>
    </row>
    <row r="1282" spans="1:17">
      <c r="A1282" s="33" t="s">
        <v>5858</v>
      </c>
      <c r="B1282" s="33" t="s">
        <v>957</v>
      </c>
      <c r="C1282" s="33" t="s">
        <v>3549</v>
      </c>
      <c r="D1282" s="33" t="s">
        <v>4068</v>
      </c>
      <c r="E1282" s="33" t="s">
        <v>1786</v>
      </c>
      <c r="F1282" s="33" t="s">
        <v>1787</v>
      </c>
      <c r="G1282" s="33" t="s">
        <v>5846</v>
      </c>
      <c r="H1282" s="33" t="s">
        <v>945</v>
      </c>
      <c r="I1282" s="33" t="s">
        <v>945</v>
      </c>
      <c r="J1282" s="33" t="s">
        <v>5859</v>
      </c>
      <c r="K1282" s="33" t="s">
        <v>1791</v>
      </c>
      <c r="L1282" s="33" t="s">
        <v>4039</v>
      </c>
      <c r="M1282" s="33" t="s">
        <v>106</v>
      </c>
      <c r="N1282" s="33" t="s">
        <v>42</v>
      </c>
      <c r="Q1282" s="33" t="s">
        <v>4050</v>
      </c>
    </row>
    <row r="1283" spans="1:17">
      <c r="A1283" s="33" t="s">
        <v>5860</v>
      </c>
      <c r="B1283" s="33" t="s">
        <v>959</v>
      </c>
      <c r="C1283" s="33" t="s">
        <v>3549</v>
      </c>
      <c r="D1283" s="33" t="s">
        <v>4068</v>
      </c>
      <c r="E1283" s="33" t="s">
        <v>1786</v>
      </c>
      <c r="F1283" s="33" t="s">
        <v>1787</v>
      </c>
      <c r="G1283" s="33" t="s">
        <v>5846</v>
      </c>
      <c r="H1283" s="33" t="s">
        <v>945</v>
      </c>
      <c r="I1283" s="33" t="s">
        <v>945</v>
      </c>
      <c r="J1283" s="33" t="s">
        <v>5861</v>
      </c>
      <c r="K1283" s="33" t="s">
        <v>1791</v>
      </c>
      <c r="L1283" s="33" t="s">
        <v>4039</v>
      </c>
      <c r="M1283" s="33" t="s">
        <v>106</v>
      </c>
      <c r="N1283" s="33" t="s">
        <v>42</v>
      </c>
      <c r="Q1283" s="33" t="s">
        <v>4050</v>
      </c>
    </row>
    <row r="1284" spans="1:17">
      <c r="A1284" s="33" t="s">
        <v>5862</v>
      </c>
      <c r="B1284" s="33" t="s">
        <v>961</v>
      </c>
      <c r="C1284" s="33" t="s">
        <v>3549</v>
      </c>
      <c r="D1284" s="33" t="s">
        <v>4068</v>
      </c>
      <c r="E1284" s="33" t="s">
        <v>1786</v>
      </c>
      <c r="F1284" s="33" t="s">
        <v>1787</v>
      </c>
      <c r="G1284" s="33" t="s">
        <v>5846</v>
      </c>
      <c r="H1284" s="33" t="s">
        <v>945</v>
      </c>
      <c r="I1284" s="33" t="s">
        <v>945</v>
      </c>
      <c r="J1284" s="33" t="s">
        <v>5863</v>
      </c>
      <c r="K1284" s="33" t="s">
        <v>1791</v>
      </c>
      <c r="L1284" s="33" t="s">
        <v>4039</v>
      </c>
      <c r="M1284" s="33" t="s">
        <v>124</v>
      </c>
      <c r="N1284" s="33" t="s">
        <v>42</v>
      </c>
      <c r="Q1284" s="33" t="s">
        <v>4050</v>
      </c>
    </row>
    <row r="1285" spans="1:17">
      <c r="A1285" s="33" t="s">
        <v>5864</v>
      </c>
      <c r="B1285" s="33" t="s">
        <v>963</v>
      </c>
      <c r="C1285" s="33" t="s">
        <v>3549</v>
      </c>
      <c r="D1285" s="33" t="s">
        <v>4068</v>
      </c>
      <c r="E1285" s="33" t="s">
        <v>1786</v>
      </c>
      <c r="F1285" s="33" t="s">
        <v>1787</v>
      </c>
      <c r="G1285" s="33" t="s">
        <v>5846</v>
      </c>
      <c r="H1285" s="33" t="s">
        <v>945</v>
      </c>
      <c r="I1285" s="33" t="s">
        <v>945</v>
      </c>
      <c r="J1285" s="33" t="s">
        <v>5865</v>
      </c>
      <c r="K1285" s="33" t="s">
        <v>1791</v>
      </c>
      <c r="L1285" s="33" t="s">
        <v>4039</v>
      </c>
      <c r="M1285" s="33" t="s">
        <v>124</v>
      </c>
      <c r="N1285" s="33" t="s">
        <v>42</v>
      </c>
      <c r="Q1285" s="33" t="s">
        <v>4050</v>
      </c>
    </row>
    <row r="1286" spans="1:17">
      <c r="A1286" s="33" t="s">
        <v>5866</v>
      </c>
      <c r="B1286" s="33" t="s">
        <v>965</v>
      </c>
      <c r="C1286" s="33" t="s">
        <v>3549</v>
      </c>
      <c r="D1286" s="33" t="s">
        <v>4068</v>
      </c>
      <c r="E1286" s="33" t="s">
        <v>1786</v>
      </c>
      <c r="F1286" s="33" t="s">
        <v>1787</v>
      </c>
      <c r="G1286" s="33" t="s">
        <v>5846</v>
      </c>
      <c r="H1286" s="33" t="s">
        <v>945</v>
      </c>
      <c r="I1286" s="33" t="s">
        <v>945</v>
      </c>
      <c r="J1286" s="33" t="s">
        <v>5867</v>
      </c>
      <c r="K1286" s="33" t="s">
        <v>1791</v>
      </c>
      <c r="L1286" s="33" t="s">
        <v>4039</v>
      </c>
      <c r="M1286" s="33" t="s">
        <v>23</v>
      </c>
      <c r="N1286" s="33" t="s">
        <v>42</v>
      </c>
      <c r="Q1286" s="33" t="s">
        <v>4050</v>
      </c>
    </row>
    <row r="1287" spans="1:17">
      <c r="A1287" s="33" t="s">
        <v>5868</v>
      </c>
      <c r="B1287" s="33" t="s">
        <v>967</v>
      </c>
      <c r="C1287" s="33" t="s">
        <v>3549</v>
      </c>
      <c r="D1287" s="33" t="s">
        <v>4068</v>
      </c>
      <c r="E1287" s="33" t="s">
        <v>1786</v>
      </c>
      <c r="F1287" s="33" t="s">
        <v>1787</v>
      </c>
      <c r="G1287" s="33" t="s">
        <v>5846</v>
      </c>
      <c r="H1287" s="33" t="s">
        <v>945</v>
      </c>
      <c r="I1287" s="33" t="s">
        <v>945</v>
      </c>
      <c r="J1287" s="33" t="s">
        <v>5869</v>
      </c>
      <c r="K1287" s="33" t="s">
        <v>1791</v>
      </c>
      <c r="L1287" s="33" t="s">
        <v>4039</v>
      </c>
      <c r="M1287" s="33" t="s">
        <v>5147</v>
      </c>
      <c r="N1287" s="33" t="s">
        <v>42</v>
      </c>
      <c r="Q1287" s="33" t="s">
        <v>4050</v>
      </c>
    </row>
    <row r="1288" spans="1:17">
      <c r="A1288" s="33" t="s">
        <v>5870</v>
      </c>
      <c r="B1288" s="33" t="s">
        <v>969</v>
      </c>
      <c r="C1288" s="33" t="s">
        <v>3549</v>
      </c>
      <c r="D1288" s="33" t="s">
        <v>4068</v>
      </c>
      <c r="E1288" s="33" t="s">
        <v>1786</v>
      </c>
      <c r="F1288" s="33" t="s">
        <v>1787</v>
      </c>
      <c r="G1288" s="33" t="s">
        <v>5846</v>
      </c>
      <c r="H1288" s="33" t="s">
        <v>945</v>
      </c>
      <c r="I1288" s="33" t="s">
        <v>945</v>
      </c>
      <c r="J1288" s="33" t="s">
        <v>5871</v>
      </c>
      <c r="K1288" s="33" t="s">
        <v>1791</v>
      </c>
      <c r="L1288" s="33" t="s">
        <v>4039</v>
      </c>
      <c r="M1288" s="33" t="s">
        <v>970</v>
      </c>
      <c r="N1288" s="33" t="s">
        <v>42</v>
      </c>
      <c r="Q1288" s="33" t="s">
        <v>4050</v>
      </c>
    </row>
    <row r="1289" spans="1:17">
      <c r="A1289" s="33" t="s">
        <v>5872</v>
      </c>
      <c r="B1289" s="33" t="s">
        <v>972</v>
      </c>
      <c r="C1289" s="33" t="s">
        <v>3549</v>
      </c>
      <c r="D1289" s="33" t="s">
        <v>4068</v>
      </c>
      <c r="E1289" s="33" t="s">
        <v>1786</v>
      </c>
      <c r="F1289" s="33" t="s">
        <v>1787</v>
      </c>
      <c r="G1289" s="33" t="s">
        <v>5846</v>
      </c>
      <c r="H1289" s="33" t="s">
        <v>945</v>
      </c>
      <c r="I1289" s="33" t="s">
        <v>945</v>
      </c>
      <c r="J1289" s="33" t="s">
        <v>5873</v>
      </c>
      <c r="K1289" s="33" t="s">
        <v>1791</v>
      </c>
      <c r="L1289" s="33" t="s">
        <v>4039</v>
      </c>
      <c r="M1289" s="33" t="s">
        <v>34</v>
      </c>
      <c r="N1289" s="33" t="s">
        <v>42</v>
      </c>
      <c r="Q1289" s="33" t="s">
        <v>4050</v>
      </c>
    </row>
    <row r="1290" spans="1:17">
      <c r="A1290" s="33" t="s">
        <v>5874</v>
      </c>
      <c r="B1290" s="33" t="s">
        <v>974</v>
      </c>
      <c r="C1290" s="33" t="s">
        <v>3549</v>
      </c>
      <c r="D1290" s="33" t="s">
        <v>4068</v>
      </c>
      <c r="E1290" s="33" t="s">
        <v>1786</v>
      </c>
      <c r="F1290" s="33" t="s">
        <v>1787</v>
      </c>
      <c r="G1290" s="33" t="s">
        <v>5846</v>
      </c>
      <c r="H1290" s="33" t="s">
        <v>945</v>
      </c>
      <c r="I1290" s="33" t="s">
        <v>945</v>
      </c>
      <c r="J1290" s="33" t="s">
        <v>5875</v>
      </c>
      <c r="K1290" s="33" t="s">
        <v>1791</v>
      </c>
      <c r="L1290" s="33" t="s">
        <v>4039</v>
      </c>
      <c r="M1290" s="33" t="s">
        <v>34</v>
      </c>
      <c r="N1290" s="33" t="s">
        <v>42</v>
      </c>
      <c r="Q1290" s="33" t="s">
        <v>4050</v>
      </c>
    </row>
    <row r="1291" spans="1:17">
      <c r="A1291" s="33" t="s">
        <v>5876</v>
      </c>
      <c r="B1291" s="33" t="s">
        <v>976</v>
      </c>
      <c r="C1291" s="33" t="s">
        <v>3549</v>
      </c>
      <c r="D1291" s="33" t="s">
        <v>4068</v>
      </c>
      <c r="E1291" s="33" t="s">
        <v>1786</v>
      </c>
      <c r="F1291" s="33" t="s">
        <v>1787</v>
      </c>
      <c r="G1291" s="33" t="s">
        <v>5846</v>
      </c>
      <c r="H1291" s="33" t="s">
        <v>945</v>
      </c>
      <c r="I1291" s="33" t="s">
        <v>945</v>
      </c>
      <c r="J1291" s="33" t="s">
        <v>5877</v>
      </c>
      <c r="K1291" s="33" t="s">
        <v>1791</v>
      </c>
      <c r="L1291" s="33" t="s">
        <v>4039</v>
      </c>
      <c r="M1291" s="33" t="s">
        <v>8</v>
      </c>
      <c r="N1291" s="33" t="s">
        <v>42</v>
      </c>
      <c r="Q1291" s="33" t="s">
        <v>4050</v>
      </c>
    </row>
    <row r="1292" spans="1:17">
      <c r="A1292" s="33" t="s">
        <v>5878</v>
      </c>
      <c r="B1292" s="33" t="s">
        <v>978</v>
      </c>
      <c r="C1292" s="33" t="s">
        <v>3549</v>
      </c>
      <c r="D1292" s="33" t="s">
        <v>4068</v>
      </c>
      <c r="E1292" s="33" t="s">
        <v>1786</v>
      </c>
      <c r="F1292" s="33" t="s">
        <v>1787</v>
      </c>
      <c r="G1292" s="33" t="s">
        <v>5846</v>
      </c>
      <c r="H1292" s="33" t="s">
        <v>945</v>
      </c>
      <c r="I1292" s="33" t="s">
        <v>945</v>
      </c>
      <c r="J1292" s="33" t="s">
        <v>5879</v>
      </c>
      <c r="K1292" s="33" t="s">
        <v>1791</v>
      </c>
      <c r="L1292" s="33" t="s">
        <v>4039</v>
      </c>
      <c r="M1292" s="33" t="s">
        <v>8</v>
      </c>
      <c r="N1292" s="33" t="s">
        <v>42</v>
      </c>
      <c r="Q1292" s="33" t="s">
        <v>4050</v>
      </c>
    </row>
    <row r="1293" spans="1:17">
      <c r="A1293" s="33" t="s">
        <v>5880</v>
      </c>
      <c r="B1293" s="33" t="s">
        <v>980</v>
      </c>
      <c r="C1293" s="33" t="s">
        <v>3549</v>
      </c>
      <c r="D1293" s="33" t="s">
        <v>4068</v>
      </c>
      <c r="E1293" s="33" t="s">
        <v>1786</v>
      </c>
      <c r="F1293" s="33" t="s">
        <v>1787</v>
      </c>
      <c r="G1293" s="33" t="s">
        <v>5846</v>
      </c>
      <c r="H1293" s="33" t="s">
        <v>945</v>
      </c>
      <c r="I1293" s="33" t="s">
        <v>945</v>
      </c>
      <c r="J1293" s="33" t="s">
        <v>5881</v>
      </c>
      <c r="K1293" s="33" t="s">
        <v>1791</v>
      </c>
      <c r="L1293" s="33" t="s">
        <v>4039</v>
      </c>
      <c r="M1293" s="33" t="s">
        <v>8</v>
      </c>
      <c r="N1293" s="33" t="s">
        <v>42</v>
      </c>
      <c r="Q1293" s="33" t="s">
        <v>4050</v>
      </c>
    </row>
    <row r="1294" spans="1:17">
      <c r="A1294" s="33" t="s">
        <v>5882</v>
      </c>
      <c r="B1294" s="33" t="s">
        <v>982</v>
      </c>
      <c r="C1294" s="33" t="s">
        <v>3549</v>
      </c>
      <c r="D1294" s="33" t="s">
        <v>4068</v>
      </c>
      <c r="E1294" s="33" t="s">
        <v>1786</v>
      </c>
      <c r="F1294" s="33" t="s">
        <v>1787</v>
      </c>
      <c r="G1294" s="33" t="s">
        <v>5846</v>
      </c>
      <c r="H1294" s="33" t="s">
        <v>945</v>
      </c>
      <c r="I1294" s="33" t="s">
        <v>945</v>
      </c>
      <c r="J1294" s="33" t="s">
        <v>5883</v>
      </c>
      <c r="K1294" s="33" t="s">
        <v>1791</v>
      </c>
      <c r="L1294" s="33" t="s">
        <v>4039</v>
      </c>
      <c r="M1294" s="33" t="s">
        <v>8</v>
      </c>
      <c r="N1294" s="33" t="s">
        <v>42</v>
      </c>
      <c r="Q1294" s="33" t="s">
        <v>4050</v>
      </c>
    </row>
    <row r="1295" spans="1:17">
      <c r="A1295" s="33" t="s">
        <v>5884</v>
      </c>
      <c r="B1295" s="33" t="s">
        <v>984</v>
      </c>
      <c r="C1295" s="33" t="s">
        <v>3549</v>
      </c>
      <c r="D1295" s="33" t="s">
        <v>4068</v>
      </c>
      <c r="E1295" s="33" t="s">
        <v>1786</v>
      </c>
      <c r="F1295" s="33" t="s">
        <v>1787</v>
      </c>
      <c r="G1295" s="33" t="s">
        <v>5846</v>
      </c>
      <c r="H1295" s="33" t="s">
        <v>945</v>
      </c>
      <c r="I1295" s="33" t="s">
        <v>945</v>
      </c>
      <c r="J1295" s="33" t="s">
        <v>5885</v>
      </c>
      <c r="K1295" s="33" t="s">
        <v>1791</v>
      </c>
      <c r="L1295" s="33" t="s">
        <v>4039</v>
      </c>
      <c r="M1295" s="33" t="s">
        <v>135</v>
      </c>
      <c r="N1295" s="33" t="s">
        <v>42</v>
      </c>
      <c r="Q1295" s="33" t="s">
        <v>4050</v>
      </c>
    </row>
    <row r="1296" spans="1:17">
      <c r="A1296" s="33" t="s">
        <v>5886</v>
      </c>
      <c r="B1296" s="33" t="s">
        <v>985</v>
      </c>
      <c r="C1296" s="33" t="s">
        <v>3549</v>
      </c>
      <c r="D1296" s="33" t="s">
        <v>4068</v>
      </c>
      <c r="E1296" s="33" t="s">
        <v>1786</v>
      </c>
      <c r="F1296" s="33" t="s">
        <v>1787</v>
      </c>
      <c r="G1296" s="33" t="s">
        <v>5846</v>
      </c>
      <c r="H1296" s="33" t="s">
        <v>945</v>
      </c>
      <c r="I1296" s="33" t="s">
        <v>945</v>
      </c>
      <c r="J1296" s="33" t="s">
        <v>5887</v>
      </c>
      <c r="K1296" s="33" t="s">
        <v>1791</v>
      </c>
      <c r="L1296" s="33" t="s">
        <v>4039</v>
      </c>
      <c r="M1296" s="33" t="s">
        <v>135</v>
      </c>
      <c r="N1296" s="33" t="s">
        <v>42</v>
      </c>
      <c r="Q1296" s="33" t="s">
        <v>4050</v>
      </c>
    </row>
    <row r="1297" spans="1:17">
      <c r="A1297" s="33" t="s">
        <v>5888</v>
      </c>
      <c r="B1297" s="33" t="s">
        <v>987</v>
      </c>
      <c r="C1297" s="33" t="s">
        <v>3549</v>
      </c>
      <c r="D1297" s="33" t="s">
        <v>4068</v>
      </c>
      <c r="E1297" s="33" t="s">
        <v>1786</v>
      </c>
      <c r="F1297" s="33" t="s">
        <v>1787</v>
      </c>
      <c r="G1297" s="33" t="s">
        <v>5846</v>
      </c>
      <c r="H1297" s="33" t="s">
        <v>945</v>
      </c>
      <c r="I1297" s="33" t="s">
        <v>945</v>
      </c>
      <c r="J1297" s="33" t="s">
        <v>5889</v>
      </c>
      <c r="K1297" s="33" t="s">
        <v>1791</v>
      </c>
      <c r="L1297" s="33" t="s">
        <v>4039</v>
      </c>
      <c r="M1297" s="33" t="s">
        <v>135</v>
      </c>
      <c r="N1297" s="33" t="s">
        <v>42</v>
      </c>
      <c r="Q1297" s="33" t="s">
        <v>4050</v>
      </c>
    </row>
    <row r="1298" spans="1:17">
      <c r="A1298" s="33" t="s">
        <v>5890</v>
      </c>
      <c r="B1298" s="33" t="s">
        <v>989</v>
      </c>
      <c r="C1298" s="33" t="s">
        <v>3549</v>
      </c>
      <c r="D1298" s="33" t="s">
        <v>4068</v>
      </c>
      <c r="E1298" s="33" t="s">
        <v>1786</v>
      </c>
      <c r="F1298" s="33" t="s">
        <v>1787</v>
      </c>
      <c r="G1298" s="33" t="s">
        <v>5846</v>
      </c>
      <c r="H1298" s="33" t="s">
        <v>945</v>
      </c>
      <c r="I1298" s="33" t="s">
        <v>945</v>
      </c>
      <c r="J1298" s="33" t="s">
        <v>5891</v>
      </c>
      <c r="K1298" s="33" t="s">
        <v>1791</v>
      </c>
      <c r="L1298" s="33" t="s">
        <v>4039</v>
      </c>
      <c r="M1298" s="33" t="s">
        <v>31</v>
      </c>
      <c r="N1298" s="33" t="s">
        <v>42</v>
      </c>
      <c r="Q1298" s="33" t="s">
        <v>4050</v>
      </c>
    </row>
    <row r="1299" spans="1:17">
      <c r="A1299" s="33" t="s">
        <v>5892</v>
      </c>
      <c r="B1299" s="33" t="s">
        <v>991</v>
      </c>
      <c r="C1299" s="33" t="s">
        <v>3549</v>
      </c>
      <c r="D1299" s="33" t="s">
        <v>4068</v>
      </c>
      <c r="E1299" s="33" t="s">
        <v>1786</v>
      </c>
      <c r="F1299" s="33" t="s">
        <v>1787</v>
      </c>
      <c r="G1299" s="33" t="s">
        <v>5846</v>
      </c>
      <c r="H1299" s="33" t="s">
        <v>945</v>
      </c>
      <c r="I1299" s="33" t="s">
        <v>945</v>
      </c>
      <c r="J1299" s="33" t="s">
        <v>5893</v>
      </c>
      <c r="K1299" s="33" t="s">
        <v>1791</v>
      </c>
      <c r="L1299" s="33" t="s">
        <v>4039</v>
      </c>
      <c r="M1299" s="33" t="s">
        <v>31</v>
      </c>
      <c r="N1299" s="33" t="s">
        <v>42</v>
      </c>
      <c r="Q1299" s="33" t="s">
        <v>4050</v>
      </c>
    </row>
    <row r="1300" spans="1:17">
      <c r="A1300" s="33" t="s">
        <v>5894</v>
      </c>
      <c r="B1300" s="33" t="s">
        <v>993</v>
      </c>
      <c r="C1300" s="33" t="s">
        <v>3549</v>
      </c>
      <c r="D1300" s="33" t="s">
        <v>4068</v>
      </c>
      <c r="E1300" s="33" t="s">
        <v>1786</v>
      </c>
      <c r="F1300" s="33" t="s">
        <v>1787</v>
      </c>
      <c r="G1300" s="33" t="s">
        <v>5846</v>
      </c>
      <c r="H1300" s="33" t="s">
        <v>945</v>
      </c>
      <c r="I1300" s="33" t="s">
        <v>945</v>
      </c>
      <c r="J1300" s="33" t="s">
        <v>5895</v>
      </c>
      <c r="K1300" s="33" t="s">
        <v>1791</v>
      </c>
      <c r="L1300" s="33" t="s">
        <v>4039</v>
      </c>
      <c r="M1300" s="33" t="s">
        <v>31</v>
      </c>
      <c r="N1300" s="33" t="s">
        <v>42</v>
      </c>
      <c r="Q1300" s="33" t="s">
        <v>4050</v>
      </c>
    </row>
    <row r="1301" spans="1:17">
      <c r="A1301" s="33" t="s">
        <v>5896</v>
      </c>
      <c r="B1301" s="33" t="s">
        <v>995</v>
      </c>
      <c r="C1301" s="33" t="s">
        <v>3549</v>
      </c>
      <c r="D1301" s="33" t="s">
        <v>4068</v>
      </c>
      <c r="E1301" s="33" t="s">
        <v>1786</v>
      </c>
      <c r="F1301" s="33" t="s">
        <v>1787</v>
      </c>
      <c r="G1301" s="33" t="s">
        <v>5846</v>
      </c>
      <c r="H1301" s="33" t="s">
        <v>945</v>
      </c>
      <c r="I1301" s="33" t="s">
        <v>945</v>
      </c>
      <c r="J1301" s="33" t="s">
        <v>5897</v>
      </c>
      <c r="K1301" s="33" t="s">
        <v>1791</v>
      </c>
      <c r="L1301" s="33" t="s">
        <v>4039</v>
      </c>
      <c r="M1301" s="33" t="s">
        <v>193</v>
      </c>
      <c r="N1301" s="33" t="s">
        <v>42</v>
      </c>
      <c r="Q1301" s="33" t="s">
        <v>4050</v>
      </c>
    </row>
    <row r="1302" spans="1:17">
      <c r="A1302" s="33" t="s">
        <v>5898</v>
      </c>
      <c r="B1302" s="33" t="s">
        <v>997</v>
      </c>
      <c r="C1302" s="33" t="s">
        <v>3549</v>
      </c>
      <c r="D1302" s="33" t="s">
        <v>4068</v>
      </c>
      <c r="E1302" s="33" t="s">
        <v>1786</v>
      </c>
      <c r="F1302" s="33" t="s">
        <v>1787</v>
      </c>
      <c r="G1302" s="33" t="s">
        <v>5846</v>
      </c>
      <c r="H1302" s="33" t="s">
        <v>945</v>
      </c>
      <c r="I1302" s="33" t="s">
        <v>945</v>
      </c>
      <c r="J1302" s="33" t="s">
        <v>5899</v>
      </c>
      <c r="K1302" s="33" t="s">
        <v>1791</v>
      </c>
      <c r="L1302" s="33" t="s">
        <v>4039</v>
      </c>
      <c r="M1302" s="33" t="s">
        <v>193</v>
      </c>
      <c r="N1302" s="33" t="s">
        <v>42</v>
      </c>
      <c r="Q1302" s="33" t="s">
        <v>4050</v>
      </c>
    </row>
    <row r="1303" spans="1:17">
      <c r="A1303" s="33" t="s">
        <v>5900</v>
      </c>
      <c r="B1303" s="33" t="s">
        <v>999</v>
      </c>
      <c r="C1303" s="33" t="s">
        <v>3549</v>
      </c>
      <c r="D1303" s="33" t="s">
        <v>4068</v>
      </c>
      <c r="E1303" s="33" t="s">
        <v>1786</v>
      </c>
      <c r="F1303" s="33" t="s">
        <v>1787</v>
      </c>
      <c r="G1303" s="33" t="s">
        <v>5846</v>
      </c>
      <c r="H1303" s="33" t="s">
        <v>945</v>
      </c>
      <c r="I1303" s="33" t="s">
        <v>945</v>
      </c>
      <c r="J1303" s="33" t="s">
        <v>5901</v>
      </c>
      <c r="K1303" s="33" t="s">
        <v>1791</v>
      </c>
      <c r="L1303" s="33" t="s">
        <v>4039</v>
      </c>
      <c r="M1303" s="33" t="s">
        <v>193</v>
      </c>
      <c r="N1303" s="33" t="s">
        <v>42</v>
      </c>
      <c r="Q1303" s="33" t="s">
        <v>4050</v>
      </c>
    </row>
    <row r="1304" spans="1:17">
      <c r="A1304" s="33" t="s">
        <v>5902</v>
      </c>
      <c r="B1304" s="33" t="s">
        <v>1000</v>
      </c>
      <c r="C1304" s="33" t="s">
        <v>3549</v>
      </c>
      <c r="D1304" s="33" t="s">
        <v>4068</v>
      </c>
      <c r="E1304" s="33" t="s">
        <v>1786</v>
      </c>
      <c r="F1304" s="33" t="s">
        <v>1787</v>
      </c>
      <c r="G1304" s="33" t="s">
        <v>5846</v>
      </c>
      <c r="H1304" s="33" t="s">
        <v>945</v>
      </c>
      <c r="I1304" s="33" t="s">
        <v>945</v>
      </c>
      <c r="J1304" s="33" t="s">
        <v>5903</v>
      </c>
      <c r="K1304" s="33" t="s">
        <v>1791</v>
      </c>
      <c r="L1304" s="33" t="s">
        <v>4039</v>
      </c>
      <c r="M1304" s="33" t="s">
        <v>193</v>
      </c>
      <c r="N1304" s="33" t="s">
        <v>42</v>
      </c>
      <c r="Q1304" s="33" t="s">
        <v>4050</v>
      </c>
    </row>
    <row r="1305" spans="1:17">
      <c r="A1305" s="33" t="s">
        <v>5904</v>
      </c>
      <c r="B1305" s="33" t="s">
        <v>1002</v>
      </c>
      <c r="C1305" s="33" t="s">
        <v>3549</v>
      </c>
      <c r="D1305" s="33" t="s">
        <v>4068</v>
      </c>
      <c r="E1305" s="33" t="s">
        <v>1786</v>
      </c>
      <c r="F1305" s="33" t="s">
        <v>1787</v>
      </c>
      <c r="G1305" s="33" t="s">
        <v>5846</v>
      </c>
      <c r="H1305" s="33" t="s">
        <v>945</v>
      </c>
      <c r="I1305" s="33" t="s">
        <v>945</v>
      </c>
      <c r="J1305" s="33" t="s">
        <v>5905</v>
      </c>
      <c r="K1305" s="33" t="s">
        <v>1791</v>
      </c>
      <c r="L1305" s="33" t="s">
        <v>4039</v>
      </c>
      <c r="M1305" s="33" t="s">
        <v>193</v>
      </c>
      <c r="N1305" s="33" t="s">
        <v>42</v>
      </c>
      <c r="Q1305" s="33" t="s">
        <v>4050</v>
      </c>
    </row>
    <row r="1306" spans="1:17">
      <c r="A1306" s="33" t="s">
        <v>5906</v>
      </c>
      <c r="B1306" s="33" t="s">
        <v>1004</v>
      </c>
      <c r="C1306" s="33" t="s">
        <v>3549</v>
      </c>
      <c r="D1306" s="33" t="s">
        <v>4068</v>
      </c>
      <c r="E1306" s="33" t="s">
        <v>1786</v>
      </c>
      <c r="F1306" s="33" t="s">
        <v>1787</v>
      </c>
      <c r="G1306" s="33" t="s">
        <v>5846</v>
      </c>
      <c r="H1306" s="33" t="s">
        <v>945</v>
      </c>
      <c r="I1306" s="33" t="s">
        <v>945</v>
      </c>
      <c r="J1306" s="33" t="s">
        <v>5907</v>
      </c>
      <c r="K1306" s="33" t="s">
        <v>1791</v>
      </c>
      <c r="L1306" s="33" t="s">
        <v>4039</v>
      </c>
      <c r="M1306" s="33" t="s">
        <v>193</v>
      </c>
      <c r="N1306" s="33" t="s">
        <v>42</v>
      </c>
      <c r="Q1306" s="33" t="s">
        <v>4050</v>
      </c>
    </row>
    <row r="1307" spans="1:17">
      <c r="A1307" s="33" t="s">
        <v>5908</v>
      </c>
      <c r="B1307" s="33" t="s">
        <v>1006</v>
      </c>
      <c r="C1307" s="33" t="s">
        <v>3549</v>
      </c>
      <c r="D1307" s="33" t="s">
        <v>4068</v>
      </c>
      <c r="E1307" s="33" t="s">
        <v>1786</v>
      </c>
      <c r="F1307" s="33" t="s">
        <v>1787</v>
      </c>
      <c r="G1307" s="33" t="s">
        <v>5846</v>
      </c>
      <c r="H1307" s="33" t="s">
        <v>945</v>
      </c>
      <c r="I1307" s="33" t="s">
        <v>945</v>
      </c>
      <c r="J1307" s="33" t="s">
        <v>5909</v>
      </c>
      <c r="K1307" s="33" t="s">
        <v>1791</v>
      </c>
      <c r="L1307" s="33" t="s">
        <v>4039</v>
      </c>
      <c r="M1307" s="33" t="s">
        <v>193</v>
      </c>
      <c r="N1307" s="33" t="s">
        <v>42</v>
      </c>
      <c r="Q1307" s="33" t="s">
        <v>4050</v>
      </c>
    </row>
    <row r="1308" spans="1:17">
      <c r="A1308" s="33" t="s">
        <v>5910</v>
      </c>
      <c r="B1308" s="33" t="s">
        <v>1008</v>
      </c>
      <c r="C1308" s="33" t="s">
        <v>3549</v>
      </c>
      <c r="D1308" s="33" t="s">
        <v>4068</v>
      </c>
      <c r="E1308" s="33" t="s">
        <v>1786</v>
      </c>
      <c r="F1308" s="33" t="s">
        <v>1787</v>
      </c>
      <c r="G1308" s="33" t="s">
        <v>5846</v>
      </c>
      <c r="H1308" s="33" t="s">
        <v>945</v>
      </c>
      <c r="I1308" s="33" t="s">
        <v>945</v>
      </c>
      <c r="J1308" s="33" t="s">
        <v>5911</v>
      </c>
      <c r="K1308" s="33" t="s">
        <v>1791</v>
      </c>
      <c r="L1308" s="33" t="s">
        <v>4039</v>
      </c>
      <c r="M1308" s="33" t="s">
        <v>193</v>
      </c>
      <c r="N1308" s="33" t="s">
        <v>42</v>
      </c>
      <c r="Q1308" s="33" t="s">
        <v>4050</v>
      </c>
    </row>
    <row r="1309" spans="1:17">
      <c r="A1309" s="33" t="s">
        <v>5912</v>
      </c>
      <c r="B1309" s="33" t="s">
        <v>1010</v>
      </c>
      <c r="C1309" s="33" t="s">
        <v>3549</v>
      </c>
      <c r="D1309" s="33" t="s">
        <v>4068</v>
      </c>
      <c r="E1309" s="33" t="s">
        <v>1786</v>
      </c>
      <c r="F1309" s="33" t="s">
        <v>1787</v>
      </c>
      <c r="G1309" s="33" t="s">
        <v>5846</v>
      </c>
      <c r="H1309" s="33" t="s">
        <v>945</v>
      </c>
      <c r="I1309" s="33" t="s">
        <v>945</v>
      </c>
      <c r="J1309" s="33" t="s">
        <v>5913</v>
      </c>
      <c r="K1309" s="33" t="s">
        <v>1791</v>
      </c>
      <c r="L1309" s="33" t="s">
        <v>4039</v>
      </c>
      <c r="M1309" s="33" t="s">
        <v>193</v>
      </c>
      <c r="N1309" s="33" t="s">
        <v>42</v>
      </c>
      <c r="Q1309" s="33" t="s">
        <v>4050</v>
      </c>
    </row>
    <row r="1310" spans="1:17">
      <c r="A1310" s="33" t="s">
        <v>5914</v>
      </c>
      <c r="B1310" s="33" t="s">
        <v>1012</v>
      </c>
      <c r="C1310" s="33" t="s">
        <v>3549</v>
      </c>
      <c r="D1310" s="33" t="s">
        <v>4068</v>
      </c>
      <c r="E1310" s="33" t="s">
        <v>1786</v>
      </c>
      <c r="F1310" s="33" t="s">
        <v>1787</v>
      </c>
      <c r="G1310" s="33" t="s">
        <v>5846</v>
      </c>
      <c r="H1310" s="33" t="s">
        <v>945</v>
      </c>
      <c r="I1310" s="33" t="s">
        <v>945</v>
      </c>
      <c r="J1310" s="33" t="s">
        <v>5915</v>
      </c>
      <c r="K1310" s="33" t="s">
        <v>1791</v>
      </c>
      <c r="L1310" s="33" t="s">
        <v>4039</v>
      </c>
      <c r="M1310" s="33" t="s">
        <v>77</v>
      </c>
      <c r="N1310" s="33" t="s">
        <v>42</v>
      </c>
      <c r="Q1310" s="33" t="s">
        <v>4050</v>
      </c>
    </row>
    <row r="1311" spans="1:17">
      <c r="A1311" s="33" t="s">
        <v>5916</v>
      </c>
      <c r="B1311" s="33" t="s">
        <v>1014</v>
      </c>
      <c r="C1311" s="33" t="s">
        <v>3549</v>
      </c>
      <c r="D1311" s="33" t="s">
        <v>4068</v>
      </c>
      <c r="E1311" s="33" t="s">
        <v>1786</v>
      </c>
      <c r="F1311" s="33" t="s">
        <v>1787</v>
      </c>
      <c r="G1311" s="33" t="s">
        <v>5846</v>
      </c>
      <c r="H1311" s="33" t="s">
        <v>945</v>
      </c>
      <c r="I1311" s="33" t="s">
        <v>945</v>
      </c>
      <c r="J1311" s="33" t="s">
        <v>5917</v>
      </c>
      <c r="K1311" s="33" t="s">
        <v>1791</v>
      </c>
      <c r="L1311" s="33" t="s">
        <v>4039</v>
      </c>
      <c r="M1311" s="33" t="s">
        <v>77</v>
      </c>
      <c r="N1311" s="33" t="s">
        <v>42</v>
      </c>
      <c r="Q1311" s="33" t="s">
        <v>4050</v>
      </c>
    </row>
    <row r="1312" spans="1:17">
      <c r="A1312" s="33" t="s">
        <v>5918</v>
      </c>
      <c r="B1312" s="33" t="s">
        <v>1016</v>
      </c>
      <c r="C1312" s="33" t="s">
        <v>3549</v>
      </c>
      <c r="D1312" s="33" t="s">
        <v>4068</v>
      </c>
      <c r="E1312" s="33" t="s">
        <v>1786</v>
      </c>
      <c r="F1312" s="33" t="s">
        <v>1787</v>
      </c>
      <c r="G1312" s="33" t="s">
        <v>5846</v>
      </c>
      <c r="H1312" s="33" t="s">
        <v>945</v>
      </c>
      <c r="I1312" s="33" t="s">
        <v>945</v>
      </c>
      <c r="J1312" s="33" t="s">
        <v>5919</v>
      </c>
      <c r="K1312" s="33" t="s">
        <v>1791</v>
      </c>
      <c r="L1312" s="33" t="s">
        <v>4039</v>
      </c>
      <c r="M1312" s="33" t="s">
        <v>77</v>
      </c>
      <c r="N1312" s="33" t="s">
        <v>42</v>
      </c>
      <c r="Q1312" s="33" t="s">
        <v>4050</v>
      </c>
    </row>
    <row r="1313" spans="1:17">
      <c r="A1313" s="33" t="s">
        <v>5920</v>
      </c>
      <c r="B1313" s="33" t="s">
        <v>1018</v>
      </c>
      <c r="C1313" s="33" t="s">
        <v>3549</v>
      </c>
      <c r="D1313" s="33" t="s">
        <v>4068</v>
      </c>
      <c r="E1313" s="33" t="s">
        <v>1786</v>
      </c>
      <c r="F1313" s="33" t="s">
        <v>1787</v>
      </c>
      <c r="G1313" s="33" t="s">
        <v>5846</v>
      </c>
      <c r="H1313" s="33" t="s">
        <v>945</v>
      </c>
      <c r="I1313" s="33" t="s">
        <v>945</v>
      </c>
      <c r="J1313" s="33" t="s">
        <v>5921</v>
      </c>
      <c r="K1313" s="33" t="s">
        <v>1791</v>
      </c>
      <c r="L1313" s="33" t="s">
        <v>4039</v>
      </c>
      <c r="M1313" s="33" t="s">
        <v>77</v>
      </c>
      <c r="N1313" s="33" t="s">
        <v>42</v>
      </c>
      <c r="Q1313" s="33" t="s">
        <v>4050</v>
      </c>
    </row>
    <row r="1314" spans="1:17">
      <c r="A1314" s="33" t="s">
        <v>5922</v>
      </c>
      <c r="B1314" s="33" t="s">
        <v>1020</v>
      </c>
      <c r="C1314" s="33" t="s">
        <v>3549</v>
      </c>
      <c r="D1314" s="33" t="s">
        <v>4068</v>
      </c>
      <c r="E1314" s="33" t="s">
        <v>1786</v>
      </c>
      <c r="F1314" s="33" t="s">
        <v>1787</v>
      </c>
      <c r="G1314" s="33" t="s">
        <v>5846</v>
      </c>
      <c r="H1314" s="33" t="s">
        <v>945</v>
      </c>
      <c r="I1314" s="33" t="s">
        <v>945</v>
      </c>
      <c r="J1314" s="33" t="s">
        <v>5923</v>
      </c>
      <c r="K1314" s="33" t="s">
        <v>1791</v>
      </c>
      <c r="L1314" s="33" t="s">
        <v>4039</v>
      </c>
      <c r="M1314" s="33" t="s">
        <v>77</v>
      </c>
      <c r="N1314" s="33" t="s">
        <v>42</v>
      </c>
      <c r="Q1314" s="33" t="s">
        <v>4050</v>
      </c>
    </row>
    <row r="1315" spans="1:17">
      <c r="A1315" s="33" t="s">
        <v>5924</v>
      </c>
      <c r="B1315" s="33" t="s">
        <v>1022</v>
      </c>
      <c r="C1315" s="33" t="s">
        <v>3549</v>
      </c>
      <c r="D1315" s="33" t="s">
        <v>4068</v>
      </c>
      <c r="E1315" s="33" t="s">
        <v>1786</v>
      </c>
      <c r="F1315" s="33" t="s">
        <v>1787</v>
      </c>
      <c r="G1315" s="33" t="s">
        <v>5846</v>
      </c>
      <c r="H1315" s="33" t="s">
        <v>945</v>
      </c>
      <c r="I1315" s="33" t="s">
        <v>945</v>
      </c>
      <c r="J1315" s="33" t="s">
        <v>5925</v>
      </c>
      <c r="K1315" s="33" t="s">
        <v>1791</v>
      </c>
      <c r="L1315" s="33" t="s">
        <v>4039</v>
      </c>
      <c r="M1315" s="33" t="s">
        <v>77</v>
      </c>
      <c r="N1315" s="33" t="s">
        <v>42</v>
      </c>
      <c r="Q1315" s="33" t="s">
        <v>4050</v>
      </c>
    </row>
    <row r="1316" spans="1:17">
      <c r="A1316" s="33" t="s">
        <v>5926</v>
      </c>
      <c r="B1316" s="33" t="s">
        <v>1024</v>
      </c>
      <c r="C1316" s="33" t="s">
        <v>3549</v>
      </c>
      <c r="D1316" s="33" t="s">
        <v>4068</v>
      </c>
      <c r="E1316" s="33" t="s">
        <v>1786</v>
      </c>
      <c r="F1316" s="33" t="s">
        <v>1787</v>
      </c>
      <c r="G1316" s="33" t="s">
        <v>5846</v>
      </c>
      <c r="H1316" s="33" t="s">
        <v>945</v>
      </c>
      <c r="I1316" s="33" t="s">
        <v>945</v>
      </c>
      <c r="J1316" s="33" t="s">
        <v>5927</v>
      </c>
      <c r="K1316" s="33" t="s">
        <v>1791</v>
      </c>
      <c r="L1316" s="33" t="s">
        <v>4039</v>
      </c>
      <c r="M1316" s="33" t="s">
        <v>77</v>
      </c>
      <c r="N1316" s="33" t="s">
        <v>42</v>
      </c>
      <c r="Q1316" s="33" t="s">
        <v>4050</v>
      </c>
    </row>
    <row r="1317" spans="1:17">
      <c r="A1317" s="33" t="s">
        <v>5928</v>
      </c>
      <c r="B1317" s="33" t="s">
        <v>1025</v>
      </c>
      <c r="C1317" s="33" t="s">
        <v>3549</v>
      </c>
      <c r="D1317" s="33" t="s">
        <v>4068</v>
      </c>
      <c r="E1317" s="33" t="s">
        <v>1786</v>
      </c>
      <c r="F1317" s="33" t="s">
        <v>1787</v>
      </c>
      <c r="G1317" s="33" t="s">
        <v>5846</v>
      </c>
      <c r="H1317" s="33" t="s">
        <v>945</v>
      </c>
      <c r="I1317" s="33" t="s">
        <v>945</v>
      </c>
      <c r="J1317" s="33" t="s">
        <v>5929</v>
      </c>
      <c r="K1317" s="33" t="s">
        <v>1791</v>
      </c>
      <c r="L1317" s="33" t="s">
        <v>4039</v>
      </c>
      <c r="M1317" s="33" t="s">
        <v>77</v>
      </c>
      <c r="N1317" s="33" t="s">
        <v>42</v>
      </c>
      <c r="Q1317" s="33" t="s">
        <v>4050</v>
      </c>
    </row>
    <row r="1318" spans="1:17">
      <c r="A1318" s="33" t="s">
        <v>5930</v>
      </c>
      <c r="B1318" s="33" t="s">
        <v>1027</v>
      </c>
      <c r="C1318" s="33" t="s">
        <v>3549</v>
      </c>
      <c r="D1318" s="33" t="s">
        <v>4068</v>
      </c>
      <c r="E1318" s="33" t="s">
        <v>1786</v>
      </c>
      <c r="F1318" s="33" t="s">
        <v>1787</v>
      </c>
      <c r="G1318" s="33" t="s">
        <v>5846</v>
      </c>
      <c r="H1318" s="33" t="s">
        <v>945</v>
      </c>
      <c r="I1318" s="33" t="s">
        <v>945</v>
      </c>
      <c r="J1318" s="33" t="s">
        <v>5931</v>
      </c>
      <c r="K1318" s="33" t="s">
        <v>1791</v>
      </c>
      <c r="L1318" s="33" t="s">
        <v>4039</v>
      </c>
      <c r="M1318" s="33" t="s">
        <v>77</v>
      </c>
      <c r="N1318" s="33" t="s">
        <v>42</v>
      </c>
      <c r="Q1318" s="33" t="s">
        <v>4050</v>
      </c>
    </row>
    <row r="1319" spans="1:17">
      <c r="A1319" s="33" t="s">
        <v>5932</v>
      </c>
      <c r="B1319" s="33" t="s">
        <v>1029</v>
      </c>
      <c r="C1319" s="33" t="s">
        <v>3549</v>
      </c>
      <c r="D1319" s="33" t="s">
        <v>4068</v>
      </c>
      <c r="E1319" s="33" t="s">
        <v>1786</v>
      </c>
      <c r="F1319" s="33" t="s">
        <v>1787</v>
      </c>
      <c r="G1319" s="33" t="s">
        <v>5846</v>
      </c>
      <c r="H1319" s="33" t="s">
        <v>945</v>
      </c>
      <c r="I1319" s="33" t="s">
        <v>945</v>
      </c>
      <c r="J1319" s="33" t="s">
        <v>5933</v>
      </c>
      <c r="K1319" s="33" t="s">
        <v>1791</v>
      </c>
      <c r="L1319" s="33" t="s">
        <v>4039</v>
      </c>
      <c r="M1319" s="33" t="s">
        <v>77</v>
      </c>
      <c r="N1319" s="33" t="s">
        <v>42</v>
      </c>
      <c r="Q1319" s="33" t="s">
        <v>4050</v>
      </c>
    </row>
    <row r="1320" spans="1:17">
      <c r="A1320" s="33" t="s">
        <v>5934</v>
      </c>
      <c r="B1320" s="33" t="s">
        <v>1031</v>
      </c>
      <c r="C1320" s="33" t="s">
        <v>3549</v>
      </c>
      <c r="D1320" s="33" t="s">
        <v>4068</v>
      </c>
      <c r="E1320" s="33" t="s">
        <v>1786</v>
      </c>
      <c r="F1320" s="33" t="s">
        <v>1787</v>
      </c>
      <c r="G1320" s="33" t="s">
        <v>5846</v>
      </c>
      <c r="H1320" s="33" t="s">
        <v>945</v>
      </c>
      <c r="I1320" s="33" t="s">
        <v>945</v>
      </c>
      <c r="J1320" s="33" t="s">
        <v>5935</v>
      </c>
      <c r="K1320" s="33" t="s">
        <v>1791</v>
      </c>
      <c r="L1320" s="33" t="s">
        <v>4039</v>
      </c>
      <c r="M1320" s="33" t="s">
        <v>75</v>
      </c>
      <c r="N1320" s="33" t="s">
        <v>42</v>
      </c>
      <c r="Q1320" s="33" t="s">
        <v>4050</v>
      </c>
    </row>
    <row r="1321" spans="1:17">
      <c r="A1321" s="33" t="s">
        <v>5936</v>
      </c>
      <c r="B1321" s="33" t="s">
        <v>1033</v>
      </c>
      <c r="C1321" s="33" t="s">
        <v>3549</v>
      </c>
      <c r="D1321" s="33" t="s">
        <v>4068</v>
      </c>
      <c r="E1321" s="33" t="s">
        <v>1786</v>
      </c>
      <c r="F1321" s="33" t="s">
        <v>1787</v>
      </c>
      <c r="G1321" s="33" t="s">
        <v>5846</v>
      </c>
      <c r="H1321" s="33" t="s">
        <v>945</v>
      </c>
      <c r="I1321" s="33" t="s">
        <v>945</v>
      </c>
      <c r="J1321" s="33" t="s">
        <v>5937</v>
      </c>
      <c r="K1321" s="33" t="s">
        <v>1791</v>
      </c>
      <c r="L1321" s="33" t="s">
        <v>4039</v>
      </c>
      <c r="M1321" s="33" t="s">
        <v>75</v>
      </c>
      <c r="N1321" s="33" t="s">
        <v>42</v>
      </c>
      <c r="Q1321" s="33" t="s">
        <v>4050</v>
      </c>
    </row>
    <row r="1322" spans="1:17">
      <c r="A1322" s="33" t="s">
        <v>5938</v>
      </c>
      <c r="B1322" s="33" t="s">
        <v>1035</v>
      </c>
      <c r="C1322" s="33" t="s">
        <v>3549</v>
      </c>
      <c r="D1322" s="33" t="s">
        <v>4068</v>
      </c>
      <c r="E1322" s="33" t="s">
        <v>1786</v>
      </c>
      <c r="F1322" s="33" t="s">
        <v>1787</v>
      </c>
      <c r="G1322" s="33" t="s">
        <v>5846</v>
      </c>
      <c r="H1322" s="33" t="s">
        <v>945</v>
      </c>
      <c r="I1322" s="33" t="s">
        <v>945</v>
      </c>
      <c r="J1322" s="33" t="s">
        <v>5939</v>
      </c>
      <c r="K1322" s="33" t="s">
        <v>1791</v>
      </c>
      <c r="L1322" s="33" t="s">
        <v>4039</v>
      </c>
      <c r="M1322" s="33" t="s">
        <v>75</v>
      </c>
      <c r="N1322" s="33" t="s">
        <v>42</v>
      </c>
      <c r="Q1322" s="33" t="s">
        <v>4050</v>
      </c>
    </row>
    <row r="1323" spans="1:17">
      <c r="A1323" s="33" t="s">
        <v>5940</v>
      </c>
      <c r="B1323" s="33" t="s">
        <v>1037</v>
      </c>
      <c r="C1323" s="33" t="s">
        <v>3549</v>
      </c>
      <c r="D1323" s="33" t="s">
        <v>4068</v>
      </c>
      <c r="E1323" s="33" t="s">
        <v>1786</v>
      </c>
      <c r="F1323" s="33" t="s">
        <v>1787</v>
      </c>
      <c r="G1323" s="33" t="s">
        <v>5846</v>
      </c>
      <c r="H1323" s="33" t="s">
        <v>945</v>
      </c>
      <c r="I1323" s="33" t="s">
        <v>945</v>
      </c>
      <c r="J1323" s="33" t="s">
        <v>5941</v>
      </c>
      <c r="K1323" s="33" t="s">
        <v>1791</v>
      </c>
      <c r="L1323" s="33" t="s">
        <v>4039</v>
      </c>
      <c r="M1323" s="33" t="s">
        <v>75</v>
      </c>
      <c r="N1323" s="33" t="s">
        <v>42</v>
      </c>
      <c r="Q1323" s="33" t="s">
        <v>4050</v>
      </c>
    </row>
    <row r="1324" spans="1:17">
      <c r="A1324" s="33" t="s">
        <v>5942</v>
      </c>
      <c r="B1324" s="33" t="s">
        <v>1039</v>
      </c>
      <c r="C1324" s="33" t="s">
        <v>3549</v>
      </c>
      <c r="D1324" s="33" t="s">
        <v>4068</v>
      </c>
      <c r="E1324" s="33" t="s">
        <v>1786</v>
      </c>
      <c r="F1324" s="33" t="s">
        <v>1787</v>
      </c>
      <c r="G1324" s="33" t="s">
        <v>5846</v>
      </c>
      <c r="H1324" s="33" t="s">
        <v>945</v>
      </c>
      <c r="I1324" s="33" t="s">
        <v>945</v>
      </c>
      <c r="J1324" s="33" t="s">
        <v>5943</v>
      </c>
      <c r="K1324" s="33" t="s">
        <v>1791</v>
      </c>
      <c r="L1324" s="33" t="s">
        <v>4039</v>
      </c>
      <c r="M1324" s="33" t="s">
        <v>75</v>
      </c>
      <c r="N1324" s="33" t="s">
        <v>42</v>
      </c>
      <c r="Q1324" s="33" t="s">
        <v>4050</v>
      </c>
    </row>
    <row r="1325" spans="1:17">
      <c r="A1325" s="33" t="s">
        <v>5944</v>
      </c>
      <c r="B1325" s="33" t="s">
        <v>1040</v>
      </c>
      <c r="C1325" s="33" t="s">
        <v>3549</v>
      </c>
      <c r="D1325" s="33" t="s">
        <v>4068</v>
      </c>
      <c r="E1325" s="33" t="s">
        <v>1786</v>
      </c>
      <c r="F1325" s="33" t="s">
        <v>1787</v>
      </c>
      <c r="G1325" s="33" t="s">
        <v>5846</v>
      </c>
      <c r="H1325" s="33" t="s">
        <v>945</v>
      </c>
      <c r="I1325" s="33" t="s">
        <v>945</v>
      </c>
      <c r="J1325" s="33" t="s">
        <v>5945</v>
      </c>
      <c r="K1325" s="33" t="s">
        <v>1791</v>
      </c>
      <c r="L1325" s="33" t="s">
        <v>4039</v>
      </c>
      <c r="M1325" s="33" t="s">
        <v>75</v>
      </c>
      <c r="N1325" s="33" t="s">
        <v>42</v>
      </c>
      <c r="Q1325" s="33" t="s">
        <v>4050</v>
      </c>
    </row>
    <row r="1326" spans="1:17">
      <c r="A1326" s="33" t="s">
        <v>5946</v>
      </c>
      <c r="B1326" s="33" t="s">
        <v>1042</v>
      </c>
      <c r="C1326" s="33" t="s">
        <v>3549</v>
      </c>
      <c r="D1326" s="33" t="s">
        <v>4068</v>
      </c>
      <c r="E1326" s="33" t="s">
        <v>1786</v>
      </c>
      <c r="F1326" s="33" t="s">
        <v>1787</v>
      </c>
      <c r="G1326" s="33" t="s">
        <v>5846</v>
      </c>
      <c r="H1326" s="33" t="s">
        <v>945</v>
      </c>
      <c r="I1326" s="33" t="s">
        <v>945</v>
      </c>
      <c r="J1326" s="33" t="s">
        <v>5947</v>
      </c>
      <c r="K1326" s="33" t="s">
        <v>1791</v>
      </c>
      <c r="L1326" s="33" t="s">
        <v>4039</v>
      </c>
      <c r="M1326" s="33" t="s">
        <v>75</v>
      </c>
      <c r="N1326" s="33" t="s">
        <v>42</v>
      </c>
      <c r="Q1326" s="33" t="s">
        <v>4050</v>
      </c>
    </row>
    <row r="1327" spans="1:17">
      <c r="A1327" s="33" t="s">
        <v>5948</v>
      </c>
      <c r="B1327" s="33" t="s">
        <v>1043</v>
      </c>
      <c r="C1327" s="33" t="s">
        <v>3549</v>
      </c>
      <c r="D1327" s="33" t="s">
        <v>4068</v>
      </c>
      <c r="E1327" s="33" t="s">
        <v>1786</v>
      </c>
      <c r="F1327" s="33" t="s">
        <v>1787</v>
      </c>
      <c r="G1327" s="33" t="s">
        <v>5846</v>
      </c>
      <c r="H1327" s="33" t="s">
        <v>945</v>
      </c>
      <c r="I1327" s="33" t="s">
        <v>945</v>
      </c>
      <c r="J1327" s="33" t="s">
        <v>5949</v>
      </c>
      <c r="K1327" s="33" t="s">
        <v>1791</v>
      </c>
      <c r="L1327" s="33" t="s">
        <v>4039</v>
      </c>
      <c r="M1327" s="33" t="s">
        <v>75</v>
      </c>
      <c r="N1327" s="33" t="s">
        <v>42</v>
      </c>
      <c r="Q1327" s="33" t="s">
        <v>4050</v>
      </c>
    </row>
    <row r="1328" spans="1:17">
      <c r="A1328" s="33" t="s">
        <v>5950</v>
      </c>
      <c r="B1328" s="33" t="s">
        <v>1045</v>
      </c>
      <c r="C1328" s="33" t="s">
        <v>3549</v>
      </c>
      <c r="D1328" s="33" t="s">
        <v>4068</v>
      </c>
      <c r="E1328" s="33" t="s">
        <v>1786</v>
      </c>
      <c r="F1328" s="33" t="s">
        <v>1787</v>
      </c>
      <c r="G1328" s="33" t="s">
        <v>5846</v>
      </c>
      <c r="H1328" s="33" t="s">
        <v>945</v>
      </c>
      <c r="I1328" s="33" t="s">
        <v>945</v>
      </c>
      <c r="J1328" s="33" t="s">
        <v>5951</v>
      </c>
      <c r="K1328" s="33" t="s">
        <v>1791</v>
      </c>
      <c r="L1328" s="33" t="s">
        <v>4039</v>
      </c>
      <c r="M1328" s="33" t="s">
        <v>78</v>
      </c>
      <c r="N1328" s="33" t="s">
        <v>42</v>
      </c>
      <c r="Q1328" s="33" t="s">
        <v>4050</v>
      </c>
    </row>
    <row r="1329" spans="1:17">
      <c r="A1329" s="33" t="s">
        <v>5952</v>
      </c>
      <c r="B1329" s="33" t="s">
        <v>1047</v>
      </c>
      <c r="C1329" s="33" t="s">
        <v>3549</v>
      </c>
      <c r="D1329" s="33" t="s">
        <v>4068</v>
      </c>
      <c r="E1329" s="33" t="s">
        <v>1786</v>
      </c>
      <c r="F1329" s="33" t="s">
        <v>1787</v>
      </c>
      <c r="G1329" s="33" t="s">
        <v>5846</v>
      </c>
      <c r="H1329" s="33" t="s">
        <v>945</v>
      </c>
      <c r="I1329" s="33" t="s">
        <v>945</v>
      </c>
      <c r="J1329" s="33" t="s">
        <v>5953</v>
      </c>
      <c r="K1329" s="33" t="s">
        <v>1791</v>
      </c>
      <c r="L1329" s="33" t="s">
        <v>4039</v>
      </c>
      <c r="M1329" s="33" t="s">
        <v>78</v>
      </c>
      <c r="N1329" s="33" t="s">
        <v>42</v>
      </c>
      <c r="Q1329" s="33" t="s">
        <v>4050</v>
      </c>
    </row>
    <row r="1330" spans="1:17">
      <c r="A1330" s="33" t="s">
        <v>5954</v>
      </c>
      <c r="B1330" s="33" t="s">
        <v>1049</v>
      </c>
      <c r="C1330" s="33" t="s">
        <v>3549</v>
      </c>
      <c r="D1330" s="33" t="s">
        <v>4068</v>
      </c>
      <c r="E1330" s="33" t="s">
        <v>1786</v>
      </c>
      <c r="F1330" s="33" t="s">
        <v>1787</v>
      </c>
      <c r="G1330" s="33" t="s">
        <v>5846</v>
      </c>
      <c r="H1330" s="33" t="s">
        <v>945</v>
      </c>
      <c r="I1330" s="33" t="s">
        <v>945</v>
      </c>
      <c r="J1330" s="33" t="s">
        <v>5955</v>
      </c>
      <c r="K1330" s="33" t="s">
        <v>1791</v>
      </c>
      <c r="L1330" s="33" t="s">
        <v>4039</v>
      </c>
      <c r="M1330" s="33" t="s">
        <v>78</v>
      </c>
      <c r="N1330" s="33" t="s">
        <v>42</v>
      </c>
      <c r="Q1330" s="33" t="s">
        <v>4050</v>
      </c>
    </row>
    <row r="1331" spans="1:17">
      <c r="A1331" s="33" t="s">
        <v>5956</v>
      </c>
      <c r="B1331" s="33" t="s">
        <v>1051</v>
      </c>
      <c r="C1331" s="33" t="s">
        <v>3549</v>
      </c>
      <c r="D1331" s="33" t="s">
        <v>4068</v>
      </c>
      <c r="E1331" s="33" t="s">
        <v>1786</v>
      </c>
      <c r="F1331" s="33" t="s">
        <v>1787</v>
      </c>
      <c r="G1331" s="33" t="s">
        <v>5846</v>
      </c>
      <c r="H1331" s="33" t="s">
        <v>945</v>
      </c>
      <c r="I1331" s="33" t="s">
        <v>945</v>
      </c>
      <c r="J1331" s="33" t="s">
        <v>5957</v>
      </c>
      <c r="K1331" s="33" t="s">
        <v>1791</v>
      </c>
      <c r="L1331" s="33" t="s">
        <v>4039</v>
      </c>
      <c r="M1331" s="33" t="s">
        <v>78</v>
      </c>
      <c r="N1331" s="33" t="s">
        <v>42</v>
      </c>
      <c r="Q1331" s="33" t="s">
        <v>4050</v>
      </c>
    </row>
    <row r="1332" spans="1:17">
      <c r="A1332" s="33" t="s">
        <v>5958</v>
      </c>
      <c r="B1332" s="33" t="s">
        <v>1053</v>
      </c>
      <c r="C1332" s="33" t="s">
        <v>3549</v>
      </c>
      <c r="D1332" s="33" t="s">
        <v>4068</v>
      </c>
      <c r="E1332" s="33" t="s">
        <v>1786</v>
      </c>
      <c r="F1332" s="33" t="s">
        <v>1787</v>
      </c>
      <c r="G1332" s="33" t="s">
        <v>5846</v>
      </c>
      <c r="H1332" s="33" t="s">
        <v>945</v>
      </c>
      <c r="I1332" s="33" t="s">
        <v>945</v>
      </c>
      <c r="J1332" s="33" t="s">
        <v>5959</v>
      </c>
      <c r="K1332" s="33" t="s">
        <v>1791</v>
      </c>
      <c r="L1332" s="33" t="s">
        <v>4039</v>
      </c>
      <c r="M1332" s="33" t="s">
        <v>78</v>
      </c>
      <c r="N1332" s="33" t="s">
        <v>42</v>
      </c>
      <c r="Q1332" s="33" t="s">
        <v>4050</v>
      </c>
    </row>
    <row r="1333" spans="1:17">
      <c r="A1333" s="33" t="s">
        <v>5960</v>
      </c>
      <c r="B1333" s="33" t="s">
        <v>1055</v>
      </c>
      <c r="C1333" s="33" t="s">
        <v>3549</v>
      </c>
      <c r="D1333" s="33" t="s">
        <v>4068</v>
      </c>
      <c r="E1333" s="33" t="s">
        <v>1786</v>
      </c>
      <c r="F1333" s="33" t="s">
        <v>1787</v>
      </c>
      <c r="G1333" s="33" t="s">
        <v>5846</v>
      </c>
      <c r="H1333" s="33" t="s">
        <v>945</v>
      </c>
      <c r="I1333" s="33" t="s">
        <v>945</v>
      </c>
      <c r="J1333" s="33" t="s">
        <v>5961</v>
      </c>
      <c r="K1333" s="33" t="s">
        <v>1791</v>
      </c>
      <c r="L1333" s="33" t="s">
        <v>4039</v>
      </c>
      <c r="M1333" s="33" t="s">
        <v>78</v>
      </c>
      <c r="N1333" s="33" t="s">
        <v>42</v>
      </c>
      <c r="Q1333" s="33" t="s">
        <v>4050</v>
      </c>
    </row>
    <row r="1334" spans="1:17">
      <c r="A1334" s="33" t="s">
        <v>5962</v>
      </c>
      <c r="B1334" s="33" t="s">
        <v>1057</v>
      </c>
      <c r="C1334" s="33" t="s">
        <v>3549</v>
      </c>
      <c r="D1334" s="33" t="s">
        <v>4068</v>
      </c>
      <c r="E1334" s="33" t="s">
        <v>1786</v>
      </c>
      <c r="F1334" s="33" t="s">
        <v>1787</v>
      </c>
      <c r="G1334" s="33" t="s">
        <v>5846</v>
      </c>
      <c r="H1334" s="33" t="s">
        <v>945</v>
      </c>
      <c r="I1334" s="33" t="s">
        <v>945</v>
      </c>
      <c r="J1334" s="33" t="s">
        <v>5963</v>
      </c>
      <c r="K1334" s="33" t="s">
        <v>1791</v>
      </c>
      <c r="L1334" s="33" t="s">
        <v>4039</v>
      </c>
      <c r="M1334" s="33" t="s">
        <v>78</v>
      </c>
      <c r="N1334" s="33" t="s">
        <v>42</v>
      </c>
      <c r="Q1334" s="33" t="s">
        <v>4050</v>
      </c>
    </row>
    <row r="1335" spans="1:17">
      <c r="A1335" s="33" t="s">
        <v>5964</v>
      </c>
      <c r="B1335" s="33" t="s">
        <v>1059</v>
      </c>
      <c r="C1335" s="33" t="s">
        <v>3549</v>
      </c>
      <c r="D1335" s="33" t="s">
        <v>4068</v>
      </c>
      <c r="E1335" s="33" t="s">
        <v>1786</v>
      </c>
      <c r="F1335" s="33" t="s">
        <v>1787</v>
      </c>
      <c r="G1335" s="33" t="s">
        <v>5846</v>
      </c>
      <c r="H1335" s="33" t="s">
        <v>945</v>
      </c>
      <c r="I1335" s="33" t="s">
        <v>945</v>
      </c>
      <c r="J1335" s="33" t="s">
        <v>5965</v>
      </c>
      <c r="K1335" s="33" t="s">
        <v>1791</v>
      </c>
      <c r="L1335" s="33" t="s">
        <v>4039</v>
      </c>
      <c r="M1335" s="33" t="s">
        <v>78</v>
      </c>
      <c r="N1335" s="33" t="s">
        <v>42</v>
      </c>
      <c r="Q1335" s="33" t="s">
        <v>4050</v>
      </c>
    </row>
    <row r="1336" spans="1:17">
      <c r="A1336" s="33" t="s">
        <v>5966</v>
      </c>
      <c r="B1336" s="33" t="s">
        <v>1061</v>
      </c>
      <c r="C1336" s="33" t="s">
        <v>3549</v>
      </c>
      <c r="D1336" s="33" t="s">
        <v>4068</v>
      </c>
      <c r="E1336" s="33" t="s">
        <v>1786</v>
      </c>
      <c r="F1336" s="33" t="s">
        <v>1787</v>
      </c>
      <c r="G1336" s="33" t="s">
        <v>5846</v>
      </c>
      <c r="H1336" s="33" t="s">
        <v>945</v>
      </c>
      <c r="I1336" s="33" t="s">
        <v>945</v>
      </c>
      <c r="J1336" s="33" t="s">
        <v>5967</v>
      </c>
      <c r="K1336" s="33" t="s">
        <v>1791</v>
      </c>
      <c r="L1336" s="33" t="s">
        <v>4039</v>
      </c>
      <c r="M1336" s="33" t="s">
        <v>78</v>
      </c>
      <c r="N1336" s="33" t="s">
        <v>42</v>
      </c>
      <c r="Q1336" s="33" t="s">
        <v>4050</v>
      </c>
    </row>
    <row r="1337" spans="1:17">
      <c r="A1337" s="33" t="s">
        <v>5968</v>
      </c>
      <c r="B1337" s="33" t="s">
        <v>1063</v>
      </c>
      <c r="C1337" s="33" t="s">
        <v>3549</v>
      </c>
      <c r="D1337" s="33" t="s">
        <v>4068</v>
      </c>
      <c r="E1337" s="33" t="s">
        <v>1786</v>
      </c>
      <c r="F1337" s="33" t="s">
        <v>1787</v>
      </c>
      <c r="G1337" s="33" t="s">
        <v>5846</v>
      </c>
      <c r="H1337" s="33" t="s">
        <v>945</v>
      </c>
      <c r="I1337" s="33" t="s">
        <v>945</v>
      </c>
      <c r="J1337" s="33" t="s">
        <v>5969</v>
      </c>
      <c r="K1337" s="33" t="s">
        <v>1791</v>
      </c>
      <c r="L1337" s="33" t="s">
        <v>4039</v>
      </c>
      <c r="M1337" s="33" t="s">
        <v>1064</v>
      </c>
      <c r="N1337" s="33" t="s">
        <v>42</v>
      </c>
      <c r="Q1337" s="33" t="s">
        <v>4050</v>
      </c>
    </row>
    <row r="1338" spans="1:17">
      <c r="A1338" s="33" t="s">
        <v>5970</v>
      </c>
      <c r="B1338" s="33" t="s">
        <v>1066</v>
      </c>
      <c r="C1338" s="33" t="s">
        <v>3549</v>
      </c>
      <c r="D1338" s="33" t="s">
        <v>4068</v>
      </c>
      <c r="E1338" s="33" t="s">
        <v>1786</v>
      </c>
      <c r="F1338" s="33" t="s">
        <v>1787</v>
      </c>
      <c r="G1338" s="33" t="s">
        <v>5846</v>
      </c>
      <c r="H1338" s="33" t="s">
        <v>945</v>
      </c>
      <c r="I1338" s="33" t="s">
        <v>945</v>
      </c>
      <c r="J1338" s="33" t="s">
        <v>5971</v>
      </c>
      <c r="K1338" s="33" t="s">
        <v>1791</v>
      </c>
      <c r="L1338" s="33" t="s">
        <v>4039</v>
      </c>
      <c r="M1338" s="33" t="s">
        <v>1064</v>
      </c>
      <c r="N1338" s="33" t="s">
        <v>42</v>
      </c>
      <c r="Q1338" s="33" t="s">
        <v>4050</v>
      </c>
    </row>
    <row r="1339" spans="1:17">
      <c r="A1339" s="33" t="s">
        <v>5972</v>
      </c>
      <c r="B1339" s="33" t="s">
        <v>1067</v>
      </c>
      <c r="C1339" s="33" t="s">
        <v>3549</v>
      </c>
      <c r="D1339" s="33" t="s">
        <v>4068</v>
      </c>
      <c r="E1339" s="33" t="s">
        <v>1786</v>
      </c>
      <c r="F1339" s="33" t="s">
        <v>1787</v>
      </c>
      <c r="G1339" s="33" t="s">
        <v>5846</v>
      </c>
      <c r="H1339" s="33" t="s">
        <v>945</v>
      </c>
      <c r="I1339" s="33" t="s">
        <v>945</v>
      </c>
      <c r="J1339" s="33" t="s">
        <v>5973</v>
      </c>
      <c r="K1339" s="33" t="s">
        <v>1791</v>
      </c>
      <c r="L1339" s="33" t="s">
        <v>4039</v>
      </c>
      <c r="M1339" s="33" t="s">
        <v>55</v>
      </c>
      <c r="N1339" s="33" t="s">
        <v>42</v>
      </c>
      <c r="Q1339" s="33" t="s">
        <v>4050</v>
      </c>
    </row>
    <row r="1340" spans="1:17">
      <c r="A1340" s="33" t="s">
        <v>5974</v>
      </c>
      <c r="B1340" s="33" t="s">
        <v>1069</v>
      </c>
      <c r="C1340" s="33" t="s">
        <v>3549</v>
      </c>
      <c r="D1340" s="33" t="s">
        <v>4068</v>
      </c>
      <c r="E1340" s="33" t="s">
        <v>1786</v>
      </c>
      <c r="F1340" s="33" t="s">
        <v>1787</v>
      </c>
      <c r="G1340" s="33" t="s">
        <v>5846</v>
      </c>
      <c r="H1340" s="33" t="s">
        <v>945</v>
      </c>
      <c r="I1340" s="33" t="s">
        <v>945</v>
      </c>
      <c r="J1340" s="33" t="s">
        <v>5975</v>
      </c>
      <c r="K1340" s="33" t="s">
        <v>1791</v>
      </c>
      <c r="L1340" s="33" t="s">
        <v>4039</v>
      </c>
      <c r="M1340" s="33" t="s">
        <v>55</v>
      </c>
      <c r="N1340" s="33" t="s">
        <v>42</v>
      </c>
      <c r="Q1340" s="33" t="s">
        <v>4050</v>
      </c>
    </row>
    <row r="1341" spans="1:17">
      <c r="A1341" s="33" t="s">
        <v>5976</v>
      </c>
      <c r="B1341" s="33" t="s">
        <v>1071</v>
      </c>
      <c r="C1341" s="33" t="s">
        <v>3549</v>
      </c>
      <c r="D1341" s="33" t="s">
        <v>4068</v>
      </c>
      <c r="E1341" s="33" t="s">
        <v>1786</v>
      </c>
      <c r="F1341" s="33" t="s">
        <v>1787</v>
      </c>
      <c r="G1341" s="33" t="s">
        <v>5846</v>
      </c>
      <c r="H1341" s="33" t="s">
        <v>945</v>
      </c>
      <c r="I1341" s="33" t="s">
        <v>945</v>
      </c>
      <c r="J1341" s="33" t="s">
        <v>5977</v>
      </c>
      <c r="K1341" s="33" t="s">
        <v>1791</v>
      </c>
      <c r="L1341" s="33" t="s">
        <v>4039</v>
      </c>
      <c r="M1341" s="33" t="s">
        <v>55</v>
      </c>
      <c r="N1341" s="33" t="s">
        <v>42</v>
      </c>
      <c r="Q1341" s="33" t="s">
        <v>4050</v>
      </c>
    </row>
    <row r="1342" spans="1:17">
      <c r="A1342" s="33" t="s">
        <v>5978</v>
      </c>
      <c r="B1342" s="33" t="s">
        <v>1073</v>
      </c>
      <c r="C1342" s="33" t="s">
        <v>3549</v>
      </c>
      <c r="D1342" s="33" t="s">
        <v>4068</v>
      </c>
      <c r="E1342" s="33" t="s">
        <v>1786</v>
      </c>
      <c r="F1342" s="33" t="s">
        <v>1787</v>
      </c>
      <c r="G1342" s="33" t="s">
        <v>5846</v>
      </c>
      <c r="H1342" s="33" t="s">
        <v>945</v>
      </c>
      <c r="I1342" s="33" t="s">
        <v>945</v>
      </c>
      <c r="J1342" s="33" t="s">
        <v>5979</v>
      </c>
      <c r="K1342" s="33" t="s">
        <v>1791</v>
      </c>
      <c r="L1342" s="33" t="s">
        <v>4039</v>
      </c>
      <c r="M1342" s="33" t="s">
        <v>55</v>
      </c>
      <c r="N1342" s="33" t="s">
        <v>42</v>
      </c>
      <c r="Q1342" s="33" t="s">
        <v>4050</v>
      </c>
    </row>
    <row r="1343" spans="1:17">
      <c r="A1343" s="33" t="s">
        <v>5980</v>
      </c>
      <c r="B1343" s="33" t="s">
        <v>1075</v>
      </c>
      <c r="C1343" s="33" t="s">
        <v>3549</v>
      </c>
      <c r="D1343" s="33" t="s">
        <v>4068</v>
      </c>
      <c r="E1343" s="33" t="s">
        <v>1786</v>
      </c>
      <c r="F1343" s="33" t="s">
        <v>1787</v>
      </c>
      <c r="G1343" s="33" t="s">
        <v>5846</v>
      </c>
      <c r="H1343" s="33" t="s">
        <v>945</v>
      </c>
      <c r="I1343" s="33" t="s">
        <v>945</v>
      </c>
      <c r="J1343" s="33" t="s">
        <v>5981</v>
      </c>
      <c r="K1343" s="33" t="s">
        <v>1791</v>
      </c>
      <c r="L1343" s="33" t="s">
        <v>4039</v>
      </c>
      <c r="M1343" s="33" t="s">
        <v>55</v>
      </c>
      <c r="N1343" s="33" t="s">
        <v>42</v>
      </c>
      <c r="Q1343" s="33" t="s">
        <v>4050</v>
      </c>
    </row>
    <row r="1344" spans="1:17">
      <c r="A1344" s="33" t="s">
        <v>5982</v>
      </c>
      <c r="B1344" s="33" t="s">
        <v>1077</v>
      </c>
      <c r="C1344" s="33" t="s">
        <v>3549</v>
      </c>
      <c r="D1344" s="33" t="s">
        <v>4068</v>
      </c>
      <c r="E1344" s="33" t="s">
        <v>1786</v>
      </c>
      <c r="F1344" s="33" t="s">
        <v>1787</v>
      </c>
      <c r="G1344" s="33" t="s">
        <v>5846</v>
      </c>
      <c r="H1344" s="33" t="s">
        <v>945</v>
      </c>
      <c r="I1344" s="33" t="s">
        <v>945</v>
      </c>
      <c r="J1344" s="33" t="s">
        <v>5983</v>
      </c>
      <c r="K1344" s="33" t="s">
        <v>1791</v>
      </c>
      <c r="L1344" s="33" t="s">
        <v>4039</v>
      </c>
      <c r="M1344" s="33" t="s">
        <v>1078</v>
      </c>
      <c r="N1344" s="33" t="s">
        <v>42</v>
      </c>
      <c r="Q1344" s="33" t="s">
        <v>4050</v>
      </c>
    </row>
    <row r="1345" spans="1:17">
      <c r="A1345" s="33" t="s">
        <v>5984</v>
      </c>
      <c r="B1345" s="33" t="s">
        <v>1080</v>
      </c>
      <c r="C1345" s="33" t="s">
        <v>3549</v>
      </c>
      <c r="D1345" s="33" t="s">
        <v>4068</v>
      </c>
      <c r="E1345" s="33" t="s">
        <v>1786</v>
      </c>
      <c r="F1345" s="33" t="s">
        <v>1787</v>
      </c>
      <c r="G1345" s="33" t="s">
        <v>5846</v>
      </c>
      <c r="H1345" s="33" t="s">
        <v>945</v>
      </c>
      <c r="I1345" s="33" t="s">
        <v>945</v>
      </c>
      <c r="J1345" s="33" t="s">
        <v>5985</v>
      </c>
      <c r="K1345" s="33" t="s">
        <v>1791</v>
      </c>
      <c r="L1345" s="33" t="s">
        <v>4039</v>
      </c>
      <c r="M1345" s="33" t="s">
        <v>1078</v>
      </c>
      <c r="N1345" s="33" t="s">
        <v>42</v>
      </c>
      <c r="Q1345" s="33" t="s">
        <v>4050</v>
      </c>
    </row>
    <row r="1346" spans="1:17">
      <c r="A1346" s="33" t="s">
        <v>5986</v>
      </c>
      <c r="B1346" s="33" t="s">
        <v>1082</v>
      </c>
      <c r="C1346" s="33" t="s">
        <v>3549</v>
      </c>
      <c r="D1346" s="33" t="s">
        <v>4068</v>
      </c>
      <c r="E1346" s="33" t="s">
        <v>1786</v>
      </c>
      <c r="F1346" s="33" t="s">
        <v>1787</v>
      </c>
      <c r="G1346" s="33" t="s">
        <v>5846</v>
      </c>
      <c r="H1346" s="33" t="s">
        <v>945</v>
      </c>
      <c r="I1346" s="33" t="s">
        <v>945</v>
      </c>
      <c r="J1346" s="33" t="s">
        <v>5987</v>
      </c>
      <c r="K1346" s="33" t="s">
        <v>1791</v>
      </c>
      <c r="L1346" s="33" t="s">
        <v>4039</v>
      </c>
      <c r="M1346" s="33" t="s">
        <v>1083</v>
      </c>
      <c r="N1346" s="33" t="s">
        <v>42</v>
      </c>
      <c r="Q1346" s="33" t="s">
        <v>4050</v>
      </c>
    </row>
    <row r="1347" spans="1:17">
      <c r="A1347" s="33" t="s">
        <v>5988</v>
      </c>
      <c r="B1347" s="33" t="s">
        <v>1085</v>
      </c>
      <c r="C1347" s="33" t="s">
        <v>3549</v>
      </c>
      <c r="D1347" s="33" t="s">
        <v>4068</v>
      </c>
      <c r="E1347" s="33" t="s">
        <v>1786</v>
      </c>
      <c r="F1347" s="33" t="s">
        <v>1787</v>
      </c>
      <c r="G1347" s="33" t="s">
        <v>5846</v>
      </c>
      <c r="H1347" s="33" t="s">
        <v>945</v>
      </c>
      <c r="I1347" s="33" t="s">
        <v>945</v>
      </c>
      <c r="J1347" s="33" t="s">
        <v>5989</v>
      </c>
      <c r="K1347" s="33" t="s">
        <v>1791</v>
      </c>
      <c r="L1347" s="33" t="s">
        <v>4039</v>
      </c>
      <c r="M1347" s="33" t="s">
        <v>1083</v>
      </c>
      <c r="N1347" s="33" t="s">
        <v>42</v>
      </c>
      <c r="Q1347" s="33" t="s">
        <v>4050</v>
      </c>
    </row>
    <row r="1348" spans="1:17">
      <c r="A1348" s="33" t="s">
        <v>5990</v>
      </c>
      <c r="B1348" s="33" t="s">
        <v>1086</v>
      </c>
      <c r="C1348" s="33" t="s">
        <v>3549</v>
      </c>
      <c r="D1348" s="33" t="s">
        <v>4068</v>
      </c>
      <c r="E1348" s="33" t="s">
        <v>1786</v>
      </c>
      <c r="F1348" s="33" t="s">
        <v>1787</v>
      </c>
      <c r="G1348" s="33" t="s">
        <v>5846</v>
      </c>
      <c r="H1348" s="33" t="s">
        <v>945</v>
      </c>
      <c r="I1348" s="33" t="s">
        <v>945</v>
      </c>
      <c r="J1348" s="33" t="s">
        <v>5991</v>
      </c>
      <c r="K1348" s="33" t="s">
        <v>1791</v>
      </c>
      <c r="L1348" s="33" t="s">
        <v>4039</v>
      </c>
      <c r="M1348" s="33" t="s">
        <v>1083</v>
      </c>
      <c r="N1348" s="33" t="s">
        <v>42</v>
      </c>
      <c r="Q1348" s="33" t="s">
        <v>4050</v>
      </c>
    </row>
    <row r="1349" spans="1:17">
      <c r="A1349" s="33" t="s">
        <v>5992</v>
      </c>
      <c r="B1349" s="33" t="s">
        <v>1087</v>
      </c>
      <c r="C1349" s="33" t="s">
        <v>3549</v>
      </c>
      <c r="D1349" s="33" t="s">
        <v>4068</v>
      </c>
      <c r="E1349" s="33" t="s">
        <v>1786</v>
      </c>
      <c r="F1349" s="33" t="s">
        <v>1787</v>
      </c>
      <c r="G1349" s="33" t="s">
        <v>5846</v>
      </c>
      <c r="H1349" s="33" t="s">
        <v>945</v>
      </c>
      <c r="I1349" s="33" t="s">
        <v>945</v>
      </c>
      <c r="J1349" s="33" t="s">
        <v>5993</v>
      </c>
      <c r="K1349" s="33" t="s">
        <v>1791</v>
      </c>
      <c r="L1349" s="33" t="s">
        <v>4039</v>
      </c>
      <c r="M1349" s="33" t="s">
        <v>1083</v>
      </c>
      <c r="N1349" s="33" t="s">
        <v>42</v>
      </c>
      <c r="Q1349" s="33" t="s">
        <v>4050</v>
      </c>
    </row>
    <row r="1350" spans="1:17">
      <c r="A1350" s="33" t="s">
        <v>5994</v>
      </c>
      <c r="B1350" s="33" t="s">
        <v>1088</v>
      </c>
      <c r="C1350" s="33" t="s">
        <v>3549</v>
      </c>
      <c r="D1350" s="33" t="s">
        <v>4068</v>
      </c>
      <c r="E1350" s="33" t="s">
        <v>1786</v>
      </c>
      <c r="F1350" s="33" t="s">
        <v>1787</v>
      </c>
      <c r="G1350" s="33" t="s">
        <v>5846</v>
      </c>
      <c r="H1350" s="33" t="s">
        <v>945</v>
      </c>
      <c r="I1350" s="33" t="s">
        <v>945</v>
      </c>
      <c r="J1350" s="33" t="s">
        <v>5995</v>
      </c>
      <c r="K1350" s="33" t="s">
        <v>1791</v>
      </c>
      <c r="L1350" s="33" t="s">
        <v>4039</v>
      </c>
      <c r="M1350" s="33" t="s">
        <v>1083</v>
      </c>
      <c r="N1350" s="33" t="s">
        <v>42</v>
      </c>
      <c r="Q1350" s="33" t="s">
        <v>4050</v>
      </c>
    </row>
    <row r="1351" spans="1:17">
      <c r="A1351" s="33" t="s">
        <v>5996</v>
      </c>
      <c r="B1351" s="33" t="s">
        <v>1090</v>
      </c>
      <c r="C1351" s="33" t="s">
        <v>3549</v>
      </c>
      <c r="D1351" s="33" t="s">
        <v>4068</v>
      </c>
      <c r="E1351" s="33" t="s">
        <v>1786</v>
      </c>
      <c r="F1351" s="33" t="s">
        <v>1787</v>
      </c>
      <c r="G1351" s="33" t="s">
        <v>5846</v>
      </c>
      <c r="H1351" s="33" t="s">
        <v>945</v>
      </c>
      <c r="I1351" s="33" t="s">
        <v>945</v>
      </c>
      <c r="J1351" s="33" t="s">
        <v>5997</v>
      </c>
      <c r="K1351" s="33" t="s">
        <v>1791</v>
      </c>
      <c r="L1351" s="33" t="s">
        <v>4039</v>
      </c>
      <c r="M1351" s="33" t="s">
        <v>1083</v>
      </c>
      <c r="N1351" s="33" t="s">
        <v>42</v>
      </c>
      <c r="Q1351" s="33" t="s">
        <v>4050</v>
      </c>
    </row>
    <row r="1352" spans="1:17">
      <c r="A1352" s="33" t="s">
        <v>5998</v>
      </c>
      <c r="B1352" s="33" t="s">
        <v>1091</v>
      </c>
      <c r="C1352" s="33" t="s">
        <v>3549</v>
      </c>
      <c r="D1352" s="33" t="s">
        <v>4068</v>
      </c>
      <c r="E1352" s="33" t="s">
        <v>1786</v>
      </c>
      <c r="F1352" s="33" t="s">
        <v>1787</v>
      </c>
      <c r="G1352" s="33" t="s">
        <v>5846</v>
      </c>
      <c r="H1352" s="33" t="s">
        <v>945</v>
      </c>
      <c r="I1352" s="33" t="s">
        <v>945</v>
      </c>
      <c r="J1352" s="33" t="s">
        <v>5999</v>
      </c>
      <c r="K1352" s="33" t="s">
        <v>1791</v>
      </c>
      <c r="L1352" s="33" t="s">
        <v>4039</v>
      </c>
      <c r="M1352" s="33" t="s">
        <v>80</v>
      </c>
      <c r="N1352" s="33" t="s">
        <v>42</v>
      </c>
      <c r="Q1352" s="33" t="s">
        <v>4050</v>
      </c>
    </row>
    <row r="1353" spans="1:17">
      <c r="A1353" s="33" t="s">
        <v>6000</v>
      </c>
      <c r="B1353" s="33" t="s">
        <v>1093</v>
      </c>
      <c r="C1353" s="33" t="s">
        <v>3549</v>
      </c>
      <c r="D1353" s="33" t="s">
        <v>4068</v>
      </c>
      <c r="E1353" s="33" t="s">
        <v>1786</v>
      </c>
      <c r="F1353" s="33" t="s">
        <v>1787</v>
      </c>
      <c r="G1353" s="33" t="s">
        <v>5846</v>
      </c>
      <c r="H1353" s="33" t="s">
        <v>945</v>
      </c>
      <c r="I1353" s="33" t="s">
        <v>945</v>
      </c>
      <c r="J1353" s="33" t="s">
        <v>6001</v>
      </c>
      <c r="K1353" s="33" t="s">
        <v>1791</v>
      </c>
      <c r="L1353" s="33" t="s">
        <v>4039</v>
      </c>
      <c r="M1353" s="33" t="s">
        <v>80</v>
      </c>
      <c r="N1353" s="33" t="s">
        <v>42</v>
      </c>
      <c r="Q1353" s="33" t="s">
        <v>4050</v>
      </c>
    </row>
    <row r="1354" spans="1:17">
      <c r="A1354" s="33" t="s">
        <v>6002</v>
      </c>
      <c r="B1354" s="33" t="s">
        <v>1095</v>
      </c>
      <c r="C1354" s="33" t="s">
        <v>3549</v>
      </c>
      <c r="D1354" s="33" t="s">
        <v>4068</v>
      </c>
      <c r="E1354" s="33" t="s">
        <v>1786</v>
      </c>
      <c r="F1354" s="33" t="s">
        <v>1787</v>
      </c>
      <c r="G1354" s="33" t="s">
        <v>5846</v>
      </c>
      <c r="H1354" s="33" t="s">
        <v>945</v>
      </c>
      <c r="I1354" s="33" t="s">
        <v>945</v>
      </c>
      <c r="J1354" s="33" t="s">
        <v>6003</v>
      </c>
      <c r="K1354" s="33" t="s">
        <v>1791</v>
      </c>
      <c r="L1354" s="33" t="s">
        <v>4039</v>
      </c>
      <c r="M1354" s="33" t="s">
        <v>80</v>
      </c>
      <c r="N1354" s="33" t="s">
        <v>42</v>
      </c>
      <c r="Q1354" s="33" t="s">
        <v>4050</v>
      </c>
    </row>
    <row r="1355" spans="1:17">
      <c r="A1355" s="33" t="s">
        <v>6004</v>
      </c>
      <c r="B1355" s="33" t="s">
        <v>1097</v>
      </c>
      <c r="C1355" s="33" t="s">
        <v>3549</v>
      </c>
      <c r="D1355" s="33" t="s">
        <v>4068</v>
      </c>
      <c r="E1355" s="33" t="s">
        <v>1786</v>
      </c>
      <c r="F1355" s="33" t="s">
        <v>1787</v>
      </c>
      <c r="G1355" s="33" t="s">
        <v>5846</v>
      </c>
      <c r="H1355" s="33" t="s">
        <v>945</v>
      </c>
      <c r="I1355" s="33" t="s">
        <v>945</v>
      </c>
      <c r="J1355" s="33" t="s">
        <v>6005</v>
      </c>
      <c r="K1355" s="33" t="s">
        <v>1791</v>
      </c>
      <c r="L1355" s="33" t="s">
        <v>4039</v>
      </c>
      <c r="M1355" s="33" t="s">
        <v>80</v>
      </c>
      <c r="N1355" s="33" t="s">
        <v>42</v>
      </c>
      <c r="Q1355" s="33" t="s">
        <v>4050</v>
      </c>
    </row>
    <row r="1356" spans="1:17">
      <c r="A1356" s="33" t="s">
        <v>6006</v>
      </c>
      <c r="B1356" s="33" t="s">
        <v>1099</v>
      </c>
      <c r="C1356" s="33" t="s">
        <v>3549</v>
      </c>
      <c r="D1356" s="33" t="s">
        <v>4068</v>
      </c>
      <c r="E1356" s="33" t="s">
        <v>1786</v>
      </c>
      <c r="F1356" s="33" t="s">
        <v>1787</v>
      </c>
      <c r="G1356" s="33" t="s">
        <v>5846</v>
      </c>
      <c r="H1356" s="33" t="s">
        <v>945</v>
      </c>
      <c r="I1356" s="33" t="s">
        <v>945</v>
      </c>
      <c r="J1356" s="33" t="s">
        <v>6007</v>
      </c>
      <c r="K1356" s="33" t="s">
        <v>1791</v>
      </c>
      <c r="L1356" s="33" t="s">
        <v>4039</v>
      </c>
      <c r="M1356" s="33" t="s">
        <v>80</v>
      </c>
      <c r="N1356" s="33" t="s">
        <v>42</v>
      </c>
      <c r="Q1356" s="33" t="s">
        <v>4050</v>
      </c>
    </row>
    <row r="1357" spans="1:17">
      <c r="A1357" s="33" t="s">
        <v>6008</v>
      </c>
      <c r="B1357" s="33" t="s">
        <v>1101</v>
      </c>
      <c r="C1357" s="33" t="s">
        <v>3549</v>
      </c>
      <c r="D1357" s="33" t="s">
        <v>4068</v>
      </c>
      <c r="E1357" s="33" t="s">
        <v>1786</v>
      </c>
      <c r="F1357" s="33" t="s">
        <v>1787</v>
      </c>
      <c r="G1357" s="33" t="s">
        <v>5846</v>
      </c>
      <c r="H1357" s="33" t="s">
        <v>945</v>
      </c>
      <c r="I1357" s="33" t="s">
        <v>945</v>
      </c>
      <c r="J1357" s="33" t="s">
        <v>6009</v>
      </c>
      <c r="K1357" s="33" t="s">
        <v>1791</v>
      </c>
      <c r="L1357" s="33" t="s">
        <v>4039</v>
      </c>
      <c r="M1357" s="33" t="s">
        <v>80</v>
      </c>
      <c r="N1357" s="33" t="s">
        <v>42</v>
      </c>
      <c r="Q1357" s="33" t="s">
        <v>4050</v>
      </c>
    </row>
    <row r="1358" spans="1:17">
      <c r="A1358" s="33" t="s">
        <v>6010</v>
      </c>
      <c r="B1358" s="33" t="s">
        <v>1103</v>
      </c>
      <c r="C1358" s="33" t="s">
        <v>3549</v>
      </c>
      <c r="D1358" s="33" t="s">
        <v>4068</v>
      </c>
      <c r="E1358" s="33" t="s">
        <v>1786</v>
      </c>
      <c r="F1358" s="33" t="s">
        <v>1787</v>
      </c>
      <c r="G1358" s="33" t="s">
        <v>5846</v>
      </c>
      <c r="H1358" s="33" t="s">
        <v>945</v>
      </c>
      <c r="I1358" s="33" t="s">
        <v>945</v>
      </c>
      <c r="J1358" s="33" t="s">
        <v>6011</v>
      </c>
      <c r="K1358" s="33" t="s">
        <v>1791</v>
      </c>
      <c r="L1358" s="33" t="s">
        <v>4039</v>
      </c>
      <c r="M1358" s="33" t="s">
        <v>82</v>
      </c>
      <c r="N1358" s="33" t="s">
        <v>42</v>
      </c>
      <c r="Q1358" s="33" t="s">
        <v>4050</v>
      </c>
    </row>
    <row r="1359" spans="1:17">
      <c r="A1359" s="33" t="s">
        <v>6012</v>
      </c>
      <c r="B1359" s="33" t="s">
        <v>1105</v>
      </c>
      <c r="C1359" s="33" t="s">
        <v>3549</v>
      </c>
      <c r="D1359" s="33" t="s">
        <v>4068</v>
      </c>
      <c r="E1359" s="33" t="s">
        <v>1786</v>
      </c>
      <c r="F1359" s="33" t="s">
        <v>1787</v>
      </c>
      <c r="G1359" s="33" t="s">
        <v>5846</v>
      </c>
      <c r="H1359" s="33" t="s">
        <v>945</v>
      </c>
      <c r="I1359" s="33" t="s">
        <v>945</v>
      </c>
      <c r="J1359" s="33" t="s">
        <v>6013</v>
      </c>
      <c r="K1359" s="33" t="s">
        <v>1791</v>
      </c>
      <c r="L1359" s="33" t="s">
        <v>4039</v>
      </c>
      <c r="M1359" s="33" t="s">
        <v>82</v>
      </c>
      <c r="N1359" s="33" t="s">
        <v>42</v>
      </c>
      <c r="Q1359" s="33" t="s">
        <v>4050</v>
      </c>
    </row>
    <row r="1360" spans="1:17">
      <c r="A1360" s="33" t="s">
        <v>6014</v>
      </c>
      <c r="B1360" s="33" t="s">
        <v>1107</v>
      </c>
      <c r="C1360" s="33" t="s">
        <v>3549</v>
      </c>
      <c r="D1360" s="33" t="s">
        <v>4068</v>
      </c>
      <c r="E1360" s="33" t="s">
        <v>1786</v>
      </c>
      <c r="F1360" s="33" t="s">
        <v>1787</v>
      </c>
      <c r="G1360" s="33" t="s">
        <v>5846</v>
      </c>
      <c r="H1360" s="33" t="s">
        <v>945</v>
      </c>
      <c r="I1360" s="33" t="s">
        <v>945</v>
      </c>
      <c r="J1360" s="33" t="s">
        <v>6015</v>
      </c>
      <c r="K1360" s="33" t="s">
        <v>1791</v>
      </c>
      <c r="L1360" s="33" t="s">
        <v>4039</v>
      </c>
      <c r="M1360" s="33" t="s">
        <v>82</v>
      </c>
      <c r="N1360" s="33" t="s">
        <v>42</v>
      </c>
      <c r="Q1360" s="33" t="s">
        <v>4050</v>
      </c>
    </row>
    <row r="1361" spans="1:17">
      <c r="A1361" s="33" t="s">
        <v>6016</v>
      </c>
      <c r="B1361" s="33" t="s">
        <v>1108</v>
      </c>
      <c r="C1361" s="33" t="s">
        <v>3549</v>
      </c>
      <c r="D1361" s="33" t="s">
        <v>4068</v>
      </c>
      <c r="E1361" s="33" t="s">
        <v>1786</v>
      </c>
      <c r="F1361" s="33" t="s">
        <v>1787</v>
      </c>
      <c r="G1361" s="33" t="s">
        <v>5846</v>
      </c>
      <c r="H1361" s="33" t="s">
        <v>945</v>
      </c>
      <c r="I1361" s="33" t="s">
        <v>945</v>
      </c>
      <c r="J1361" s="33" t="s">
        <v>6017</v>
      </c>
      <c r="K1361" s="33" t="s">
        <v>1791</v>
      </c>
      <c r="L1361" s="33" t="s">
        <v>4039</v>
      </c>
      <c r="M1361" s="33" t="s">
        <v>195</v>
      </c>
      <c r="N1361" s="33" t="s">
        <v>42</v>
      </c>
      <c r="Q1361" s="33" t="s">
        <v>4050</v>
      </c>
    </row>
    <row r="1362" spans="1:17">
      <c r="A1362" s="33" t="s">
        <v>6018</v>
      </c>
      <c r="B1362" s="33" t="s">
        <v>1110</v>
      </c>
      <c r="C1362" s="33" t="s">
        <v>3549</v>
      </c>
      <c r="D1362" s="33" t="s">
        <v>4068</v>
      </c>
      <c r="E1362" s="33" t="s">
        <v>1786</v>
      </c>
      <c r="F1362" s="33" t="s">
        <v>1787</v>
      </c>
      <c r="G1362" s="33" t="s">
        <v>5846</v>
      </c>
      <c r="H1362" s="33" t="s">
        <v>945</v>
      </c>
      <c r="I1362" s="33" t="s">
        <v>945</v>
      </c>
      <c r="J1362" s="33" t="s">
        <v>6019</v>
      </c>
      <c r="K1362" s="33" t="s">
        <v>1791</v>
      </c>
      <c r="L1362" s="33" t="s">
        <v>4039</v>
      </c>
      <c r="M1362" s="33" t="s">
        <v>195</v>
      </c>
      <c r="N1362" s="33" t="s">
        <v>42</v>
      </c>
      <c r="Q1362" s="33" t="s">
        <v>4050</v>
      </c>
    </row>
    <row r="1363" spans="1:17">
      <c r="A1363" s="33" t="s">
        <v>6020</v>
      </c>
      <c r="B1363" s="33" t="s">
        <v>1112</v>
      </c>
      <c r="C1363" s="33" t="s">
        <v>3549</v>
      </c>
      <c r="D1363" s="33" t="s">
        <v>4068</v>
      </c>
      <c r="E1363" s="33" t="s">
        <v>1786</v>
      </c>
      <c r="F1363" s="33" t="s">
        <v>1787</v>
      </c>
      <c r="G1363" s="33" t="s">
        <v>5846</v>
      </c>
      <c r="H1363" s="33" t="s">
        <v>945</v>
      </c>
      <c r="I1363" s="33" t="s">
        <v>945</v>
      </c>
      <c r="J1363" s="33" t="s">
        <v>6021</v>
      </c>
      <c r="K1363" s="33" t="s">
        <v>1791</v>
      </c>
      <c r="L1363" s="33" t="s">
        <v>4039</v>
      </c>
      <c r="M1363" s="33" t="s">
        <v>195</v>
      </c>
      <c r="N1363" s="33" t="s">
        <v>42</v>
      </c>
      <c r="Q1363" s="33" t="s">
        <v>4050</v>
      </c>
    </row>
    <row r="1364" spans="1:17" hidden="1">
      <c r="A1364" s="33" t="s">
        <v>6022</v>
      </c>
      <c r="B1364" s="33" t="s">
        <v>6023</v>
      </c>
      <c r="C1364" s="33" t="s">
        <v>1785</v>
      </c>
      <c r="D1364" s="33" t="s">
        <v>1788</v>
      </c>
      <c r="E1364" s="33" t="s">
        <v>2471</v>
      </c>
      <c r="F1364" s="33" t="s">
        <v>1815</v>
      </c>
      <c r="G1364" s="33" t="s">
        <v>1788</v>
      </c>
      <c r="H1364" s="33" t="s">
        <v>945</v>
      </c>
      <c r="I1364" s="33" t="s">
        <v>945</v>
      </c>
      <c r="J1364" s="33" t="s">
        <v>6024</v>
      </c>
      <c r="K1364" s="33" t="s">
        <v>2471</v>
      </c>
      <c r="L1364" s="33" t="s">
        <v>1206</v>
      </c>
      <c r="M1364" s="33" t="s">
        <v>69</v>
      </c>
      <c r="N1364" s="33" t="s">
        <v>1083</v>
      </c>
      <c r="Q1364" s="33" t="s">
        <v>4050</v>
      </c>
    </row>
    <row r="1365" spans="1:17" hidden="1">
      <c r="A1365" s="33" t="s">
        <v>6025</v>
      </c>
      <c r="B1365" s="33" t="s">
        <v>6026</v>
      </c>
      <c r="C1365" s="33" t="s">
        <v>1785</v>
      </c>
      <c r="D1365" s="33" t="s">
        <v>4068</v>
      </c>
      <c r="E1365" s="33" t="s">
        <v>1808</v>
      </c>
      <c r="F1365" s="33" t="s">
        <v>1787</v>
      </c>
      <c r="G1365" s="33" t="s">
        <v>1788</v>
      </c>
      <c r="H1365" s="33" t="s">
        <v>945</v>
      </c>
      <c r="I1365" s="33" t="s">
        <v>945</v>
      </c>
      <c r="J1365" s="33" t="s">
        <v>6027</v>
      </c>
      <c r="K1365" s="33" t="s">
        <v>1791</v>
      </c>
      <c r="L1365" s="33" t="s">
        <v>945</v>
      </c>
      <c r="M1365" s="33" t="s">
        <v>1083</v>
      </c>
      <c r="N1365" s="33" t="s">
        <v>1083</v>
      </c>
      <c r="Q1365" s="33" t="s">
        <v>4050</v>
      </c>
    </row>
    <row r="1366" spans="1:17">
      <c r="A1366" s="33" t="s">
        <v>6028</v>
      </c>
      <c r="B1366" s="33" t="s">
        <v>1114</v>
      </c>
      <c r="C1366" s="33" t="s">
        <v>3549</v>
      </c>
      <c r="D1366" s="33" t="s">
        <v>4068</v>
      </c>
      <c r="E1366" s="33" t="s">
        <v>1786</v>
      </c>
      <c r="F1366" s="33" t="s">
        <v>1787</v>
      </c>
      <c r="G1366" s="33" t="s">
        <v>5846</v>
      </c>
      <c r="H1366" s="33" t="s">
        <v>945</v>
      </c>
      <c r="I1366" s="33" t="s">
        <v>945</v>
      </c>
      <c r="J1366" s="33" t="s">
        <v>6029</v>
      </c>
      <c r="K1366" s="33" t="s">
        <v>1791</v>
      </c>
      <c r="L1366" s="33" t="s">
        <v>4039</v>
      </c>
      <c r="M1366" s="33" t="s">
        <v>196</v>
      </c>
      <c r="N1366" s="33" t="s">
        <v>42</v>
      </c>
      <c r="Q1366" s="33" t="s">
        <v>4050</v>
      </c>
    </row>
    <row r="1367" spans="1:17">
      <c r="A1367" s="33" t="s">
        <v>6030</v>
      </c>
      <c r="B1367" s="33" t="s">
        <v>1116</v>
      </c>
      <c r="C1367" s="33" t="s">
        <v>3549</v>
      </c>
      <c r="D1367" s="33" t="s">
        <v>4068</v>
      </c>
      <c r="E1367" s="33" t="s">
        <v>1786</v>
      </c>
      <c r="F1367" s="33" t="s">
        <v>1787</v>
      </c>
      <c r="G1367" s="33" t="s">
        <v>5846</v>
      </c>
      <c r="H1367" s="33" t="s">
        <v>945</v>
      </c>
      <c r="I1367" s="33" t="s">
        <v>945</v>
      </c>
      <c r="J1367" s="33" t="s">
        <v>6031</v>
      </c>
      <c r="K1367" s="33" t="s">
        <v>1791</v>
      </c>
      <c r="L1367" s="33" t="s">
        <v>4039</v>
      </c>
      <c r="M1367" s="33" t="s">
        <v>196</v>
      </c>
      <c r="N1367" s="33" t="s">
        <v>42</v>
      </c>
      <c r="Q1367" s="33" t="s">
        <v>4050</v>
      </c>
    </row>
    <row r="1368" spans="1:17">
      <c r="A1368" s="33" t="s">
        <v>6032</v>
      </c>
      <c r="B1368" s="33" t="s">
        <v>1118</v>
      </c>
      <c r="C1368" s="33" t="s">
        <v>3549</v>
      </c>
      <c r="D1368" s="33" t="s">
        <v>4068</v>
      </c>
      <c r="E1368" s="33" t="s">
        <v>1786</v>
      </c>
      <c r="F1368" s="33" t="s">
        <v>1787</v>
      </c>
      <c r="G1368" s="33" t="s">
        <v>5846</v>
      </c>
      <c r="H1368" s="33" t="s">
        <v>945</v>
      </c>
      <c r="I1368" s="33" t="s">
        <v>945</v>
      </c>
      <c r="J1368" s="33" t="s">
        <v>6033</v>
      </c>
      <c r="K1368" s="33" t="s">
        <v>1791</v>
      </c>
      <c r="L1368" s="33" t="s">
        <v>4039</v>
      </c>
      <c r="M1368" s="33" t="s">
        <v>196</v>
      </c>
      <c r="N1368" s="33" t="s">
        <v>42</v>
      </c>
      <c r="Q1368" s="33" t="s">
        <v>4050</v>
      </c>
    </row>
    <row r="1369" spans="1:17">
      <c r="A1369" s="33" t="s">
        <v>6034</v>
      </c>
      <c r="B1369" s="33" t="s">
        <v>1120</v>
      </c>
      <c r="C1369" s="33" t="s">
        <v>3549</v>
      </c>
      <c r="D1369" s="33" t="s">
        <v>4068</v>
      </c>
      <c r="E1369" s="33" t="s">
        <v>1786</v>
      </c>
      <c r="F1369" s="33" t="s">
        <v>1787</v>
      </c>
      <c r="G1369" s="33" t="s">
        <v>5846</v>
      </c>
      <c r="H1369" s="33" t="s">
        <v>945</v>
      </c>
      <c r="I1369" s="33" t="s">
        <v>945</v>
      </c>
      <c r="J1369" s="33" t="s">
        <v>6035</v>
      </c>
      <c r="K1369" s="33" t="s">
        <v>1791</v>
      </c>
      <c r="L1369" s="33" t="s">
        <v>4039</v>
      </c>
      <c r="M1369" s="33" t="s">
        <v>196</v>
      </c>
      <c r="N1369" s="33" t="s">
        <v>42</v>
      </c>
      <c r="Q1369" s="33" t="s">
        <v>4050</v>
      </c>
    </row>
    <row r="1370" spans="1:17">
      <c r="A1370" s="33" t="s">
        <v>6036</v>
      </c>
      <c r="B1370" s="33" t="s">
        <v>1122</v>
      </c>
      <c r="C1370" s="33" t="s">
        <v>3549</v>
      </c>
      <c r="D1370" s="33" t="s">
        <v>4068</v>
      </c>
      <c r="E1370" s="33" t="s">
        <v>1786</v>
      </c>
      <c r="F1370" s="33" t="s">
        <v>1787</v>
      </c>
      <c r="G1370" s="33" t="s">
        <v>5846</v>
      </c>
      <c r="H1370" s="33" t="s">
        <v>945</v>
      </c>
      <c r="I1370" s="33" t="s">
        <v>945</v>
      </c>
      <c r="J1370" s="33" t="s">
        <v>6037</v>
      </c>
      <c r="K1370" s="33" t="s">
        <v>1791</v>
      </c>
      <c r="L1370" s="33" t="s">
        <v>4039</v>
      </c>
      <c r="M1370" s="33" t="s">
        <v>196</v>
      </c>
      <c r="N1370" s="33" t="s">
        <v>42</v>
      </c>
      <c r="Q1370" s="33" t="s">
        <v>4050</v>
      </c>
    </row>
    <row r="1371" spans="1:17">
      <c r="A1371" s="33" t="s">
        <v>6038</v>
      </c>
      <c r="B1371" s="33" t="s">
        <v>1124</v>
      </c>
      <c r="C1371" s="33" t="s">
        <v>3549</v>
      </c>
      <c r="D1371" s="33" t="s">
        <v>4068</v>
      </c>
      <c r="E1371" s="33" t="s">
        <v>1786</v>
      </c>
      <c r="F1371" s="33" t="s">
        <v>1787</v>
      </c>
      <c r="G1371" s="33" t="s">
        <v>5846</v>
      </c>
      <c r="H1371" s="33" t="s">
        <v>945</v>
      </c>
      <c r="I1371" s="33" t="s">
        <v>945</v>
      </c>
      <c r="J1371" s="33" t="s">
        <v>6039</v>
      </c>
      <c r="K1371" s="33" t="s">
        <v>1791</v>
      </c>
      <c r="L1371" s="33" t="s">
        <v>4039</v>
      </c>
      <c r="M1371" s="33" t="s">
        <v>61</v>
      </c>
      <c r="N1371" s="33" t="s">
        <v>42</v>
      </c>
      <c r="Q1371" s="33" t="s">
        <v>4050</v>
      </c>
    </row>
    <row r="1372" spans="1:17">
      <c r="A1372" s="33" t="s">
        <v>6040</v>
      </c>
      <c r="B1372" s="33" t="s">
        <v>1125</v>
      </c>
      <c r="C1372" s="33" t="s">
        <v>3549</v>
      </c>
      <c r="D1372" s="33" t="s">
        <v>4068</v>
      </c>
      <c r="E1372" s="33" t="s">
        <v>1786</v>
      </c>
      <c r="F1372" s="33" t="s">
        <v>1787</v>
      </c>
      <c r="G1372" s="33" t="s">
        <v>5846</v>
      </c>
      <c r="H1372" s="33" t="s">
        <v>945</v>
      </c>
      <c r="I1372" s="33" t="s">
        <v>945</v>
      </c>
      <c r="J1372" s="33" t="s">
        <v>6041</v>
      </c>
      <c r="K1372" s="33" t="s">
        <v>1791</v>
      </c>
      <c r="L1372" s="33" t="s">
        <v>4039</v>
      </c>
      <c r="M1372" s="33" t="s">
        <v>61</v>
      </c>
      <c r="N1372" s="33" t="s">
        <v>42</v>
      </c>
      <c r="Q1372" s="33" t="s">
        <v>4050</v>
      </c>
    </row>
    <row r="1373" spans="1:17">
      <c r="A1373" s="33" t="s">
        <v>6042</v>
      </c>
      <c r="B1373" s="33" t="s">
        <v>1127</v>
      </c>
      <c r="C1373" s="33" t="s">
        <v>3549</v>
      </c>
      <c r="D1373" s="33" t="s">
        <v>4068</v>
      </c>
      <c r="E1373" s="33" t="s">
        <v>1786</v>
      </c>
      <c r="F1373" s="33" t="s">
        <v>1787</v>
      </c>
      <c r="G1373" s="33" t="s">
        <v>5846</v>
      </c>
      <c r="H1373" s="33" t="s">
        <v>945</v>
      </c>
      <c r="I1373" s="33" t="s">
        <v>945</v>
      </c>
      <c r="J1373" s="33" t="s">
        <v>6043</v>
      </c>
      <c r="K1373" s="33" t="s">
        <v>1791</v>
      </c>
      <c r="L1373" s="33" t="s">
        <v>4039</v>
      </c>
      <c r="M1373" s="33" t="s">
        <v>59</v>
      </c>
      <c r="N1373" s="33" t="s">
        <v>42</v>
      </c>
      <c r="Q1373" s="33" t="s">
        <v>4050</v>
      </c>
    </row>
    <row r="1374" spans="1:17">
      <c r="A1374" s="33" t="s">
        <v>6044</v>
      </c>
      <c r="B1374" s="33" t="s">
        <v>1128</v>
      </c>
      <c r="C1374" s="33" t="s">
        <v>3549</v>
      </c>
      <c r="D1374" s="33" t="s">
        <v>4068</v>
      </c>
      <c r="E1374" s="33" t="s">
        <v>1786</v>
      </c>
      <c r="F1374" s="33" t="s">
        <v>1787</v>
      </c>
      <c r="G1374" s="33" t="s">
        <v>5846</v>
      </c>
      <c r="H1374" s="33" t="s">
        <v>945</v>
      </c>
      <c r="I1374" s="33" t="s">
        <v>945</v>
      </c>
      <c r="J1374" s="33" t="s">
        <v>6045</v>
      </c>
      <c r="K1374" s="33" t="s">
        <v>1791</v>
      </c>
      <c r="L1374" s="33" t="s">
        <v>4039</v>
      </c>
      <c r="M1374" s="33" t="s">
        <v>69</v>
      </c>
      <c r="N1374" s="33" t="s">
        <v>42</v>
      </c>
      <c r="Q1374" s="33" t="s">
        <v>4050</v>
      </c>
    </row>
    <row r="1375" spans="1:17">
      <c r="A1375" s="33" t="s">
        <v>6046</v>
      </c>
      <c r="B1375" s="33" t="s">
        <v>1130</v>
      </c>
      <c r="C1375" s="33" t="s">
        <v>3549</v>
      </c>
      <c r="D1375" s="33" t="s">
        <v>4068</v>
      </c>
      <c r="E1375" s="33" t="s">
        <v>1786</v>
      </c>
      <c r="F1375" s="33" t="s">
        <v>1787</v>
      </c>
      <c r="G1375" s="33" t="s">
        <v>5846</v>
      </c>
      <c r="H1375" s="33" t="s">
        <v>945</v>
      </c>
      <c r="I1375" s="33" t="s">
        <v>945</v>
      </c>
      <c r="J1375" s="33" t="s">
        <v>6047</v>
      </c>
      <c r="K1375" s="33" t="s">
        <v>1791</v>
      </c>
      <c r="L1375" s="33" t="s">
        <v>4039</v>
      </c>
      <c r="M1375" s="33" t="s">
        <v>95</v>
      </c>
      <c r="N1375" s="33" t="s">
        <v>42</v>
      </c>
      <c r="Q1375" s="33" t="s">
        <v>4050</v>
      </c>
    </row>
    <row r="1376" spans="1:17">
      <c r="A1376" s="33" t="s">
        <v>6048</v>
      </c>
      <c r="B1376" s="33" t="s">
        <v>1131</v>
      </c>
      <c r="C1376" s="33" t="s">
        <v>3549</v>
      </c>
      <c r="D1376" s="33" t="s">
        <v>4068</v>
      </c>
      <c r="E1376" s="33" t="s">
        <v>1786</v>
      </c>
      <c r="F1376" s="33" t="s">
        <v>1787</v>
      </c>
      <c r="G1376" s="33" t="s">
        <v>5846</v>
      </c>
      <c r="H1376" s="33" t="s">
        <v>945</v>
      </c>
      <c r="I1376" s="33" t="s">
        <v>945</v>
      </c>
      <c r="J1376" s="33" t="s">
        <v>6049</v>
      </c>
      <c r="K1376" s="33" t="s">
        <v>1791</v>
      </c>
      <c r="L1376" s="33" t="s">
        <v>4039</v>
      </c>
      <c r="M1376" s="33" t="s">
        <v>95</v>
      </c>
      <c r="N1376" s="33" t="s">
        <v>42</v>
      </c>
      <c r="Q1376" s="33" t="s">
        <v>4050</v>
      </c>
    </row>
    <row r="1377" spans="1:17">
      <c r="A1377" s="33" t="s">
        <v>6050</v>
      </c>
      <c r="B1377" s="33" t="s">
        <v>1133</v>
      </c>
      <c r="C1377" s="33" t="s">
        <v>3549</v>
      </c>
      <c r="D1377" s="33" t="s">
        <v>4068</v>
      </c>
      <c r="E1377" s="33" t="s">
        <v>1786</v>
      </c>
      <c r="F1377" s="33" t="s">
        <v>1787</v>
      </c>
      <c r="G1377" s="33" t="s">
        <v>5846</v>
      </c>
      <c r="H1377" s="33" t="s">
        <v>945</v>
      </c>
      <c r="I1377" s="33" t="s">
        <v>945</v>
      </c>
      <c r="J1377" s="33" t="s">
        <v>6051</v>
      </c>
      <c r="K1377" s="33" t="s">
        <v>1791</v>
      </c>
      <c r="L1377" s="33" t="s">
        <v>4039</v>
      </c>
      <c r="M1377" s="33" t="s">
        <v>95</v>
      </c>
      <c r="N1377" s="33" t="s">
        <v>42</v>
      </c>
      <c r="Q1377" s="33" t="s">
        <v>4050</v>
      </c>
    </row>
    <row r="1378" spans="1:17">
      <c r="A1378" s="33" t="s">
        <v>6052</v>
      </c>
      <c r="B1378" s="33" t="s">
        <v>1135</v>
      </c>
      <c r="C1378" s="33" t="s">
        <v>3549</v>
      </c>
      <c r="D1378" s="33" t="s">
        <v>4068</v>
      </c>
      <c r="E1378" s="33" t="s">
        <v>1786</v>
      </c>
      <c r="F1378" s="33" t="s">
        <v>1787</v>
      </c>
      <c r="G1378" s="33" t="s">
        <v>5846</v>
      </c>
      <c r="H1378" s="33" t="s">
        <v>945</v>
      </c>
      <c r="I1378" s="33" t="s">
        <v>945</v>
      </c>
      <c r="J1378" s="33" t="s">
        <v>6053</v>
      </c>
      <c r="K1378" s="33" t="s">
        <v>1791</v>
      </c>
      <c r="L1378" s="33" t="s">
        <v>4039</v>
      </c>
      <c r="M1378" s="33" t="s">
        <v>95</v>
      </c>
      <c r="N1378" s="33" t="s">
        <v>42</v>
      </c>
      <c r="Q1378" s="33" t="s">
        <v>4050</v>
      </c>
    </row>
    <row r="1379" spans="1:17">
      <c r="A1379" s="33" t="s">
        <v>6054</v>
      </c>
      <c r="B1379" s="33" t="s">
        <v>1137</v>
      </c>
      <c r="C1379" s="33" t="s">
        <v>3549</v>
      </c>
      <c r="D1379" s="33" t="s">
        <v>4068</v>
      </c>
      <c r="E1379" s="33" t="s">
        <v>1786</v>
      </c>
      <c r="F1379" s="33" t="s">
        <v>1787</v>
      </c>
      <c r="G1379" s="33" t="s">
        <v>5846</v>
      </c>
      <c r="H1379" s="33" t="s">
        <v>945</v>
      </c>
      <c r="I1379" s="33" t="s">
        <v>945</v>
      </c>
      <c r="J1379" s="33" t="s">
        <v>6055</v>
      </c>
      <c r="K1379" s="33" t="s">
        <v>1791</v>
      </c>
      <c r="L1379" s="33" t="s">
        <v>4039</v>
      </c>
      <c r="M1379" s="33" t="s">
        <v>95</v>
      </c>
      <c r="N1379" s="33" t="s">
        <v>42</v>
      </c>
      <c r="Q1379" s="33" t="s">
        <v>4050</v>
      </c>
    </row>
    <row r="1380" spans="1:17">
      <c r="A1380" s="33" t="s">
        <v>6056</v>
      </c>
      <c r="B1380" s="33" t="s">
        <v>1139</v>
      </c>
      <c r="C1380" s="33" t="s">
        <v>3549</v>
      </c>
      <c r="D1380" s="33" t="s">
        <v>4068</v>
      </c>
      <c r="E1380" s="33" t="s">
        <v>1786</v>
      </c>
      <c r="F1380" s="33" t="s">
        <v>1787</v>
      </c>
      <c r="G1380" s="33" t="s">
        <v>5846</v>
      </c>
      <c r="H1380" s="33" t="s">
        <v>945</v>
      </c>
      <c r="I1380" s="33" t="s">
        <v>945</v>
      </c>
      <c r="J1380" s="33" t="s">
        <v>6057</v>
      </c>
      <c r="K1380" s="33" t="s">
        <v>1791</v>
      </c>
      <c r="L1380" s="33" t="s">
        <v>4039</v>
      </c>
      <c r="M1380" s="33" t="s">
        <v>95</v>
      </c>
      <c r="N1380" s="33" t="s">
        <v>42</v>
      </c>
      <c r="Q1380" s="33" t="s">
        <v>4050</v>
      </c>
    </row>
    <row r="1381" spans="1:17">
      <c r="A1381" s="33" t="s">
        <v>6058</v>
      </c>
      <c r="B1381" s="33" t="s">
        <v>1141</v>
      </c>
      <c r="C1381" s="33" t="s">
        <v>3549</v>
      </c>
      <c r="D1381" s="33" t="s">
        <v>4068</v>
      </c>
      <c r="E1381" s="33" t="s">
        <v>1786</v>
      </c>
      <c r="F1381" s="33" t="s">
        <v>1787</v>
      </c>
      <c r="G1381" s="33" t="s">
        <v>5846</v>
      </c>
      <c r="H1381" s="33" t="s">
        <v>945</v>
      </c>
      <c r="I1381" s="33" t="s">
        <v>945</v>
      </c>
      <c r="J1381" s="33" t="s">
        <v>6059</v>
      </c>
      <c r="K1381" s="33" t="s">
        <v>1791</v>
      </c>
      <c r="L1381" s="33" t="s">
        <v>4039</v>
      </c>
      <c r="M1381" s="33" t="s">
        <v>1142</v>
      </c>
      <c r="N1381" s="33" t="s">
        <v>42</v>
      </c>
      <c r="Q1381" s="33" t="s">
        <v>4050</v>
      </c>
    </row>
    <row r="1382" spans="1:17">
      <c r="A1382" s="33" t="s">
        <v>6060</v>
      </c>
      <c r="B1382" s="33" t="s">
        <v>1144</v>
      </c>
      <c r="C1382" s="33" t="s">
        <v>3549</v>
      </c>
      <c r="D1382" s="33" t="s">
        <v>4068</v>
      </c>
      <c r="E1382" s="33" t="s">
        <v>1786</v>
      </c>
      <c r="F1382" s="33" t="s">
        <v>1787</v>
      </c>
      <c r="G1382" s="33" t="s">
        <v>5846</v>
      </c>
      <c r="H1382" s="33" t="s">
        <v>945</v>
      </c>
      <c r="I1382" s="33" t="s">
        <v>945</v>
      </c>
      <c r="J1382" s="33" t="s">
        <v>6061</v>
      </c>
      <c r="K1382" s="33" t="s">
        <v>1791</v>
      </c>
      <c r="L1382" s="33" t="s">
        <v>4039</v>
      </c>
      <c r="M1382" s="33" t="s">
        <v>40</v>
      </c>
      <c r="N1382" s="33" t="s">
        <v>42</v>
      </c>
      <c r="Q1382" s="33" t="s">
        <v>4050</v>
      </c>
    </row>
    <row r="1383" spans="1:17">
      <c r="A1383" s="33" t="s">
        <v>6062</v>
      </c>
      <c r="B1383" s="33" t="s">
        <v>1146</v>
      </c>
      <c r="C1383" s="33" t="s">
        <v>3549</v>
      </c>
      <c r="D1383" s="33" t="s">
        <v>4068</v>
      </c>
      <c r="E1383" s="33" t="s">
        <v>1786</v>
      </c>
      <c r="F1383" s="33" t="s">
        <v>1787</v>
      </c>
      <c r="G1383" s="33" t="s">
        <v>5846</v>
      </c>
      <c r="H1383" s="33" t="s">
        <v>945</v>
      </c>
      <c r="I1383" s="33" t="s">
        <v>945</v>
      </c>
      <c r="J1383" s="33" t="s">
        <v>6063</v>
      </c>
      <c r="K1383" s="33" t="s">
        <v>1791</v>
      </c>
      <c r="L1383" s="33" t="s">
        <v>4039</v>
      </c>
      <c r="M1383" s="33" t="s">
        <v>40</v>
      </c>
      <c r="N1383" s="33" t="s">
        <v>42</v>
      </c>
      <c r="Q1383" s="33" t="s">
        <v>4050</v>
      </c>
    </row>
    <row r="1384" spans="1:17">
      <c r="A1384" s="33" t="s">
        <v>6064</v>
      </c>
      <c r="B1384" s="33" t="s">
        <v>1148</v>
      </c>
      <c r="C1384" s="33" t="s">
        <v>3549</v>
      </c>
      <c r="D1384" s="33" t="s">
        <v>4068</v>
      </c>
      <c r="E1384" s="33" t="s">
        <v>1786</v>
      </c>
      <c r="F1384" s="33" t="s">
        <v>1787</v>
      </c>
      <c r="G1384" s="33" t="s">
        <v>5846</v>
      </c>
      <c r="H1384" s="33" t="s">
        <v>945</v>
      </c>
      <c r="I1384" s="33" t="s">
        <v>945</v>
      </c>
      <c r="J1384" s="33" t="s">
        <v>6065</v>
      </c>
      <c r="K1384" s="33" t="s">
        <v>1791</v>
      </c>
      <c r="L1384" s="33" t="s">
        <v>4039</v>
      </c>
      <c r="M1384" s="33" t="s">
        <v>40</v>
      </c>
      <c r="N1384" s="33" t="s">
        <v>42</v>
      </c>
      <c r="Q1384" s="33" t="s">
        <v>4050</v>
      </c>
    </row>
    <row r="1385" spans="1:17" hidden="1">
      <c r="A1385" s="33" t="s">
        <v>6066</v>
      </c>
      <c r="B1385" s="33" t="s">
        <v>6067</v>
      </c>
      <c r="C1385" s="33" t="s">
        <v>3508</v>
      </c>
      <c r="D1385" s="33" t="s">
        <v>4677</v>
      </c>
      <c r="E1385" s="33" t="s">
        <v>2471</v>
      </c>
      <c r="F1385" s="33" t="s">
        <v>1787</v>
      </c>
      <c r="G1385" s="33" t="s">
        <v>4677</v>
      </c>
      <c r="H1385" s="33" t="s">
        <v>945</v>
      </c>
      <c r="I1385" s="33" t="s">
        <v>945</v>
      </c>
      <c r="J1385" s="33" t="s">
        <v>6068</v>
      </c>
      <c r="K1385" s="33" t="s">
        <v>2471</v>
      </c>
      <c r="L1385" s="33" t="s">
        <v>1206</v>
      </c>
      <c r="M1385" s="33" t="s">
        <v>970</v>
      </c>
      <c r="N1385" s="33" t="s">
        <v>80</v>
      </c>
      <c r="Q1385" s="33" t="s">
        <v>4050</v>
      </c>
    </row>
    <row r="1386" spans="1:17" hidden="1">
      <c r="A1386" s="33" t="s">
        <v>6069</v>
      </c>
      <c r="B1386" s="33" t="s">
        <v>6070</v>
      </c>
      <c r="C1386" s="33" t="s">
        <v>3508</v>
      </c>
      <c r="D1386" s="33" t="s">
        <v>4677</v>
      </c>
      <c r="E1386" s="33" t="s">
        <v>2471</v>
      </c>
      <c r="F1386" s="33" t="s">
        <v>1787</v>
      </c>
      <c r="G1386" s="33" t="s">
        <v>4677</v>
      </c>
      <c r="H1386" s="33" t="s">
        <v>945</v>
      </c>
      <c r="I1386" s="33" t="s">
        <v>945</v>
      </c>
      <c r="J1386" s="33" t="s">
        <v>6071</v>
      </c>
      <c r="K1386" s="33" t="s">
        <v>2471</v>
      </c>
      <c r="L1386" s="33" t="s">
        <v>1206</v>
      </c>
      <c r="M1386" s="33" t="s">
        <v>76</v>
      </c>
      <c r="N1386" s="33" t="s">
        <v>80</v>
      </c>
      <c r="Q1386" s="33" t="s">
        <v>4050</v>
      </c>
    </row>
    <row r="1387" spans="1:17" hidden="1">
      <c r="A1387" s="33" t="s">
        <v>6072</v>
      </c>
      <c r="B1387" s="33" t="s">
        <v>6073</v>
      </c>
      <c r="C1387" s="33" t="s">
        <v>3508</v>
      </c>
      <c r="D1387" s="33" t="s">
        <v>4677</v>
      </c>
      <c r="E1387" s="33" t="s">
        <v>2471</v>
      </c>
      <c r="F1387" s="33" t="s">
        <v>1787</v>
      </c>
      <c r="G1387" s="33" t="s">
        <v>4677</v>
      </c>
      <c r="H1387" s="33" t="s">
        <v>945</v>
      </c>
      <c r="I1387" s="33" t="s">
        <v>945</v>
      </c>
      <c r="J1387" s="33" t="s">
        <v>6074</v>
      </c>
      <c r="K1387" s="33" t="s">
        <v>2471</v>
      </c>
      <c r="L1387" s="33" t="s">
        <v>1206</v>
      </c>
      <c r="M1387" s="33" t="s">
        <v>82</v>
      </c>
      <c r="N1387" s="33" t="s">
        <v>80</v>
      </c>
      <c r="Q1387" s="33" t="s">
        <v>4050</v>
      </c>
    </row>
    <row r="1388" spans="1:17" hidden="1">
      <c r="A1388" s="33" t="s">
        <v>6075</v>
      </c>
      <c r="B1388" s="33" t="s">
        <v>6076</v>
      </c>
      <c r="C1388" s="33" t="s">
        <v>3205</v>
      </c>
      <c r="D1388" s="33" t="s">
        <v>3883</v>
      </c>
      <c r="E1388" s="33" t="s">
        <v>2471</v>
      </c>
      <c r="F1388" s="33" t="s">
        <v>1815</v>
      </c>
      <c r="G1388" s="33" t="s">
        <v>3883</v>
      </c>
      <c r="H1388" s="33" t="s">
        <v>945</v>
      </c>
      <c r="I1388" s="33" t="s">
        <v>945</v>
      </c>
      <c r="J1388" s="33" t="s">
        <v>6077</v>
      </c>
      <c r="K1388" s="33" t="s">
        <v>2471</v>
      </c>
      <c r="L1388" s="33" t="s">
        <v>1206</v>
      </c>
      <c r="M1388" s="33" t="s">
        <v>69</v>
      </c>
      <c r="N1388" s="33" t="s">
        <v>95</v>
      </c>
      <c r="Q1388" s="33" t="s">
        <v>4050</v>
      </c>
    </row>
    <row r="1389" spans="1:17" hidden="1">
      <c r="A1389" s="33" t="s">
        <v>6078</v>
      </c>
      <c r="B1389" s="33" t="s">
        <v>6079</v>
      </c>
      <c r="C1389" s="33" t="s">
        <v>3205</v>
      </c>
      <c r="D1389" s="33" t="s">
        <v>3883</v>
      </c>
      <c r="E1389" s="33" t="s">
        <v>2471</v>
      </c>
      <c r="F1389" s="33" t="s">
        <v>1815</v>
      </c>
      <c r="G1389" s="33" t="s">
        <v>3883</v>
      </c>
      <c r="H1389" s="33" t="s">
        <v>945</v>
      </c>
      <c r="I1389" s="33" t="s">
        <v>945</v>
      </c>
      <c r="J1389" s="33" t="s">
        <v>6080</v>
      </c>
      <c r="K1389" s="33" t="s">
        <v>2471</v>
      </c>
      <c r="L1389" s="33" t="s">
        <v>1206</v>
      </c>
      <c r="M1389" s="33" t="s">
        <v>69</v>
      </c>
      <c r="N1389" s="33" t="s">
        <v>95</v>
      </c>
      <c r="Q1389" s="33" t="s">
        <v>4050</v>
      </c>
    </row>
    <row r="1390" spans="1:17" hidden="1">
      <c r="A1390" s="33" t="s">
        <v>3911</v>
      </c>
      <c r="B1390" s="33" t="s">
        <v>6081</v>
      </c>
      <c r="C1390" s="33" t="s">
        <v>3205</v>
      </c>
      <c r="D1390" s="33" t="s">
        <v>4068</v>
      </c>
      <c r="E1390" s="33" t="s">
        <v>1808</v>
      </c>
      <c r="F1390" s="33" t="s">
        <v>1787</v>
      </c>
      <c r="G1390" s="33" t="s">
        <v>3206</v>
      </c>
      <c r="H1390" s="33" t="s">
        <v>3898</v>
      </c>
      <c r="I1390" s="33" t="s">
        <v>3898</v>
      </c>
      <c r="J1390" s="33" t="s">
        <v>3913</v>
      </c>
      <c r="K1390" s="33" t="s">
        <v>1791</v>
      </c>
      <c r="L1390" s="33" t="s">
        <v>3898</v>
      </c>
      <c r="M1390" s="33" t="s">
        <v>197</v>
      </c>
      <c r="N1390" s="33" t="s">
        <v>197</v>
      </c>
      <c r="Q1390" s="33" t="s">
        <v>4050</v>
      </c>
    </row>
    <row r="1391" spans="1:17" hidden="1">
      <c r="A1391" s="33" t="s">
        <v>6082</v>
      </c>
      <c r="B1391" s="33" t="s">
        <v>6083</v>
      </c>
      <c r="C1391" s="33" t="s">
        <v>1980</v>
      </c>
      <c r="D1391" s="33" t="s">
        <v>1981</v>
      </c>
      <c r="E1391" s="33" t="s">
        <v>2471</v>
      </c>
      <c r="F1391" s="33" t="s">
        <v>1787</v>
      </c>
      <c r="G1391" s="33" t="s">
        <v>1981</v>
      </c>
      <c r="H1391" s="33" t="s">
        <v>3902</v>
      </c>
      <c r="I1391" s="33" t="s">
        <v>3902</v>
      </c>
      <c r="J1391" s="33" t="s">
        <v>6084</v>
      </c>
      <c r="K1391" s="33" t="s">
        <v>2471</v>
      </c>
      <c r="L1391" s="33" t="s">
        <v>1206</v>
      </c>
      <c r="M1391" s="33" t="s">
        <v>196</v>
      </c>
      <c r="N1391" s="33" t="s">
        <v>69</v>
      </c>
      <c r="Q1391" s="33" t="s">
        <v>4050</v>
      </c>
    </row>
    <row r="1392" spans="1:17" hidden="1">
      <c r="A1392" s="33" t="s">
        <v>6085</v>
      </c>
      <c r="B1392" s="33" t="s">
        <v>6086</v>
      </c>
      <c r="C1392" s="33" t="s">
        <v>1785</v>
      </c>
      <c r="D1392" s="33" t="s">
        <v>1788</v>
      </c>
      <c r="E1392" s="33" t="s">
        <v>2471</v>
      </c>
      <c r="F1392" s="33" t="s">
        <v>1856</v>
      </c>
      <c r="G1392" s="33" t="s">
        <v>1788</v>
      </c>
      <c r="H1392" s="33" t="s">
        <v>3902</v>
      </c>
      <c r="I1392" s="33" t="s">
        <v>3902</v>
      </c>
      <c r="J1392" s="33" t="s">
        <v>6087</v>
      </c>
      <c r="K1392" s="33" t="s">
        <v>2471</v>
      </c>
      <c r="L1392" s="33" t="s">
        <v>1206</v>
      </c>
      <c r="M1392" s="33" t="s">
        <v>69</v>
      </c>
      <c r="N1392" s="33" t="s">
        <v>1083</v>
      </c>
      <c r="Q1392" s="33" t="s">
        <v>4050</v>
      </c>
    </row>
    <row r="1393" spans="1:17" hidden="1">
      <c r="A1393" s="33" t="s">
        <v>3830</v>
      </c>
      <c r="B1393" s="33" t="s">
        <v>6088</v>
      </c>
      <c r="C1393" s="33" t="s">
        <v>1980</v>
      </c>
      <c r="D1393" s="33" t="s">
        <v>3832</v>
      </c>
      <c r="E1393" s="33" t="s">
        <v>2471</v>
      </c>
      <c r="F1393" s="33" t="s">
        <v>1787</v>
      </c>
      <c r="G1393" s="33" t="s">
        <v>3832</v>
      </c>
      <c r="H1393" s="33" t="s">
        <v>3902</v>
      </c>
      <c r="I1393" s="33" t="s">
        <v>3902</v>
      </c>
      <c r="J1393" s="33" t="s">
        <v>6089</v>
      </c>
      <c r="K1393" s="33" t="s">
        <v>2471</v>
      </c>
      <c r="L1393" s="33" t="s">
        <v>1206</v>
      </c>
      <c r="M1393" s="33" t="s">
        <v>82</v>
      </c>
      <c r="N1393" s="33" t="s">
        <v>69</v>
      </c>
      <c r="Q1393" s="33" t="s">
        <v>4050</v>
      </c>
    </row>
    <row r="1394" spans="1:17" hidden="1">
      <c r="A1394" s="33" t="s">
        <v>6090</v>
      </c>
      <c r="B1394" s="33" t="s">
        <v>6091</v>
      </c>
      <c r="C1394" s="33" t="s">
        <v>3508</v>
      </c>
      <c r="D1394" s="33" t="s">
        <v>4677</v>
      </c>
      <c r="E1394" s="33" t="s">
        <v>2471</v>
      </c>
      <c r="F1394" s="33" t="s">
        <v>1787</v>
      </c>
      <c r="G1394" s="33" t="s">
        <v>4677</v>
      </c>
      <c r="H1394" s="33" t="s">
        <v>1152</v>
      </c>
      <c r="I1394" s="33" t="s">
        <v>1152</v>
      </c>
      <c r="J1394" s="33" t="s">
        <v>6092</v>
      </c>
      <c r="K1394" s="33" t="s">
        <v>2471</v>
      </c>
      <c r="L1394" s="33" t="s">
        <v>1206</v>
      </c>
      <c r="M1394" s="33" t="s">
        <v>125</v>
      </c>
      <c r="N1394" s="33" t="s">
        <v>80</v>
      </c>
      <c r="Q1394" s="33" t="s">
        <v>4050</v>
      </c>
    </row>
    <row r="1395" spans="1:17" hidden="1">
      <c r="A1395" s="33" t="s">
        <v>3830</v>
      </c>
      <c r="B1395" s="33" t="s">
        <v>6093</v>
      </c>
      <c r="C1395" s="33" t="s">
        <v>1980</v>
      </c>
      <c r="D1395" s="33" t="s">
        <v>3139</v>
      </c>
      <c r="E1395" s="33" t="s">
        <v>2471</v>
      </c>
      <c r="F1395" s="33" t="s">
        <v>1856</v>
      </c>
      <c r="G1395" s="33" t="s">
        <v>3139</v>
      </c>
      <c r="H1395" s="33" t="s">
        <v>1152</v>
      </c>
      <c r="I1395" s="33" t="s">
        <v>1152</v>
      </c>
      <c r="J1395" s="33" t="s">
        <v>6094</v>
      </c>
      <c r="K1395" s="33" t="s">
        <v>2471</v>
      </c>
      <c r="L1395" s="33" t="s">
        <v>1206</v>
      </c>
      <c r="M1395" s="33" t="s">
        <v>95</v>
      </c>
      <c r="N1395" s="33" t="s">
        <v>69</v>
      </c>
      <c r="Q1395" s="33" t="s">
        <v>4050</v>
      </c>
    </row>
    <row r="1396" spans="1:17" hidden="1">
      <c r="A1396" s="33" t="s">
        <v>6095</v>
      </c>
      <c r="B1396" s="33" t="s">
        <v>6096</v>
      </c>
      <c r="C1396" s="33" t="s">
        <v>4132</v>
      </c>
      <c r="D1396" s="33" t="s">
        <v>4068</v>
      </c>
      <c r="E1396" s="33" t="s">
        <v>1836</v>
      </c>
      <c r="F1396" s="33" t="s">
        <v>1815</v>
      </c>
      <c r="G1396" s="33" t="s">
        <v>4314</v>
      </c>
      <c r="H1396" s="33" t="s">
        <v>1152</v>
      </c>
      <c r="I1396" s="33" t="s">
        <v>1152</v>
      </c>
      <c r="J1396" s="33" t="s">
        <v>6097</v>
      </c>
      <c r="K1396" s="33" t="s">
        <v>1791</v>
      </c>
      <c r="L1396" s="33" t="s">
        <v>1206</v>
      </c>
      <c r="M1396" s="33" t="s">
        <v>193</v>
      </c>
      <c r="N1396" s="33" t="s">
        <v>134</v>
      </c>
      <c r="Q1396" s="33" t="s">
        <v>4050</v>
      </c>
    </row>
    <row r="1397" spans="1:17" hidden="1">
      <c r="A1397" s="33" t="s">
        <v>6098</v>
      </c>
      <c r="B1397" s="33" t="s">
        <v>6099</v>
      </c>
      <c r="C1397" s="33" t="s">
        <v>1980</v>
      </c>
      <c r="D1397" s="33" t="s">
        <v>3139</v>
      </c>
      <c r="E1397" s="33" t="s">
        <v>2471</v>
      </c>
      <c r="F1397" s="33" t="s">
        <v>1864</v>
      </c>
      <c r="G1397" s="33" t="s">
        <v>3139</v>
      </c>
      <c r="H1397" s="33" t="s">
        <v>1152</v>
      </c>
      <c r="I1397" s="33" t="s">
        <v>1152</v>
      </c>
      <c r="J1397" s="33" t="s">
        <v>6100</v>
      </c>
      <c r="K1397" s="33" t="s">
        <v>2471</v>
      </c>
      <c r="L1397" s="33" t="s">
        <v>1206</v>
      </c>
      <c r="M1397" s="33" t="s">
        <v>970</v>
      </c>
      <c r="N1397" s="33" t="s">
        <v>69</v>
      </c>
      <c r="Q1397" s="33" t="s">
        <v>4050</v>
      </c>
    </row>
    <row r="1398" spans="1:17">
      <c r="A1398" s="33" t="s">
        <v>6101</v>
      </c>
      <c r="B1398" s="33" t="s">
        <v>1151</v>
      </c>
      <c r="C1398" s="33" t="s">
        <v>3549</v>
      </c>
      <c r="D1398" s="33" t="s">
        <v>4068</v>
      </c>
      <c r="E1398" s="33" t="s">
        <v>1786</v>
      </c>
      <c r="F1398" s="33" t="s">
        <v>1787</v>
      </c>
      <c r="G1398" s="33" t="s">
        <v>5846</v>
      </c>
      <c r="H1398" s="33" t="s">
        <v>1152</v>
      </c>
      <c r="I1398" s="33" t="s">
        <v>1152</v>
      </c>
      <c r="J1398" s="33" t="s">
        <v>6102</v>
      </c>
      <c r="K1398" s="33" t="s">
        <v>1791</v>
      </c>
      <c r="L1398" s="33" t="s">
        <v>4039</v>
      </c>
      <c r="M1398" s="33" t="s">
        <v>107</v>
      </c>
      <c r="N1398" s="33" t="s">
        <v>42</v>
      </c>
      <c r="Q1398" s="33" t="s">
        <v>4050</v>
      </c>
    </row>
    <row r="1399" spans="1:17">
      <c r="A1399" s="33" t="s">
        <v>6103</v>
      </c>
      <c r="B1399" s="33" t="s">
        <v>1153</v>
      </c>
      <c r="C1399" s="33" t="s">
        <v>3549</v>
      </c>
      <c r="D1399" s="33" t="s">
        <v>4068</v>
      </c>
      <c r="E1399" s="33" t="s">
        <v>1786</v>
      </c>
      <c r="F1399" s="33" t="s">
        <v>1787</v>
      </c>
      <c r="G1399" s="33" t="s">
        <v>5846</v>
      </c>
      <c r="H1399" s="33" t="s">
        <v>1152</v>
      </c>
      <c r="I1399" s="33" t="s">
        <v>1152</v>
      </c>
      <c r="J1399" s="33" t="s">
        <v>6104</v>
      </c>
      <c r="K1399" s="33" t="s">
        <v>1791</v>
      </c>
      <c r="L1399" s="33" t="s">
        <v>4039</v>
      </c>
      <c r="M1399" s="33" t="s">
        <v>107</v>
      </c>
      <c r="N1399" s="33" t="s">
        <v>42</v>
      </c>
      <c r="Q1399" s="33" t="s">
        <v>4050</v>
      </c>
    </row>
    <row r="1400" spans="1:17">
      <c r="A1400" s="33" t="s">
        <v>6105</v>
      </c>
      <c r="B1400" s="33" t="s">
        <v>1154</v>
      </c>
      <c r="C1400" s="33" t="s">
        <v>3549</v>
      </c>
      <c r="D1400" s="33" t="s">
        <v>4068</v>
      </c>
      <c r="E1400" s="33" t="s">
        <v>1786</v>
      </c>
      <c r="F1400" s="33" t="s">
        <v>1787</v>
      </c>
      <c r="G1400" s="33" t="s">
        <v>5846</v>
      </c>
      <c r="H1400" s="33" t="s">
        <v>1152</v>
      </c>
      <c r="I1400" s="33" t="s">
        <v>1152</v>
      </c>
      <c r="J1400" s="33" t="s">
        <v>6106</v>
      </c>
      <c r="K1400" s="33" t="s">
        <v>1791</v>
      </c>
      <c r="L1400" s="33" t="s">
        <v>4039</v>
      </c>
      <c r="M1400" s="33" t="s">
        <v>107</v>
      </c>
      <c r="N1400" s="33" t="s">
        <v>42</v>
      </c>
      <c r="Q1400" s="33" t="s">
        <v>4050</v>
      </c>
    </row>
    <row r="1401" spans="1:17">
      <c r="A1401" s="33" t="s">
        <v>6107</v>
      </c>
      <c r="B1401" s="33" t="s">
        <v>1155</v>
      </c>
      <c r="C1401" s="33" t="s">
        <v>3549</v>
      </c>
      <c r="D1401" s="33" t="s">
        <v>4068</v>
      </c>
      <c r="E1401" s="33" t="s">
        <v>1786</v>
      </c>
      <c r="F1401" s="33" t="s">
        <v>1787</v>
      </c>
      <c r="G1401" s="33" t="s">
        <v>5846</v>
      </c>
      <c r="H1401" s="33" t="s">
        <v>1152</v>
      </c>
      <c r="I1401" s="33" t="s">
        <v>1152</v>
      </c>
      <c r="J1401" s="33" t="s">
        <v>6108</v>
      </c>
      <c r="K1401" s="33" t="s">
        <v>1791</v>
      </c>
      <c r="L1401" s="33" t="s">
        <v>4039</v>
      </c>
      <c r="M1401" s="33" t="s">
        <v>107</v>
      </c>
      <c r="N1401" s="33" t="s">
        <v>42</v>
      </c>
      <c r="Q1401" s="33" t="s">
        <v>4050</v>
      </c>
    </row>
    <row r="1402" spans="1:17">
      <c r="A1402" s="33" t="s">
        <v>6109</v>
      </c>
      <c r="B1402" s="33" t="s">
        <v>1157</v>
      </c>
      <c r="C1402" s="33" t="s">
        <v>3549</v>
      </c>
      <c r="D1402" s="33" t="s">
        <v>4068</v>
      </c>
      <c r="E1402" s="33" t="s">
        <v>1786</v>
      </c>
      <c r="F1402" s="33" t="s">
        <v>1787</v>
      </c>
      <c r="G1402" s="33" t="s">
        <v>5846</v>
      </c>
      <c r="H1402" s="33" t="s">
        <v>1152</v>
      </c>
      <c r="I1402" s="33" t="s">
        <v>1152</v>
      </c>
      <c r="J1402" s="33" t="s">
        <v>6110</v>
      </c>
      <c r="K1402" s="33" t="s">
        <v>1791</v>
      </c>
      <c r="L1402" s="33" t="s">
        <v>4039</v>
      </c>
      <c r="M1402" s="33" t="s">
        <v>108</v>
      </c>
      <c r="N1402" s="33" t="s">
        <v>42</v>
      </c>
      <c r="Q1402" s="33" t="s">
        <v>4050</v>
      </c>
    </row>
    <row r="1403" spans="1:17">
      <c r="A1403" s="33" t="s">
        <v>6111</v>
      </c>
      <c r="B1403" s="33" t="s">
        <v>1159</v>
      </c>
      <c r="C1403" s="33" t="s">
        <v>3549</v>
      </c>
      <c r="D1403" s="33" t="s">
        <v>4068</v>
      </c>
      <c r="E1403" s="33" t="s">
        <v>1786</v>
      </c>
      <c r="F1403" s="33" t="s">
        <v>1787</v>
      </c>
      <c r="G1403" s="33" t="s">
        <v>5846</v>
      </c>
      <c r="H1403" s="33" t="s">
        <v>1152</v>
      </c>
      <c r="I1403" s="33" t="s">
        <v>1152</v>
      </c>
      <c r="J1403" s="33" t="s">
        <v>6112</v>
      </c>
      <c r="K1403" s="33" t="s">
        <v>1791</v>
      </c>
      <c r="L1403" s="33" t="s">
        <v>4039</v>
      </c>
      <c r="M1403" s="33" t="s">
        <v>108</v>
      </c>
      <c r="N1403" s="33" t="s">
        <v>42</v>
      </c>
      <c r="Q1403" s="33" t="s">
        <v>4050</v>
      </c>
    </row>
    <row r="1404" spans="1:17">
      <c r="A1404" s="33" t="s">
        <v>6113</v>
      </c>
      <c r="B1404" s="33" t="s">
        <v>1161</v>
      </c>
      <c r="C1404" s="33" t="s">
        <v>3549</v>
      </c>
      <c r="D1404" s="33" t="s">
        <v>4068</v>
      </c>
      <c r="E1404" s="33" t="s">
        <v>1786</v>
      </c>
      <c r="F1404" s="33" t="s">
        <v>1787</v>
      </c>
      <c r="G1404" s="33" t="s">
        <v>5846</v>
      </c>
      <c r="H1404" s="33" t="s">
        <v>1152</v>
      </c>
      <c r="I1404" s="33" t="s">
        <v>1152</v>
      </c>
      <c r="J1404" s="33" t="s">
        <v>6114</v>
      </c>
      <c r="K1404" s="33" t="s">
        <v>1791</v>
      </c>
      <c r="L1404" s="33" t="s">
        <v>4039</v>
      </c>
      <c r="M1404" s="33" t="s">
        <v>108</v>
      </c>
      <c r="N1404" s="33" t="s">
        <v>42</v>
      </c>
      <c r="Q1404" s="33" t="s">
        <v>4050</v>
      </c>
    </row>
    <row r="1405" spans="1:17">
      <c r="A1405" s="33" t="s">
        <v>6115</v>
      </c>
      <c r="B1405" s="33" t="s">
        <v>1163</v>
      </c>
      <c r="C1405" s="33" t="s">
        <v>3549</v>
      </c>
      <c r="D1405" s="33" t="s">
        <v>4068</v>
      </c>
      <c r="E1405" s="33" t="s">
        <v>1786</v>
      </c>
      <c r="F1405" s="33" t="s">
        <v>1787</v>
      </c>
      <c r="G1405" s="33" t="s">
        <v>5846</v>
      </c>
      <c r="H1405" s="33" t="s">
        <v>1152</v>
      </c>
      <c r="I1405" s="33" t="s">
        <v>1152</v>
      </c>
      <c r="J1405" s="33" t="s">
        <v>6116</v>
      </c>
      <c r="K1405" s="33" t="s">
        <v>1791</v>
      </c>
      <c r="L1405" s="33" t="s">
        <v>4039</v>
      </c>
      <c r="M1405" s="33" t="s">
        <v>108</v>
      </c>
      <c r="N1405" s="33" t="s">
        <v>42</v>
      </c>
      <c r="Q1405" s="33" t="s">
        <v>4050</v>
      </c>
    </row>
    <row r="1406" spans="1:17">
      <c r="A1406" s="33" t="s">
        <v>6117</v>
      </c>
      <c r="B1406" s="33" t="s">
        <v>1165</v>
      </c>
      <c r="C1406" s="33" t="s">
        <v>3549</v>
      </c>
      <c r="D1406" s="33" t="s">
        <v>4068</v>
      </c>
      <c r="E1406" s="33" t="s">
        <v>1786</v>
      </c>
      <c r="F1406" s="33" t="s">
        <v>1787</v>
      </c>
      <c r="G1406" s="33" t="s">
        <v>5846</v>
      </c>
      <c r="H1406" s="33" t="s">
        <v>1152</v>
      </c>
      <c r="I1406" s="33" t="s">
        <v>1152</v>
      </c>
      <c r="J1406" s="33" t="s">
        <v>6118</v>
      </c>
      <c r="K1406" s="33" t="s">
        <v>1791</v>
      </c>
      <c r="L1406" s="33" t="s">
        <v>4039</v>
      </c>
      <c r="M1406" s="33" t="s">
        <v>108</v>
      </c>
      <c r="N1406" s="33" t="s">
        <v>42</v>
      </c>
      <c r="Q1406" s="33" t="s">
        <v>4050</v>
      </c>
    </row>
    <row r="1407" spans="1:17">
      <c r="A1407" s="33" t="s">
        <v>6119</v>
      </c>
      <c r="B1407" s="33" t="s">
        <v>1167</v>
      </c>
      <c r="C1407" s="33" t="s">
        <v>3549</v>
      </c>
      <c r="D1407" s="33" t="s">
        <v>4068</v>
      </c>
      <c r="E1407" s="33" t="s">
        <v>1786</v>
      </c>
      <c r="F1407" s="33" t="s">
        <v>1787</v>
      </c>
      <c r="G1407" s="33" t="s">
        <v>5846</v>
      </c>
      <c r="H1407" s="33" t="s">
        <v>1152</v>
      </c>
      <c r="I1407" s="33" t="s">
        <v>1152</v>
      </c>
      <c r="J1407" s="33" t="s">
        <v>6120</v>
      </c>
      <c r="K1407" s="33" t="s">
        <v>1791</v>
      </c>
      <c r="L1407" s="33" t="s">
        <v>4039</v>
      </c>
      <c r="M1407" s="33" t="s">
        <v>108</v>
      </c>
      <c r="N1407" s="33" t="s">
        <v>42</v>
      </c>
      <c r="Q1407" s="33" t="s">
        <v>4050</v>
      </c>
    </row>
    <row r="1408" spans="1:17">
      <c r="A1408" s="33" t="s">
        <v>6121</v>
      </c>
      <c r="B1408" s="33" t="s">
        <v>1168</v>
      </c>
      <c r="C1408" s="33" t="s">
        <v>3549</v>
      </c>
      <c r="D1408" s="33" t="s">
        <v>4068</v>
      </c>
      <c r="E1408" s="33" t="s">
        <v>1786</v>
      </c>
      <c r="F1408" s="33" t="s">
        <v>1787</v>
      </c>
      <c r="G1408" s="33" t="s">
        <v>5846</v>
      </c>
      <c r="H1408" s="33" t="s">
        <v>1152</v>
      </c>
      <c r="I1408" s="33" t="s">
        <v>1152</v>
      </c>
      <c r="J1408" s="33" t="s">
        <v>6122</v>
      </c>
      <c r="K1408" s="33" t="s">
        <v>1791</v>
      </c>
      <c r="L1408" s="33" t="s">
        <v>4039</v>
      </c>
      <c r="M1408" s="33" t="s">
        <v>106</v>
      </c>
      <c r="N1408" s="33" t="s">
        <v>42</v>
      </c>
      <c r="Q1408" s="33" t="s">
        <v>4050</v>
      </c>
    </row>
    <row r="1409" spans="1:17">
      <c r="A1409" s="33" t="s">
        <v>6123</v>
      </c>
      <c r="B1409" s="33" t="s">
        <v>1169</v>
      </c>
      <c r="C1409" s="33" t="s">
        <v>3549</v>
      </c>
      <c r="D1409" s="33" t="s">
        <v>4068</v>
      </c>
      <c r="E1409" s="33" t="s">
        <v>1786</v>
      </c>
      <c r="F1409" s="33" t="s">
        <v>1787</v>
      </c>
      <c r="G1409" s="33" t="s">
        <v>5846</v>
      </c>
      <c r="H1409" s="33" t="s">
        <v>1152</v>
      </c>
      <c r="I1409" s="33" t="s">
        <v>1152</v>
      </c>
      <c r="J1409" s="33" t="s">
        <v>6124</v>
      </c>
      <c r="K1409" s="33" t="s">
        <v>1791</v>
      </c>
      <c r="L1409" s="33" t="s">
        <v>4039</v>
      </c>
      <c r="M1409" s="33" t="s">
        <v>106</v>
      </c>
      <c r="N1409" s="33" t="s">
        <v>42</v>
      </c>
      <c r="Q1409" s="33" t="s">
        <v>4050</v>
      </c>
    </row>
    <row r="1410" spans="1:17">
      <c r="A1410" s="33" t="s">
        <v>6125</v>
      </c>
      <c r="B1410" s="33" t="s">
        <v>1171</v>
      </c>
      <c r="C1410" s="33" t="s">
        <v>3549</v>
      </c>
      <c r="D1410" s="33" t="s">
        <v>4068</v>
      </c>
      <c r="E1410" s="33" t="s">
        <v>1786</v>
      </c>
      <c r="F1410" s="33" t="s">
        <v>1787</v>
      </c>
      <c r="G1410" s="33" t="s">
        <v>5846</v>
      </c>
      <c r="H1410" s="33" t="s">
        <v>1152</v>
      </c>
      <c r="I1410" s="33" t="s">
        <v>1152</v>
      </c>
      <c r="J1410" s="33" t="s">
        <v>6126</v>
      </c>
      <c r="K1410" s="33" t="s">
        <v>1791</v>
      </c>
      <c r="L1410" s="33" t="s">
        <v>4039</v>
      </c>
      <c r="M1410" s="33" t="s">
        <v>106</v>
      </c>
      <c r="N1410" s="33" t="s">
        <v>42</v>
      </c>
      <c r="Q1410" s="33" t="s">
        <v>4050</v>
      </c>
    </row>
    <row r="1411" spans="1:17">
      <c r="A1411" s="33" t="s">
        <v>6127</v>
      </c>
      <c r="B1411" s="33" t="s">
        <v>1172</v>
      </c>
      <c r="C1411" s="33" t="s">
        <v>3549</v>
      </c>
      <c r="D1411" s="33" t="s">
        <v>4068</v>
      </c>
      <c r="E1411" s="33" t="s">
        <v>1786</v>
      </c>
      <c r="F1411" s="33" t="s">
        <v>1787</v>
      </c>
      <c r="G1411" s="33" t="s">
        <v>5846</v>
      </c>
      <c r="H1411" s="33" t="s">
        <v>1152</v>
      </c>
      <c r="I1411" s="33" t="s">
        <v>1152</v>
      </c>
      <c r="J1411" s="33" t="s">
        <v>6128</v>
      </c>
      <c r="K1411" s="33" t="s">
        <v>1791</v>
      </c>
      <c r="L1411" s="33" t="s">
        <v>4039</v>
      </c>
      <c r="M1411" s="33" t="s">
        <v>106</v>
      </c>
      <c r="N1411" s="33" t="s">
        <v>42</v>
      </c>
      <c r="Q1411" s="33" t="s">
        <v>4050</v>
      </c>
    </row>
    <row r="1412" spans="1:17">
      <c r="A1412" s="33" t="s">
        <v>6129</v>
      </c>
      <c r="B1412" s="33" t="s">
        <v>1173</v>
      </c>
      <c r="C1412" s="33" t="s">
        <v>3549</v>
      </c>
      <c r="D1412" s="33" t="s">
        <v>4068</v>
      </c>
      <c r="E1412" s="33" t="s">
        <v>1786</v>
      </c>
      <c r="F1412" s="33" t="s">
        <v>1787</v>
      </c>
      <c r="G1412" s="33" t="s">
        <v>5846</v>
      </c>
      <c r="H1412" s="33" t="s">
        <v>1152</v>
      </c>
      <c r="I1412" s="33" t="s">
        <v>1152</v>
      </c>
      <c r="J1412" s="33" t="s">
        <v>6130</v>
      </c>
      <c r="K1412" s="33" t="s">
        <v>1791</v>
      </c>
      <c r="L1412" s="33" t="s">
        <v>4039</v>
      </c>
      <c r="M1412" s="33" t="s">
        <v>106</v>
      </c>
      <c r="N1412" s="33" t="s">
        <v>42</v>
      </c>
      <c r="Q1412" s="33" t="s">
        <v>4050</v>
      </c>
    </row>
    <row r="1413" spans="1:17">
      <c r="A1413" s="33" t="s">
        <v>6131</v>
      </c>
      <c r="B1413" s="33" t="s">
        <v>1174</v>
      </c>
      <c r="C1413" s="33" t="s">
        <v>3549</v>
      </c>
      <c r="D1413" s="33" t="s">
        <v>4068</v>
      </c>
      <c r="E1413" s="33" t="s">
        <v>1786</v>
      </c>
      <c r="F1413" s="33" t="s">
        <v>1787</v>
      </c>
      <c r="G1413" s="33" t="s">
        <v>5846</v>
      </c>
      <c r="H1413" s="33" t="s">
        <v>1152</v>
      </c>
      <c r="I1413" s="33" t="s">
        <v>1152</v>
      </c>
      <c r="J1413" s="33" t="s">
        <v>6132</v>
      </c>
      <c r="K1413" s="33" t="s">
        <v>1791</v>
      </c>
      <c r="L1413" s="33" t="s">
        <v>4039</v>
      </c>
      <c r="M1413" s="33" t="s">
        <v>124</v>
      </c>
      <c r="N1413" s="33" t="s">
        <v>42</v>
      </c>
      <c r="Q1413" s="33" t="s">
        <v>4050</v>
      </c>
    </row>
    <row r="1414" spans="1:17">
      <c r="A1414" s="33" t="s">
        <v>6133</v>
      </c>
      <c r="B1414" s="33" t="s">
        <v>1175</v>
      </c>
      <c r="C1414" s="33" t="s">
        <v>3549</v>
      </c>
      <c r="D1414" s="33" t="s">
        <v>4068</v>
      </c>
      <c r="E1414" s="33" t="s">
        <v>1786</v>
      </c>
      <c r="F1414" s="33" t="s">
        <v>1787</v>
      </c>
      <c r="G1414" s="33" t="s">
        <v>5846</v>
      </c>
      <c r="H1414" s="33" t="s">
        <v>1152</v>
      </c>
      <c r="I1414" s="33" t="s">
        <v>1152</v>
      </c>
      <c r="J1414" s="33" t="s">
        <v>6134</v>
      </c>
      <c r="K1414" s="33" t="s">
        <v>1791</v>
      </c>
      <c r="L1414" s="33" t="s">
        <v>4039</v>
      </c>
      <c r="M1414" s="33" t="s">
        <v>124</v>
      </c>
      <c r="N1414" s="33" t="s">
        <v>42</v>
      </c>
      <c r="Q1414" s="33" t="s">
        <v>4050</v>
      </c>
    </row>
    <row r="1415" spans="1:17">
      <c r="A1415" s="33" t="s">
        <v>6135</v>
      </c>
      <c r="B1415" s="33" t="s">
        <v>1177</v>
      </c>
      <c r="C1415" s="33" t="s">
        <v>3549</v>
      </c>
      <c r="D1415" s="33" t="s">
        <v>4068</v>
      </c>
      <c r="E1415" s="33" t="s">
        <v>1786</v>
      </c>
      <c r="F1415" s="33" t="s">
        <v>1787</v>
      </c>
      <c r="G1415" s="33" t="s">
        <v>5846</v>
      </c>
      <c r="H1415" s="33" t="s">
        <v>1152</v>
      </c>
      <c r="I1415" s="33" t="s">
        <v>1152</v>
      </c>
      <c r="J1415" s="33" t="s">
        <v>6136</v>
      </c>
      <c r="K1415" s="33" t="s">
        <v>1791</v>
      </c>
      <c r="L1415" s="33" t="s">
        <v>4039</v>
      </c>
      <c r="M1415" s="33" t="s">
        <v>124</v>
      </c>
      <c r="N1415" s="33" t="s">
        <v>42</v>
      </c>
      <c r="Q1415" s="33" t="s">
        <v>4050</v>
      </c>
    </row>
    <row r="1416" spans="1:17">
      <c r="A1416" s="33" t="s">
        <v>6137</v>
      </c>
      <c r="B1416" s="33" t="s">
        <v>1178</v>
      </c>
      <c r="C1416" s="33" t="s">
        <v>3549</v>
      </c>
      <c r="D1416" s="33" t="s">
        <v>4068</v>
      </c>
      <c r="E1416" s="33" t="s">
        <v>1786</v>
      </c>
      <c r="F1416" s="33" t="s">
        <v>1787</v>
      </c>
      <c r="G1416" s="33" t="s">
        <v>5846</v>
      </c>
      <c r="H1416" s="33" t="s">
        <v>1152</v>
      </c>
      <c r="I1416" s="33" t="s">
        <v>1152</v>
      </c>
      <c r="J1416" s="33" t="s">
        <v>6138</v>
      </c>
      <c r="K1416" s="33" t="s">
        <v>1791</v>
      </c>
      <c r="L1416" s="33" t="s">
        <v>4039</v>
      </c>
      <c r="M1416" s="33" t="s">
        <v>5147</v>
      </c>
      <c r="N1416" s="33" t="s">
        <v>42</v>
      </c>
      <c r="Q1416" s="33" t="s">
        <v>4050</v>
      </c>
    </row>
    <row r="1417" spans="1:17">
      <c r="A1417" s="33" t="s">
        <v>6139</v>
      </c>
      <c r="B1417" s="33" t="s">
        <v>1180</v>
      </c>
      <c r="C1417" s="33" t="s">
        <v>3549</v>
      </c>
      <c r="D1417" s="33" t="s">
        <v>4068</v>
      </c>
      <c r="E1417" s="33" t="s">
        <v>1786</v>
      </c>
      <c r="F1417" s="33" t="s">
        <v>1787</v>
      </c>
      <c r="G1417" s="33" t="s">
        <v>5846</v>
      </c>
      <c r="H1417" s="33" t="s">
        <v>1152</v>
      </c>
      <c r="I1417" s="33" t="s">
        <v>1152</v>
      </c>
      <c r="J1417" s="33" t="s">
        <v>6140</v>
      </c>
      <c r="K1417" s="33" t="s">
        <v>1791</v>
      </c>
      <c r="L1417" s="33" t="s">
        <v>4039</v>
      </c>
      <c r="M1417" s="33" t="s">
        <v>125</v>
      </c>
      <c r="N1417" s="33" t="s">
        <v>42</v>
      </c>
      <c r="Q1417" s="33" t="s">
        <v>4050</v>
      </c>
    </row>
    <row r="1418" spans="1:17">
      <c r="A1418" s="33" t="s">
        <v>6141</v>
      </c>
      <c r="B1418" s="33" t="s">
        <v>1182</v>
      </c>
      <c r="C1418" s="33" t="s">
        <v>3549</v>
      </c>
      <c r="D1418" s="33" t="s">
        <v>4068</v>
      </c>
      <c r="E1418" s="33" t="s">
        <v>1786</v>
      </c>
      <c r="F1418" s="33" t="s">
        <v>1787</v>
      </c>
      <c r="G1418" s="33" t="s">
        <v>5846</v>
      </c>
      <c r="H1418" s="33" t="s">
        <v>1152</v>
      </c>
      <c r="I1418" s="33" t="s">
        <v>1152</v>
      </c>
      <c r="J1418" s="33" t="s">
        <v>6142</v>
      </c>
      <c r="K1418" s="33" t="s">
        <v>1791</v>
      </c>
      <c r="L1418" s="33" t="s">
        <v>4039</v>
      </c>
      <c r="M1418" s="33" t="s">
        <v>125</v>
      </c>
      <c r="N1418" s="33" t="s">
        <v>42</v>
      </c>
      <c r="Q1418" s="33" t="s">
        <v>4050</v>
      </c>
    </row>
    <row r="1419" spans="1:17">
      <c r="A1419" s="33" t="s">
        <v>6143</v>
      </c>
      <c r="B1419" s="33" t="s">
        <v>1183</v>
      </c>
      <c r="C1419" s="33" t="s">
        <v>3549</v>
      </c>
      <c r="D1419" s="33" t="s">
        <v>4068</v>
      </c>
      <c r="E1419" s="33" t="s">
        <v>1786</v>
      </c>
      <c r="F1419" s="33" t="s">
        <v>1787</v>
      </c>
      <c r="G1419" s="33" t="s">
        <v>5846</v>
      </c>
      <c r="H1419" s="33" t="s">
        <v>1152</v>
      </c>
      <c r="I1419" s="33" t="s">
        <v>1152</v>
      </c>
      <c r="J1419" s="33" t="s">
        <v>6144</v>
      </c>
      <c r="K1419" s="33" t="s">
        <v>1791</v>
      </c>
      <c r="L1419" s="33" t="s">
        <v>4039</v>
      </c>
      <c r="M1419" s="33" t="s">
        <v>125</v>
      </c>
      <c r="N1419" s="33" t="s">
        <v>42</v>
      </c>
      <c r="Q1419" s="33" t="s">
        <v>4050</v>
      </c>
    </row>
    <row r="1420" spans="1:17">
      <c r="A1420" s="33" t="s">
        <v>6145</v>
      </c>
      <c r="B1420" s="33" t="s">
        <v>1184</v>
      </c>
      <c r="C1420" s="33" t="s">
        <v>3549</v>
      </c>
      <c r="D1420" s="33" t="s">
        <v>4068</v>
      </c>
      <c r="E1420" s="33" t="s">
        <v>1786</v>
      </c>
      <c r="F1420" s="33" t="s">
        <v>1787</v>
      </c>
      <c r="G1420" s="33" t="s">
        <v>5846</v>
      </c>
      <c r="H1420" s="33" t="s">
        <v>1152</v>
      </c>
      <c r="I1420" s="33" t="s">
        <v>1152</v>
      </c>
      <c r="J1420" s="33" t="s">
        <v>6146</v>
      </c>
      <c r="K1420" s="33" t="s">
        <v>1791</v>
      </c>
      <c r="L1420" s="33" t="s">
        <v>4039</v>
      </c>
      <c r="M1420" s="33" t="s">
        <v>125</v>
      </c>
      <c r="N1420" s="33" t="s">
        <v>42</v>
      </c>
      <c r="Q1420" s="33" t="s">
        <v>4050</v>
      </c>
    </row>
    <row r="1421" spans="1:17">
      <c r="A1421" s="33" t="s">
        <v>6147</v>
      </c>
      <c r="B1421" s="33" t="s">
        <v>1186</v>
      </c>
      <c r="C1421" s="33" t="s">
        <v>3549</v>
      </c>
      <c r="D1421" s="33" t="s">
        <v>4068</v>
      </c>
      <c r="E1421" s="33" t="s">
        <v>1786</v>
      </c>
      <c r="F1421" s="33" t="s">
        <v>1787</v>
      </c>
      <c r="G1421" s="33" t="s">
        <v>5846</v>
      </c>
      <c r="H1421" s="33" t="s">
        <v>1152</v>
      </c>
      <c r="I1421" s="33" t="s">
        <v>1152</v>
      </c>
      <c r="J1421" s="33" t="s">
        <v>6148</v>
      </c>
      <c r="K1421" s="33" t="s">
        <v>1791</v>
      </c>
      <c r="L1421" s="33" t="s">
        <v>4039</v>
      </c>
      <c r="M1421" s="33" t="s">
        <v>125</v>
      </c>
      <c r="N1421" s="33" t="s">
        <v>42</v>
      </c>
      <c r="Q1421" s="33" t="s">
        <v>4050</v>
      </c>
    </row>
    <row r="1422" spans="1:17">
      <c r="A1422" s="33" t="s">
        <v>6149</v>
      </c>
      <c r="B1422" s="33" t="s">
        <v>1188</v>
      </c>
      <c r="C1422" s="33" t="s">
        <v>3549</v>
      </c>
      <c r="D1422" s="33" t="s">
        <v>4068</v>
      </c>
      <c r="E1422" s="33" t="s">
        <v>1786</v>
      </c>
      <c r="F1422" s="33" t="s">
        <v>1787</v>
      </c>
      <c r="G1422" s="33" t="s">
        <v>5846</v>
      </c>
      <c r="H1422" s="33" t="s">
        <v>1152</v>
      </c>
      <c r="I1422" s="33" t="s">
        <v>1152</v>
      </c>
      <c r="J1422" s="33" t="s">
        <v>6150</v>
      </c>
      <c r="K1422" s="33" t="s">
        <v>1791</v>
      </c>
      <c r="L1422" s="33" t="s">
        <v>4039</v>
      </c>
      <c r="M1422" s="33" t="s">
        <v>11</v>
      </c>
      <c r="N1422" s="33" t="s">
        <v>42</v>
      </c>
      <c r="Q1422" s="33" t="s">
        <v>4050</v>
      </c>
    </row>
    <row r="1423" spans="1:17">
      <c r="A1423" s="33" t="s">
        <v>6151</v>
      </c>
      <c r="B1423" s="33" t="s">
        <v>1189</v>
      </c>
      <c r="C1423" s="33" t="s">
        <v>3549</v>
      </c>
      <c r="D1423" s="33" t="s">
        <v>4068</v>
      </c>
      <c r="E1423" s="33" t="s">
        <v>1786</v>
      </c>
      <c r="F1423" s="33" t="s">
        <v>1787</v>
      </c>
      <c r="G1423" s="33" t="s">
        <v>5846</v>
      </c>
      <c r="H1423" s="33" t="s">
        <v>1152</v>
      </c>
      <c r="I1423" s="33" t="s">
        <v>1152</v>
      </c>
      <c r="J1423" s="33" t="s">
        <v>6152</v>
      </c>
      <c r="K1423" s="33" t="s">
        <v>1791</v>
      </c>
      <c r="L1423" s="33" t="s">
        <v>4039</v>
      </c>
      <c r="M1423" s="33" t="s">
        <v>970</v>
      </c>
      <c r="N1423" s="33" t="s">
        <v>42</v>
      </c>
      <c r="Q1423" s="33" t="s">
        <v>4050</v>
      </c>
    </row>
    <row r="1424" spans="1:17">
      <c r="A1424" s="33" t="s">
        <v>6153</v>
      </c>
      <c r="B1424" s="33" t="s">
        <v>1190</v>
      </c>
      <c r="C1424" s="33" t="s">
        <v>3549</v>
      </c>
      <c r="D1424" s="33" t="s">
        <v>4068</v>
      </c>
      <c r="E1424" s="33" t="s">
        <v>1786</v>
      </c>
      <c r="F1424" s="33" t="s">
        <v>1787</v>
      </c>
      <c r="G1424" s="33" t="s">
        <v>5846</v>
      </c>
      <c r="H1424" s="33" t="s">
        <v>1152</v>
      </c>
      <c r="I1424" s="33" t="s">
        <v>1152</v>
      </c>
      <c r="J1424" s="33" t="s">
        <v>6154</v>
      </c>
      <c r="K1424" s="33" t="s">
        <v>1791</v>
      </c>
      <c r="L1424" s="33" t="s">
        <v>4039</v>
      </c>
      <c r="M1424" s="33" t="s">
        <v>970</v>
      </c>
      <c r="N1424" s="33" t="s">
        <v>42</v>
      </c>
      <c r="Q1424" s="33" t="s">
        <v>4050</v>
      </c>
    </row>
    <row r="1425" spans="1:17" hidden="1">
      <c r="A1425" s="33" t="s">
        <v>6155</v>
      </c>
      <c r="B1425" s="33" t="s">
        <v>6156</v>
      </c>
      <c r="C1425" s="33" t="s">
        <v>4132</v>
      </c>
      <c r="D1425" s="33" t="s">
        <v>16</v>
      </c>
      <c r="E1425" s="33" t="s">
        <v>2471</v>
      </c>
      <c r="F1425" s="33" t="s">
        <v>1787</v>
      </c>
      <c r="G1425" s="33" t="s">
        <v>16</v>
      </c>
      <c r="H1425" s="33" t="s">
        <v>1152</v>
      </c>
      <c r="I1425" s="33" t="s">
        <v>1152</v>
      </c>
      <c r="J1425" s="33" t="s">
        <v>6157</v>
      </c>
      <c r="K1425" s="33" t="s">
        <v>2471</v>
      </c>
      <c r="L1425" s="33" t="s">
        <v>1206</v>
      </c>
      <c r="M1425" s="33" t="s">
        <v>193</v>
      </c>
      <c r="N1425" s="33" t="s">
        <v>134</v>
      </c>
      <c r="Q1425" s="33" t="s">
        <v>4050</v>
      </c>
    </row>
    <row r="1426" spans="1:17">
      <c r="A1426" s="33" t="s">
        <v>6158</v>
      </c>
      <c r="B1426" s="33" t="s">
        <v>1192</v>
      </c>
      <c r="C1426" s="33" t="s">
        <v>3549</v>
      </c>
      <c r="D1426" s="33" t="s">
        <v>4068</v>
      </c>
      <c r="E1426" s="33" t="s">
        <v>1786</v>
      </c>
      <c r="F1426" s="33" t="s">
        <v>1787</v>
      </c>
      <c r="G1426" s="33" t="s">
        <v>5846</v>
      </c>
      <c r="H1426" s="33" t="s">
        <v>1152</v>
      </c>
      <c r="I1426" s="33" t="s">
        <v>1152</v>
      </c>
      <c r="J1426" s="33" t="s">
        <v>6159</v>
      </c>
      <c r="K1426" s="33" t="s">
        <v>1791</v>
      </c>
      <c r="L1426" s="33" t="s">
        <v>4039</v>
      </c>
      <c r="M1426" s="33" t="s">
        <v>129</v>
      </c>
      <c r="N1426" s="33" t="s">
        <v>42</v>
      </c>
      <c r="Q1426" s="33" t="s">
        <v>4050</v>
      </c>
    </row>
    <row r="1427" spans="1:17">
      <c r="A1427" s="33" t="s">
        <v>6160</v>
      </c>
      <c r="B1427" s="33" t="s">
        <v>1193</v>
      </c>
      <c r="C1427" s="33" t="s">
        <v>3549</v>
      </c>
      <c r="D1427" s="33" t="s">
        <v>4068</v>
      </c>
      <c r="E1427" s="33" t="s">
        <v>1786</v>
      </c>
      <c r="F1427" s="33" t="s">
        <v>1787</v>
      </c>
      <c r="G1427" s="33" t="s">
        <v>5846</v>
      </c>
      <c r="H1427" s="33" t="s">
        <v>1152</v>
      </c>
      <c r="I1427" s="33" t="s">
        <v>1152</v>
      </c>
      <c r="J1427" s="33" t="s">
        <v>6161</v>
      </c>
      <c r="K1427" s="33" t="s">
        <v>1791</v>
      </c>
      <c r="L1427" s="33" t="s">
        <v>4039</v>
      </c>
      <c r="M1427" s="33" t="s">
        <v>34</v>
      </c>
      <c r="N1427" s="33" t="s">
        <v>42</v>
      </c>
      <c r="Q1427" s="33" t="s">
        <v>4050</v>
      </c>
    </row>
    <row r="1428" spans="1:17">
      <c r="A1428" s="33" t="s">
        <v>6162</v>
      </c>
      <c r="B1428" s="33" t="s">
        <v>1194</v>
      </c>
      <c r="C1428" s="33" t="s">
        <v>3549</v>
      </c>
      <c r="D1428" s="33" t="s">
        <v>4068</v>
      </c>
      <c r="E1428" s="33" t="s">
        <v>1786</v>
      </c>
      <c r="F1428" s="33" t="s">
        <v>1787</v>
      </c>
      <c r="G1428" s="33" t="s">
        <v>5846</v>
      </c>
      <c r="H1428" s="33" t="s">
        <v>1152</v>
      </c>
      <c r="I1428" s="33" t="s">
        <v>1152</v>
      </c>
      <c r="J1428" s="33" t="s">
        <v>6163</v>
      </c>
      <c r="K1428" s="33" t="s">
        <v>1791</v>
      </c>
      <c r="L1428" s="33" t="s">
        <v>4039</v>
      </c>
      <c r="M1428" s="33" t="s">
        <v>34</v>
      </c>
      <c r="N1428" s="33" t="s">
        <v>42</v>
      </c>
      <c r="Q1428" s="33" t="s">
        <v>4050</v>
      </c>
    </row>
    <row r="1429" spans="1:17">
      <c r="A1429" s="33" t="s">
        <v>6164</v>
      </c>
      <c r="B1429" s="33" t="s">
        <v>1196</v>
      </c>
      <c r="C1429" s="33" t="s">
        <v>3549</v>
      </c>
      <c r="D1429" s="33" t="s">
        <v>4068</v>
      </c>
      <c r="E1429" s="33" t="s">
        <v>1786</v>
      </c>
      <c r="F1429" s="33" t="s">
        <v>1787</v>
      </c>
      <c r="G1429" s="33" t="s">
        <v>5846</v>
      </c>
      <c r="H1429" s="33" t="s">
        <v>1152</v>
      </c>
      <c r="I1429" s="33" t="s">
        <v>1152</v>
      </c>
      <c r="J1429" s="33" t="s">
        <v>6165</v>
      </c>
      <c r="K1429" s="33" t="s">
        <v>1791</v>
      </c>
      <c r="L1429" s="33" t="s">
        <v>4039</v>
      </c>
      <c r="M1429" s="33" t="s">
        <v>34</v>
      </c>
      <c r="N1429" s="33" t="s">
        <v>42</v>
      </c>
      <c r="Q1429" s="33" t="s">
        <v>4050</v>
      </c>
    </row>
    <row r="1430" spans="1:17">
      <c r="A1430" s="33" t="s">
        <v>6166</v>
      </c>
      <c r="B1430" s="33" t="s">
        <v>1197</v>
      </c>
      <c r="C1430" s="33" t="s">
        <v>3549</v>
      </c>
      <c r="D1430" s="33" t="s">
        <v>4068</v>
      </c>
      <c r="E1430" s="33" t="s">
        <v>1786</v>
      </c>
      <c r="F1430" s="33" t="s">
        <v>1787</v>
      </c>
      <c r="G1430" s="33" t="s">
        <v>5846</v>
      </c>
      <c r="H1430" s="33" t="s">
        <v>1152</v>
      </c>
      <c r="I1430" s="33" t="s">
        <v>1152</v>
      </c>
      <c r="J1430" s="33" t="s">
        <v>6167</v>
      </c>
      <c r="K1430" s="33" t="s">
        <v>1791</v>
      </c>
      <c r="L1430" s="33" t="s">
        <v>4039</v>
      </c>
      <c r="M1430" s="33" t="s">
        <v>8</v>
      </c>
      <c r="N1430" s="33" t="s">
        <v>42</v>
      </c>
      <c r="Q1430" s="33" t="s">
        <v>4050</v>
      </c>
    </row>
    <row r="1431" spans="1:17">
      <c r="A1431" s="33" t="s">
        <v>6168</v>
      </c>
      <c r="B1431" s="33" t="s">
        <v>1198</v>
      </c>
      <c r="C1431" s="33" t="s">
        <v>3549</v>
      </c>
      <c r="D1431" s="33" t="s">
        <v>4068</v>
      </c>
      <c r="E1431" s="33" t="s">
        <v>1786</v>
      </c>
      <c r="F1431" s="33" t="s">
        <v>1787</v>
      </c>
      <c r="G1431" s="33" t="s">
        <v>5846</v>
      </c>
      <c r="H1431" s="33" t="s">
        <v>1152</v>
      </c>
      <c r="I1431" s="33" t="s">
        <v>1152</v>
      </c>
      <c r="J1431" s="33" t="s">
        <v>6169</v>
      </c>
      <c r="K1431" s="33" t="s">
        <v>1791</v>
      </c>
      <c r="L1431" s="33" t="s">
        <v>4039</v>
      </c>
      <c r="M1431" s="33" t="s">
        <v>8</v>
      </c>
      <c r="N1431" s="33" t="s">
        <v>42</v>
      </c>
      <c r="Q1431" s="33" t="s">
        <v>4050</v>
      </c>
    </row>
    <row r="1432" spans="1:17">
      <c r="A1432" s="33" t="s">
        <v>6170</v>
      </c>
      <c r="B1432" s="33" t="s">
        <v>1199</v>
      </c>
      <c r="C1432" s="33" t="s">
        <v>3549</v>
      </c>
      <c r="D1432" s="33" t="s">
        <v>4068</v>
      </c>
      <c r="E1432" s="33" t="s">
        <v>1786</v>
      </c>
      <c r="F1432" s="33" t="s">
        <v>1787</v>
      </c>
      <c r="G1432" s="33" t="s">
        <v>5846</v>
      </c>
      <c r="H1432" s="33" t="s">
        <v>1152</v>
      </c>
      <c r="I1432" s="33" t="s">
        <v>1152</v>
      </c>
      <c r="J1432" s="33" t="s">
        <v>6171</v>
      </c>
      <c r="K1432" s="33" t="s">
        <v>1791</v>
      </c>
      <c r="L1432" s="33" t="s">
        <v>4039</v>
      </c>
      <c r="M1432" s="33" t="s">
        <v>8</v>
      </c>
      <c r="N1432" s="33" t="s">
        <v>42</v>
      </c>
      <c r="Q1432" s="33" t="s">
        <v>4050</v>
      </c>
    </row>
    <row r="1433" spans="1:17">
      <c r="A1433" s="33" t="s">
        <v>6172</v>
      </c>
      <c r="B1433" s="33" t="s">
        <v>1200</v>
      </c>
      <c r="C1433" s="33" t="s">
        <v>3549</v>
      </c>
      <c r="D1433" s="33" t="s">
        <v>4068</v>
      </c>
      <c r="E1433" s="33" t="s">
        <v>1786</v>
      </c>
      <c r="F1433" s="33" t="s">
        <v>1787</v>
      </c>
      <c r="G1433" s="33" t="s">
        <v>5846</v>
      </c>
      <c r="H1433" s="33" t="s">
        <v>1152</v>
      </c>
      <c r="I1433" s="33" t="s">
        <v>1152</v>
      </c>
      <c r="J1433" s="33" t="s">
        <v>6173</v>
      </c>
      <c r="K1433" s="33" t="s">
        <v>1791</v>
      </c>
      <c r="L1433" s="33" t="s">
        <v>4039</v>
      </c>
      <c r="M1433" s="33" t="s">
        <v>8</v>
      </c>
      <c r="N1433" s="33" t="s">
        <v>42</v>
      </c>
      <c r="Q1433" s="33" t="s">
        <v>4050</v>
      </c>
    </row>
    <row r="1434" spans="1:17">
      <c r="A1434" s="33" t="s">
        <v>6174</v>
      </c>
      <c r="B1434" s="33" t="s">
        <v>1202</v>
      </c>
      <c r="C1434" s="33" t="s">
        <v>3549</v>
      </c>
      <c r="D1434" s="33" t="s">
        <v>4068</v>
      </c>
      <c r="E1434" s="33" t="s">
        <v>1786</v>
      </c>
      <c r="F1434" s="33" t="s">
        <v>1787</v>
      </c>
      <c r="G1434" s="33" t="s">
        <v>5846</v>
      </c>
      <c r="H1434" s="33" t="s">
        <v>1152</v>
      </c>
      <c r="I1434" s="33" t="s">
        <v>1152</v>
      </c>
      <c r="J1434" s="33" t="s">
        <v>6175</v>
      </c>
      <c r="K1434" s="33" t="s">
        <v>1791</v>
      </c>
      <c r="L1434" s="33" t="s">
        <v>4039</v>
      </c>
      <c r="M1434" s="33" t="s">
        <v>134</v>
      </c>
      <c r="N1434" s="33" t="s">
        <v>42</v>
      </c>
      <c r="Q1434" s="33" t="s">
        <v>4050</v>
      </c>
    </row>
    <row r="1435" spans="1:17">
      <c r="A1435" s="33" t="s">
        <v>6176</v>
      </c>
      <c r="B1435" s="33" t="s">
        <v>1203</v>
      </c>
      <c r="C1435" s="33" t="s">
        <v>3549</v>
      </c>
      <c r="D1435" s="33" t="s">
        <v>4068</v>
      </c>
      <c r="E1435" s="33" t="s">
        <v>1786</v>
      </c>
      <c r="F1435" s="33" t="s">
        <v>1787</v>
      </c>
      <c r="G1435" s="33" t="s">
        <v>5846</v>
      </c>
      <c r="H1435" s="33" t="s">
        <v>1152</v>
      </c>
      <c r="I1435" s="33" t="s">
        <v>1152</v>
      </c>
      <c r="J1435" s="33" t="s">
        <v>6177</v>
      </c>
      <c r="K1435" s="33" t="s">
        <v>1791</v>
      </c>
      <c r="L1435" s="33" t="s">
        <v>4039</v>
      </c>
      <c r="M1435" s="33" t="s">
        <v>135</v>
      </c>
      <c r="N1435" s="33" t="s">
        <v>42</v>
      </c>
      <c r="Q1435" s="33" t="s">
        <v>4050</v>
      </c>
    </row>
    <row r="1436" spans="1:17">
      <c r="A1436" s="33" t="s">
        <v>6178</v>
      </c>
      <c r="B1436" s="33" t="s">
        <v>1204</v>
      </c>
      <c r="C1436" s="33" t="s">
        <v>3549</v>
      </c>
      <c r="D1436" s="33" t="s">
        <v>4068</v>
      </c>
      <c r="E1436" s="33" t="s">
        <v>1786</v>
      </c>
      <c r="F1436" s="33" t="s">
        <v>1787</v>
      </c>
      <c r="G1436" s="33" t="s">
        <v>5846</v>
      </c>
      <c r="H1436" s="33" t="s">
        <v>1152</v>
      </c>
      <c r="I1436" s="33" t="s">
        <v>1152</v>
      </c>
      <c r="J1436" s="33" t="s">
        <v>6179</v>
      </c>
      <c r="K1436" s="33" t="s">
        <v>1791</v>
      </c>
      <c r="L1436" s="33" t="s">
        <v>4039</v>
      </c>
      <c r="M1436" s="33" t="s">
        <v>135</v>
      </c>
      <c r="N1436" s="33" t="s">
        <v>42</v>
      </c>
      <c r="Q1436" s="33" t="s">
        <v>4050</v>
      </c>
    </row>
    <row r="1437" spans="1:17" hidden="1">
      <c r="A1437" s="33" t="s">
        <v>6180</v>
      </c>
      <c r="B1437" s="33" t="s">
        <v>6181</v>
      </c>
      <c r="C1437" s="33" t="s">
        <v>1980</v>
      </c>
      <c r="D1437" s="33" t="s">
        <v>3139</v>
      </c>
      <c r="E1437" s="33" t="s">
        <v>2471</v>
      </c>
      <c r="F1437" s="33" t="s">
        <v>1856</v>
      </c>
      <c r="G1437" s="33" t="s">
        <v>3139</v>
      </c>
      <c r="H1437" s="33" t="s">
        <v>1152</v>
      </c>
      <c r="I1437" s="33" t="s">
        <v>1152</v>
      </c>
      <c r="J1437" s="33" t="s">
        <v>6182</v>
      </c>
      <c r="K1437" s="33" t="s">
        <v>2471</v>
      </c>
      <c r="L1437" s="33" t="s">
        <v>1206</v>
      </c>
      <c r="M1437" s="33" t="s">
        <v>95</v>
      </c>
      <c r="N1437" s="33" t="s">
        <v>69</v>
      </c>
      <c r="Q1437" s="33" t="s">
        <v>4050</v>
      </c>
    </row>
    <row r="1438" spans="1:17" hidden="1">
      <c r="A1438" s="33" t="s">
        <v>4037</v>
      </c>
      <c r="B1438" s="33" t="s">
        <v>6183</v>
      </c>
      <c r="C1438" s="33" t="s">
        <v>2147</v>
      </c>
      <c r="D1438" s="33" t="s">
        <v>4068</v>
      </c>
      <c r="E1438" s="33" t="s">
        <v>1808</v>
      </c>
      <c r="F1438" s="33" t="s">
        <v>1787</v>
      </c>
      <c r="G1438" s="33" t="s">
        <v>83</v>
      </c>
      <c r="H1438" s="33" t="s">
        <v>1152</v>
      </c>
      <c r="I1438" s="33" t="s">
        <v>1152</v>
      </c>
      <c r="J1438" s="33" t="s">
        <v>4040</v>
      </c>
      <c r="K1438" s="33" t="s">
        <v>1791</v>
      </c>
      <c r="L1438" s="33" t="s">
        <v>4039</v>
      </c>
      <c r="M1438" s="33" t="s">
        <v>1083</v>
      </c>
      <c r="N1438" s="33" t="s">
        <v>84</v>
      </c>
      <c r="Q1438" s="33" t="s">
        <v>4050</v>
      </c>
    </row>
    <row r="1439" spans="1:17">
      <c r="A1439" s="33" t="s">
        <v>6184</v>
      </c>
      <c r="B1439" s="33" t="s">
        <v>1205</v>
      </c>
      <c r="C1439" s="33" t="s">
        <v>3549</v>
      </c>
      <c r="D1439" s="33" t="s">
        <v>4068</v>
      </c>
      <c r="E1439" s="33" t="s">
        <v>1786</v>
      </c>
      <c r="F1439" s="33" t="s">
        <v>1787</v>
      </c>
      <c r="G1439" s="33" t="s">
        <v>5846</v>
      </c>
      <c r="H1439" s="33" t="s">
        <v>1206</v>
      </c>
      <c r="I1439" s="33" t="s">
        <v>1206</v>
      </c>
      <c r="J1439" s="33" t="s">
        <v>6185</v>
      </c>
      <c r="K1439" s="33" t="s">
        <v>1791</v>
      </c>
      <c r="L1439" s="33" t="s">
        <v>4039</v>
      </c>
      <c r="M1439" s="33" t="s">
        <v>135</v>
      </c>
      <c r="N1439" s="33" t="s">
        <v>42</v>
      </c>
      <c r="Q1439" s="33" t="s">
        <v>4050</v>
      </c>
    </row>
    <row r="1440" spans="1:17">
      <c r="A1440" s="33" t="s">
        <v>6186</v>
      </c>
      <c r="B1440" s="33" t="s">
        <v>1207</v>
      </c>
      <c r="C1440" s="33" t="s">
        <v>3549</v>
      </c>
      <c r="D1440" s="33" t="s">
        <v>4068</v>
      </c>
      <c r="E1440" s="33" t="s">
        <v>1786</v>
      </c>
      <c r="F1440" s="33" t="s">
        <v>1787</v>
      </c>
      <c r="G1440" s="33" t="s">
        <v>5846</v>
      </c>
      <c r="H1440" s="33" t="s">
        <v>1206</v>
      </c>
      <c r="I1440" s="33" t="s">
        <v>1206</v>
      </c>
      <c r="J1440" s="33" t="s">
        <v>6187</v>
      </c>
      <c r="K1440" s="33" t="s">
        <v>1791</v>
      </c>
      <c r="L1440" s="33" t="s">
        <v>4039</v>
      </c>
      <c r="M1440" s="33" t="s">
        <v>135</v>
      </c>
      <c r="N1440" s="33" t="s">
        <v>42</v>
      </c>
      <c r="Q1440" s="33" t="s">
        <v>4050</v>
      </c>
    </row>
    <row r="1441" spans="1:17">
      <c r="A1441" s="33" t="s">
        <v>6188</v>
      </c>
      <c r="B1441" s="33" t="s">
        <v>1208</v>
      </c>
      <c r="C1441" s="33" t="s">
        <v>3549</v>
      </c>
      <c r="D1441" s="33" t="s">
        <v>4068</v>
      </c>
      <c r="E1441" s="33" t="s">
        <v>1786</v>
      </c>
      <c r="F1441" s="33" t="s">
        <v>1787</v>
      </c>
      <c r="G1441" s="33" t="s">
        <v>5846</v>
      </c>
      <c r="H1441" s="33" t="s">
        <v>1206</v>
      </c>
      <c r="I1441" s="33" t="s">
        <v>1206</v>
      </c>
      <c r="J1441" s="33" t="s">
        <v>6189</v>
      </c>
      <c r="K1441" s="33" t="s">
        <v>1791</v>
      </c>
      <c r="L1441" s="33" t="s">
        <v>4039</v>
      </c>
      <c r="M1441" s="33" t="s">
        <v>31</v>
      </c>
      <c r="N1441" s="33" t="s">
        <v>42</v>
      </c>
      <c r="Q1441" s="33" t="s">
        <v>4050</v>
      </c>
    </row>
    <row r="1442" spans="1:17">
      <c r="A1442" s="33" t="s">
        <v>6190</v>
      </c>
      <c r="B1442" s="33" t="s">
        <v>1210</v>
      </c>
      <c r="C1442" s="33" t="s">
        <v>3549</v>
      </c>
      <c r="D1442" s="33" t="s">
        <v>4068</v>
      </c>
      <c r="E1442" s="33" t="s">
        <v>1786</v>
      </c>
      <c r="F1442" s="33" t="s">
        <v>1787</v>
      </c>
      <c r="G1442" s="33" t="s">
        <v>5846</v>
      </c>
      <c r="H1442" s="33" t="s">
        <v>1206</v>
      </c>
      <c r="I1442" s="33" t="s">
        <v>1206</v>
      </c>
      <c r="J1442" s="33" t="s">
        <v>6191</v>
      </c>
      <c r="K1442" s="33" t="s">
        <v>1791</v>
      </c>
      <c r="L1442" s="33" t="s">
        <v>4039</v>
      </c>
      <c r="M1442" s="33" t="s">
        <v>31</v>
      </c>
      <c r="N1442" s="33" t="s">
        <v>42</v>
      </c>
      <c r="Q1442" s="33" t="s">
        <v>4050</v>
      </c>
    </row>
    <row r="1443" spans="1:17">
      <c r="A1443" s="33" t="s">
        <v>6192</v>
      </c>
      <c r="B1443" s="33" t="s">
        <v>1212</v>
      </c>
      <c r="C1443" s="33" t="s">
        <v>3549</v>
      </c>
      <c r="D1443" s="33" t="s">
        <v>4068</v>
      </c>
      <c r="E1443" s="33" t="s">
        <v>1786</v>
      </c>
      <c r="F1443" s="33" t="s">
        <v>1787</v>
      </c>
      <c r="G1443" s="33" t="s">
        <v>5846</v>
      </c>
      <c r="H1443" s="33" t="s">
        <v>1206</v>
      </c>
      <c r="I1443" s="33" t="s">
        <v>1206</v>
      </c>
      <c r="J1443" s="33" t="s">
        <v>6193</v>
      </c>
      <c r="K1443" s="33" t="s">
        <v>1791</v>
      </c>
      <c r="L1443" s="33" t="s">
        <v>4039</v>
      </c>
      <c r="M1443" s="33" t="s">
        <v>31</v>
      </c>
      <c r="N1443" s="33" t="s">
        <v>42</v>
      </c>
      <c r="Q1443" s="33" t="s">
        <v>4050</v>
      </c>
    </row>
    <row r="1444" spans="1:17">
      <c r="A1444" s="33" t="s">
        <v>6194</v>
      </c>
      <c r="B1444" s="33" t="s">
        <v>1214</v>
      </c>
      <c r="C1444" s="33" t="s">
        <v>3549</v>
      </c>
      <c r="D1444" s="33" t="s">
        <v>4068</v>
      </c>
      <c r="E1444" s="33" t="s">
        <v>1786</v>
      </c>
      <c r="F1444" s="33" t="s">
        <v>1787</v>
      </c>
      <c r="G1444" s="33" t="s">
        <v>5846</v>
      </c>
      <c r="H1444" s="33" t="s">
        <v>1206</v>
      </c>
      <c r="I1444" s="33" t="s">
        <v>1206</v>
      </c>
      <c r="J1444" s="33" t="s">
        <v>6195</v>
      </c>
      <c r="K1444" s="33" t="s">
        <v>1791</v>
      </c>
      <c r="L1444" s="33" t="s">
        <v>4039</v>
      </c>
      <c r="M1444" s="33" t="s">
        <v>193</v>
      </c>
      <c r="N1444" s="33" t="s">
        <v>42</v>
      </c>
      <c r="Q1444" s="33" t="s">
        <v>4050</v>
      </c>
    </row>
    <row r="1445" spans="1:17">
      <c r="A1445" s="33" t="s">
        <v>6196</v>
      </c>
      <c r="B1445" s="33" t="s">
        <v>1216</v>
      </c>
      <c r="C1445" s="33" t="s">
        <v>3549</v>
      </c>
      <c r="D1445" s="33" t="s">
        <v>4068</v>
      </c>
      <c r="E1445" s="33" t="s">
        <v>1786</v>
      </c>
      <c r="F1445" s="33" t="s">
        <v>1787</v>
      </c>
      <c r="G1445" s="33" t="s">
        <v>5846</v>
      </c>
      <c r="H1445" s="33" t="s">
        <v>1206</v>
      </c>
      <c r="I1445" s="33" t="s">
        <v>1206</v>
      </c>
      <c r="J1445" s="33" t="s">
        <v>6197</v>
      </c>
      <c r="K1445" s="33" t="s">
        <v>1791</v>
      </c>
      <c r="L1445" s="33" t="s">
        <v>4039</v>
      </c>
      <c r="M1445" s="33" t="s">
        <v>193</v>
      </c>
      <c r="N1445" s="33" t="s">
        <v>42</v>
      </c>
      <c r="Q1445" s="33" t="s">
        <v>4050</v>
      </c>
    </row>
    <row r="1446" spans="1:17">
      <c r="A1446" s="33" t="s">
        <v>6198</v>
      </c>
      <c r="B1446" s="33" t="s">
        <v>1217</v>
      </c>
      <c r="C1446" s="33" t="s">
        <v>3549</v>
      </c>
      <c r="D1446" s="33" t="s">
        <v>4068</v>
      </c>
      <c r="E1446" s="33" t="s">
        <v>1786</v>
      </c>
      <c r="F1446" s="33" t="s">
        <v>1787</v>
      </c>
      <c r="G1446" s="33" t="s">
        <v>5846</v>
      </c>
      <c r="H1446" s="33" t="s">
        <v>1206</v>
      </c>
      <c r="I1446" s="33" t="s">
        <v>1206</v>
      </c>
      <c r="J1446" s="33" t="s">
        <v>6199</v>
      </c>
      <c r="K1446" s="33" t="s">
        <v>1791</v>
      </c>
      <c r="L1446" s="33" t="s">
        <v>4039</v>
      </c>
      <c r="M1446" s="33" t="s">
        <v>193</v>
      </c>
      <c r="N1446" s="33" t="s">
        <v>42</v>
      </c>
      <c r="Q1446" s="33" t="s">
        <v>4050</v>
      </c>
    </row>
    <row r="1447" spans="1:17">
      <c r="A1447" s="33" t="s">
        <v>6200</v>
      </c>
      <c r="B1447" s="33" t="s">
        <v>1218</v>
      </c>
      <c r="C1447" s="33" t="s">
        <v>3549</v>
      </c>
      <c r="D1447" s="33" t="s">
        <v>4068</v>
      </c>
      <c r="E1447" s="33" t="s">
        <v>1786</v>
      </c>
      <c r="F1447" s="33" t="s">
        <v>1787</v>
      </c>
      <c r="G1447" s="33" t="s">
        <v>5846</v>
      </c>
      <c r="H1447" s="33" t="s">
        <v>1206</v>
      </c>
      <c r="I1447" s="33" t="s">
        <v>1206</v>
      </c>
      <c r="J1447" s="33" t="s">
        <v>6201</v>
      </c>
      <c r="K1447" s="33" t="s">
        <v>1791</v>
      </c>
      <c r="L1447" s="33" t="s">
        <v>4039</v>
      </c>
      <c r="M1447" s="33" t="s">
        <v>193</v>
      </c>
      <c r="N1447" s="33" t="s">
        <v>42</v>
      </c>
      <c r="Q1447" s="33" t="s">
        <v>4050</v>
      </c>
    </row>
    <row r="1448" spans="1:17">
      <c r="A1448" s="33" t="s">
        <v>6202</v>
      </c>
      <c r="B1448" s="33" t="s">
        <v>1219</v>
      </c>
      <c r="C1448" s="33" t="s">
        <v>3549</v>
      </c>
      <c r="D1448" s="33" t="s">
        <v>4068</v>
      </c>
      <c r="E1448" s="33" t="s">
        <v>1786</v>
      </c>
      <c r="F1448" s="33" t="s">
        <v>1787</v>
      </c>
      <c r="G1448" s="33" t="s">
        <v>5846</v>
      </c>
      <c r="H1448" s="33" t="s">
        <v>1206</v>
      </c>
      <c r="I1448" s="33" t="s">
        <v>1206</v>
      </c>
      <c r="J1448" s="33" t="s">
        <v>6203</v>
      </c>
      <c r="K1448" s="33" t="s">
        <v>1791</v>
      </c>
      <c r="L1448" s="33" t="s">
        <v>4039</v>
      </c>
      <c r="M1448" s="33" t="s">
        <v>193</v>
      </c>
      <c r="N1448" s="33" t="s">
        <v>42</v>
      </c>
      <c r="Q1448" s="33" t="s">
        <v>4050</v>
      </c>
    </row>
    <row r="1449" spans="1:17">
      <c r="A1449" s="33" t="s">
        <v>6204</v>
      </c>
      <c r="B1449" s="33" t="s">
        <v>1220</v>
      </c>
      <c r="C1449" s="33" t="s">
        <v>3549</v>
      </c>
      <c r="D1449" s="33" t="s">
        <v>4068</v>
      </c>
      <c r="E1449" s="33" t="s">
        <v>1786</v>
      </c>
      <c r="F1449" s="33" t="s">
        <v>1787</v>
      </c>
      <c r="G1449" s="33" t="s">
        <v>5846</v>
      </c>
      <c r="H1449" s="33" t="s">
        <v>1206</v>
      </c>
      <c r="I1449" s="33" t="s">
        <v>1206</v>
      </c>
      <c r="J1449" s="33" t="s">
        <v>6205</v>
      </c>
      <c r="K1449" s="33" t="s">
        <v>1791</v>
      </c>
      <c r="L1449" s="33" t="s">
        <v>4039</v>
      </c>
      <c r="M1449" s="33" t="s">
        <v>193</v>
      </c>
      <c r="N1449" s="33" t="s">
        <v>42</v>
      </c>
      <c r="Q1449" s="33" t="s">
        <v>4050</v>
      </c>
    </row>
    <row r="1450" spans="1:17">
      <c r="A1450" s="33" t="s">
        <v>6206</v>
      </c>
      <c r="B1450" s="33" t="s">
        <v>1221</v>
      </c>
      <c r="C1450" s="33" t="s">
        <v>3549</v>
      </c>
      <c r="D1450" s="33" t="s">
        <v>4068</v>
      </c>
      <c r="E1450" s="33" t="s">
        <v>1786</v>
      </c>
      <c r="F1450" s="33" t="s">
        <v>1787</v>
      </c>
      <c r="G1450" s="33" t="s">
        <v>5846</v>
      </c>
      <c r="H1450" s="33" t="s">
        <v>1206</v>
      </c>
      <c r="I1450" s="33" t="s">
        <v>1206</v>
      </c>
      <c r="J1450" s="33" t="s">
        <v>6207</v>
      </c>
      <c r="K1450" s="33" t="s">
        <v>1791</v>
      </c>
      <c r="L1450" s="33" t="s">
        <v>4039</v>
      </c>
      <c r="M1450" s="33" t="s">
        <v>193</v>
      </c>
      <c r="N1450" s="33" t="s">
        <v>42</v>
      </c>
      <c r="Q1450" s="33" t="s">
        <v>4050</v>
      </c>
    </row>
    <row r="1451" spans="1:17">
      <c r="A1451" s="33" t="s">
        <v>6208</v>
      </c>
      <c r="B1451" s="33" t="s">
        <v>1223</v>
      </c>
      <c r="C1451" s="33" t="s">
        <v>3549</v>
      </c>
      <c r="D1451" s="33" t="s">
        <v>4068</v>
      </c>
      <c r="E1451" s="33" t="s">
        <v>1786</v>
      </c>
      <c r="F1451" s="33" t="s">
        <v>1787</v>
      </c>
      <c r="G1451" s="33" t="s">
        <v>5846</v>
      </c>
      <c r="H1451" s="33" t="s">
        <v>1206</v>
      </c>
      <c r="I1451" s="33" t="s">
        <v>1206</v>
      </c>
      <c r="J1451" s="33" t="s">
        <v>6209</v>
      </c>
      <c r="K1451" s="33" t="s">
        <v>1791</v>
      </c>
      <c r="L1451" s="33" t="s">
        <v>4039</v>
      </c>
      <c r="M1451" s="33" t="s">
        <v>193</v>
      </c>
      <c r="N1451" s="33" t="s">
        <v>42</v>
      </c>
      <c r="Q1451" s="33" t="s">
        <v>4050</v>
      </c>
    </row>
    <row r="1452" spans="1:17">
      <c r="A1452" s="33" t="s">
        <v>6210</v>
      </c>
      <c r="B1452" s="33" t="s">
        <v>1225</v>
      </c>
      <c r="C1452" s="33" t="s">
        <v>3549</v>
      </c>
      <c r="D1452" s="33" t="s">
        <v>4068</v>
      </c>
      <c r="E1452" s="33" t="s">
        <v>1786</v>
      </c>
      <c r="F1452" s="33" t="s">
        <v>1787</v>
      </c>
      <c r="G1452" s="33" t="s">
        <v>5846</v>
      </c>
      <c r="H1452" s="33" t="s">
        <v>1206</v>
      </c>
      <c r="I1452" s="33" t="s">
        <v>1206</v>
      </c>
      <c r="J1452" s="33" t="s">
        <v>6211</v>
      </c>
      <c r="K1452" s="33" t="s">
        <v>1791</v>
      </c>
      <c r="L1452" s="33" t="s">
        <v>4039</v>
      </c>
      <c r="M1452" s="33" t="s">
        <v>193</v>
      </c>
      <c r="N1452" s="33" t="s">
        <v>42</v>
      </c>
      <c r="Q1452" s="33" t="s">
        <v>4050</v>
      </c>
    </row>
    <row r="1453" spans="1:17">
      <c r="A1453" s="33" t="s">
        <v>6212</v>
      </c>
      <c r="B1453" s="33" t="s">
        <v>1227</v>
      </c>
      <c r="C1453" s="33" t="s">
        <v>3549</v>
      </c>
      <c r="D1453" s="33" t="s">
        <v>4068</v>
      </c>
      <c r="E1453" s="33" t="s">
        <v>1786</v>
      </c>
      <c r="F1453" s="33" t="s">
        <v>1787</v>
      </c>
      <c r="G1453" s="33" t="s">
        <v>5846</v>
      </c>
      <c r="H1453" s="33" t="s">
        <v>1206</v>
      </c>
      <c r="I1453" s="33" t="s">
        <v>1206</v>
      </c>
      <c r="J1453" s="33" t="s">
        <v>6213</v>
      </c>
      <c r="K1453" s="33" t="s">
        <v>1791</v>
      </c>
      <c r="L1453" s="33" t="s">
        <v>4039</v>
      </c>
      <c r="M1453" s="33" t="s">
        <v>193</v>
      </c>
      <c r="N1453" s="33" t="s">
        <v>42</v>
      </c>
      <c r="Q1453" s="33" t="s">
        <v>4050</v>
      </c>
    </row>
    <row r="1454" spans="1:17">
      <c r="A1454" s="33" t="s">
        <v>6214</v>
      </c>
      <c r="B1454" s="33" t="s">
        <v>1229</v>
      </c>
      <c r="C1454" s="33" t="s">
        <v>3549</v>
      </c>
      <c r="D1454" s="33" t="s">
        <v>4068</v>
      </c>
      <c r="E1454" s="33" t="s">
        <v>1786</v>
      </c>
      <c r="F1454" s="33" t="s">
        <v>1787</v>
      </c>
      <c r="G1454" s="33" t="s">
        <v>5846</v>
      </c>
      <c r="H1454" s="33" t="s">
        <v>1206</v>
      </c>
      <c r="I1454" s="33" t="s">
        <v>1206</v>
      </c>
      <c r="J1454" s="33" t="s">
        <v>6215</v>
      </c>
      <c r="K1454" s="33" t="s">
        <v>1791</v>
      </c>
      <c r="L1454" s="33" t="s">
        <v>4039</v>
      </c>
      <c r="M1454" s="33" t="s">
        <v>77</v>
      </c>
      <c r="N1454" s="33" t="s">
        <v>42</v>
      </c>
      <c r="Q1454" s="33" t="s">
        <v>4050</v>
      </c>
    </row>
    <row r="1455" spans="1:17">
      <c r="A1455" s="33" t="s">
        <v>6216</v>
      </c>
      <c r="B1455" s="33" t="s">
        <v>1230</v>
      </c>
      <c r="C1455" s="33" t="s">
        <v>3549</v>
      </c>
      <c r="D1455" s="33" t="s">
        <v>4068</v>
      </c>
      <c r="E1455" s="33" t="s">
        <v>1786</v>
      </c>
      <c r="F1455" s="33" t="s">
        <v>1787</v>
      </c>
      <c r="G1455" s="33" t="s">
        <v>5846</v>
      </c>
      <c r="H1455" s="33" t="s">
        <v>1206</v>
      </c>
      <c r="I1455" s="33" t="s">
        <v>1206</v>
      </c>
      <c r="J1455" s="33" t="s">
        <v>6217</v>
      </c>
      <c r="K1455" s="33" t="s">
        <v>1791</v>
      </c>
      <c r="L1455" s="33" t="s">
        <v>4039</v>
      </c>
      <c r="M1455" s="33" t="s">
        <v>77</v>
      </c>
      <c r="N1455" s="33" t="s">
        <v>42</v>
      </c>
      <c r="Q1455" s="33" t="s">
        <v>4050</v>
      </c>
    </row>
    <row r="1456" spans="1:17">
      <c r="A1456" s="33" t="s">
        <v>6218</v>
      </c>
      <c r="B1456" s="33" t="s">
        <v>1231</v>
      </c>
      <c r="C1456" s="33" t="s">
        <v>3549</v>
      </c>
      <c r="D1456" s="33" t="s">
        <v>4068</v>
      </c>
      <c r="E1456" s="33" t="s">
        <v>1786</v>
      </c>
      <c r="F1456" s="33" t="s">
        <v>1787</v>
      </c>
      <c r="G1456" s="33" t="s">
        <v>5846</v>
      </c>
      <c r="H1456" s="33" t="s">
        <v>1206</v>
      </c>
      <c r="I1456" s="33" t="s">
        <v>1206</v>
      </c>
      <c r="J1456" s="33" t="s">
        <v>6219</v>
      </c>
      <c r="K1456" s="33" t="s">
        <v>1791</v>
      </c>
      <c r="L1456" s="33" t="s">
        <v>4039</v>
      </c>
      <c r="M1456" s="33" t="s">
        <v>77</v>
      </c>
      <c r="N1456" s="33" t="s">
        <v>42</v>
      </c>
      <c r="Q1456" s="33" t="s">
        <v>4050</v>
      </c>
    </row>
    <row r="1457" spans="1:17">
      <c r="A1457" s="33" t="s">
        <v>6220</v>
      </c>
      <c r="B1457" s="33" t="s">
        <v>1232</v>
      </c>
      <c r="C1457" s="33" t="s">
        <v>3549</v>
      </c>
      <c r="D1457" s="33" t="s">
        <v>4068</v>
      </c>
      <c r="E1457" s="33" t="s">
        <v>1786</v>
      </c>
      <c r="F1457" s="33" t="s">
        <v>1787</v>
      </c>
      <c r="G1457" s="33" t="s">
        <v>5846</v>
      </c>
      <c r="H1457" s="33" t="s">
        <v>1206</v>
      </c>
      <c r="I1457" s="33" t="s">
        <v>1206</v>
      </c>
      <c r="J1457" s="33" t="s">
        <v>6221</v>
      </c>
      <c r="K1457" s="33" t="s">
        <v>1791</v>
      </c>
      <c r="L1457" s="33" t="s">
        <v>4039</v>
      </c>
      <c r="M1457" s="33" t="s">
        <v>77</v>
      </c>
      <c r="N1457" s="33" t="s">
        <v>42</v>
      </c>
      <c r="Q1457" s="33" t="s">
        <v>4050</v>
      </c>
    </row>
    <row r="1458" spans="1:17">
      <c r="A1458" s="33" t="s">
        <v>6222</v>
      </c>
      <c r="B1458" s="33" t="s">
        <v>1233</v>
      </c>
      <c r="C1458" s="33" t="s">
        <v>3549</v>
      </c>
      <c r="D1458" s="33" t="s">
        <v>4068</v>
      </c>
      <c r="E1458" s="33" t="s">
        <v>1786</v>
      </c>
      <c r="F1458" s="33" t="s">
        <v>1787</v>
      </c>
      <c r="G1458" s="33" t="s">
        <v>5846</v>
      </c>
      <c r="H1458" s="33" t="s">
        <v>1206</v>
      </c>
      <c r="I1458" s="33" t="s">
        <v>1206</v>
      </c>
      <c r="J1458" s="33" t="s">
        <v>6223</v>
      </c>
      <c r="K1458" s="33" t="s">
        <v>1791</v>
      </c>
      <c r="L1458" s="33" t="s">
        <v>4039</v>
      </c>
      <c r="M1458" s="33" t="s">
        <v>77</v>
      </c>
      <c r="N1458" s="33" t="s">
        <v>42</v>
      </c>
      <c r="Q1458" s="33" t="s">
        <v>4050</v>
      </c>
    </row>
    <row r="1459" spans="1:17">
      <c r="A1459" s="33" t="s">
        <v>6224</v>
      </c>
      <c r="B1459" s="33" t="s">
        <v>1234</v>
      </c>
      <c r="C1459" s="33" t="s">
        <v>3549</v>
      </c>
      <c r="D1459" s="33" t="s">
        <v>4068</v>
      </c>
      <c r="E1459" s="33" t="s">
        <v>1786</v>
      </c>
      <c r="F1459" s="33" t="s">
        <v>1787</v>
      </c>
      <c r="G1459" s="33" t="s">
        <v>5846</v>
      </c>
      <c r="H1459" s="33" t="s">
        <v>1206</v>
      </c>
      <c r="I1459" s="33" t="s">
        <v>1206</v>
      </c>
      <c r="J1459" s="33" t="s">
        <v>6225</v>
      </c>
      <c r="K1459" s="33" t="s">
        <v>1791</v>
      </c>
      <c r="L1459" s="33" t="s">
        <v>4039</v>
      </c>
      <c r="M1459" s="33" t="s">
        <v>77</v>
      </c>
      <c r="N1459" s="33" t="s">
        <v>42</v>
      </c>
      <c r="Q1459" s="33" t="s">
        <v>4050</v>
      </c>
    </row>
    <row r="1460" spans="1:17">
      <c r="A1460" s="33" t="s">
        <v>6226</v>
      </c>
      <c r="B1460" s="33" t="s">
        <v>1235</v>
      </c>
      <c r="C1460" s="33" t="s">
        <v>3549</v>
      </c>
      <c r="D1460" s="33" t="s">
        <v>4068</v>
      </c>
      <c r="E1460" s="33" t="s">
        <v>1786</v>
      </c>
      <c r="F1460" s="33" t="s">
        <v>1787</v>
      </c>
      <c r="G1460" s="33" t="s">
        <v>5846</v>
      </c>
      <c r="H1460" s="33" t="s">
        <v>1206</v>
      </c>
      <c r="I1460" s="33" t="s">
        <v>1206</v>
      </c>
      <c r="J1460" s="33" t="s">
        <v>6227</v>
      </c>
      <c r="K1460" s="33" t="s">
        <v>1791</v>
      </c>
      <c r="L1460" s="33" t="s">
        <v>4039</v>
      </c>
      <c r="M1460" s="33" t="s">
        <v>77</v>
      </c>
      <c r="N1460" s="33" t="s">
        <v>42</v>
      </c>
      <c r="Q1460" s="33" t="s">
        <v>4050</v>
      </c>
    </row>
    <row r="1461" spans="1:17">
      <c r="A1461" s="33" t="s">
        <v>6228</v>
      </c>
      <c r="B1461" s="33" t="s">
        <v>1237</v>
      </c>
      <c r="C1461" s="33" t="s">
        <v>3549</v>
      </c>
      <c r="D1461" s="33" t="s">
        <v>4068</v>
      </c>
      <c r="E1461" s="33" t="s">
        <v>1786</v>
      </c>
      <c r="F1461" s="33" t="s">
        <v>1787</v>
      </c>
      <c r="G1461" s="33" t="s">
        <v>5846</v>
      </c>
      <c r="H1461" s="33" t="s">
        <v>1206</v>
      </c>
      <c r="I1461" s="33" t="s">
        <v>1206</v>
      </c>
      <c r="J1461" s="33" t="s">
        <v>6229</v>
      </c>
      <c r="K1461" s="33" t="s">
        <v>1791</v>
      </c>
      <c r="L1461" s="33" t="s">
        <v>4039</v>
      </c>
      <c r="M1461" s="33" t="s">
        <v>77</v>
      </c>
      <c r="N1461" s="33" t="s">
        <v>42</v>
      </c>
      <c r="Q1461" s="33" t="s">
        <v>4050</v>
      </c>
    </row>
    <row r="1462" spans="1:17">
      <c r="A1462" s="33" t="s">
        <v>6230</v>
      </c>
      <c r="B1462" s="33" t="s">
        <v>1239</v>
      </c>
      <c r="C1462" s="33" t="s">
        <v>3549</v>
      </c>
      <c r="D1462" s="33" t="s">
        <v>4068</v>
      </c>
      <c r="E1462" s="33" t="s">
        <v>1786</v>
      </c>
      <c r="F1462" s="33" t="s">
        <v>1787</v>
      </c>
      <c r="G1462" s="33" t="s">
        <v>5846</v>
      </c>
      <c r="H1462" s="33" t="s">
        <v>1206</v>
      </c>
      <c r="I1462" s="33" t="s">
        <v>1206</v>
      </c>
      <c r="J1462" s="33" t="s">
        <v>6231</v>
      </c>
      <c r="K1462" s="33" t="s">
        <v>1791</v>
      </c>
      <c r="L1462" s="33" t="s">
        <v>4039</v>
      </c>
      <c r="M1462" s="33" t="s">
        <v>77</v>
      </c>
      <c r="N1462" s="33" t="s">
        <v>42</v>
      </c>
      <c r="Q1462" s="33" t="s">
        <v>4050</v>
      </c>
    </row>
    <row r="1463" spans="1:17">
      <c r="A1463" s="33" t="s">
        <v>6232</v>
      </c>
      <c r="B1463" s="33" t="s">
        <v>1240</v>
      </c>
      <c r="C1463" s="33" t="s">
        <v>3549</v>
      </c>
      <c r="D1463" s="33" t="s">
        <v>4068</v>
      </c>
      <c r="E1463" s="33" t="s">
        <v>1786</v>
      </c>
      <c r="F1463" s="33" t="s">
        <v>1787</v>
      </c>
      <c r="G1463" s="33" t="s">
        <v>5846</v>
      </c>
      <c r="H1463" s="33" t="s">
        <v>1206</v>
      </c>
      <c r="I1463" s="33" t="s">
        <v>1206</v>
      </c>
      <c r="J1463" s="33" t="s">
        <v>6233</v>
      </c>
      <c r="K1463" s="33" t="s">
        <v>1791</v>
      </c>
      <c r="L1463" s="33" t="s">
        <v>4039</v>
      </c>
      <c r="M1463" s="33" t="s">
        <v>77</v>
      </c>
      <c r="N1463" s="33" t="s">
        <v>42</v>
      </c>
      <c r="Q1463" s="33" t="s">
        <v>4050</v>
      </c>
    </row>
    <row r="1464" spans="1:17">
      <c r="A1464" s="33" t="s">
        <v>6234</v>
      </c>
      <c r="B1464" s="33" t="s">
        <v>1241</v>
      </c>
      <c r="C1464" s="33" t="s">
        <v>3549</v>
      </c>
      <c r="D1464" s="33" t="s">
        <v>4068</v>
      </c>
      <c r="E1464" s="33" t="s">
        <v>1786</v>
      </c>
      <c r="F1464" s="33" t="s">
        <v>1787</v>
      </c>
      <c r="G1464" s="33" t="s">
        <v>5846</v>
      </c>
      <c r="H1464" s="33" t="s">
        <v>1206</v>
      </c>
      <c r="I1464" s="33" t="s">
        <v>1206</v>
      </c>
      <c r="J1464" s="33" t="s">
        <v>6235</v>
      </c>
      <c r="K1464" s="33" t="s">
        <v>1791</v>
      </c>
      <c r="L1464" s="33" t="s">
        <v>4039</v>
      </c>
      <c r="M1464" s="33" t="s">
        <v>77</v>
      </c>
      <c r="N1464" s="33" t="s">
        <v>42</v>
      </c>
      <c r="Q1464" s="33" t="s">
        <v>4050</v>
      </c>
    </row>
    <row r="1465" spans="1:17">
      <c r="A1465" s="33" t="s">
        <v>6236</v>
      </c>
      <c r="B1465" s="33" t="s">
        <v>1243</v>
      </c>
      <c r="C1465" s="33" t="s">
        <v>3549</v>
      </c>
      <c r="D1465" s="33" t="s">
        <v>4068</v>
      </c>
      <c r="E1465" s="33" t="s">
        <v>1786</v>
      </c>
      <c r="F1465" s="33" t="s">
        <v>1787</v>
      </c>
      <c r="G1465" s="33" t="s">
        <v>5846</v>
      </c>
      <c r="H1465" s="33" t="s">
        <v>1206</v>
      </c>
      <c r="I1465" s="33" t="s">
        <v>1206</v>
      </c>
      <c r="J1465" s="33" t="s">
        <v>6237</v>
      </c>
      <c r="K1465" s="33" t="s">
        <v>1791</v>
      </c>
      <c r="L1465" s="33" t="s">
        <v>4039</v>
      </c>
      <c r="M1465" s="33" t="s">
        <v>76</v>
      </c>
      <c r="N1465" s="33" t="s">
        <v>42</v>
      </c>
      <c r="Q1465" s="33" t="s">
        <v>4050</v>
      </c>
    </row>
    <row r="1466" spans="1:17">
      <c r="A1466" s="33" t="s">
        <v>6238</v>
      </c>
      <c r="B1466" s="33" t="s">
        <v>1245</v>
      </c>
      <c r="C1466" s="33" t="s">
        <v>3549</v>
      </c>
      <c r="D1466" s="33" t="s">
        <v>4068</v>
      </c>
      <c r="E1466" s="33" t="s">
        <v>1786</v>
      </c>
      <c r="F1466" s="33" t="s">
        <v>1787</v>
      </c>
      <c r="G1466" s="33" t="s">
        <v>5846</v>
      </c>
      <c r="H1466" s="33" t="s">
        <v>1206</v>
      </c>
      <c r="I1466" s="33" t="s">
        <v>1206</v>
      </c>
      <c r="J1466" s="33" t="s">
        <v>6239</v>
      </c>
      <c r="K1466" s="33" t="s">
        <v>1791</v>
      </c>
      <c r="L1466" s="33" t="s">
        <v>4039</v>
      </c>
      <c r="M1466" s="33" t="s">
        <v>76</v>
      </c>
      <c r="N1466" s="33" t="s">
        <v>42</v>
      </c>
      <c r="Q1466" s="33" t="s">
        <v>4050</v>
      </c>
    </row>
    <row r="1467" spans="1:17">
      <c r="A1467" s="33" t="s">
        <v>6240</v>
      </c>
      <c r="B1467" s="33" t="s">
        <v>1247</v>
      </c>
      <c r="C1467" s="33" t="s">
        <v>3549</v>
      </c>
      <c r="D1467" s="33" t="s">
        <v>4068</v>
      </c>
      <c r="E1467" s="33" t="s">
        <v>1786</v>
      </c>
      <c r="F1467" s="33" t="s">
        <v>1787</v>
      </c>
      <c r="G1467" s="33" t="s">
        <v>5846</v>
      </c>
      <c r="H1467" s="33" t="s">
        <v>1206</v>
      </c>
      <c r="I1467" s="33" t="s">
        <v>1206</v>
      </c>
      <c r="J1467" s="33" t="s">
        <v>6241</v>
      </c>
      <c r="K1467" s="33" t="s">
        <v>1791</v>
      </c>
      <c r="L1467" s="33" t="s">
        <v>4039</v>
      </c>
      <c r="M1467" s="33" t="s">
        <v>76</v>
      </c>
      <c r="N1467" s="33" t="s">
        <v>42</v>
      </c>
      <c r="Q1467" s="33" t="s">
        <v>4050</v>
      </c>
    </row>
    <row r="1468" spans="1:17">
      <c r="A1468" s="33" t="s">
        <v>6242</v>
      </c>
      <c r="B1468" s="33" t="s">
        <v>1249</v>
      </c>
      <c r="C1468" s="33" t="s">
        <v>3549</v>
      </c>
      <c r="D1468" s="33" t="s">
        <v>4068</v>
      </c>
      <c r="E1468" s="33" t="s">
        <v>1786</v>
      </c>
      <c r="F1468" s="33" t="s">
        <v>1787</v>
      </c>
      <c r="G1468" s="33" t="s">
        <v>5846</v>
      </c>
      <c r="H1468" s="33" t="s">
        <v>1206</v>
      </c>
      <c r="I1468" s="33" t="s">
        <v>1206</v>
      </c>
      <c r="J1468" s="33" t="s">
        <v>6243</v>
      </c>
      <c r="K1468" s="33" t="s">
        <v>1791</v>
      </c>
      <c r="L1468" s="33" t="s">
        <v>4039</v>
      </c>
      <c r="M1468" s="33" t="s">
        <v>76</v>
      </c>
      <c r="N1468" s="33" t="s">
        <v>42</v>
      </c>
      <c r="Q1468" s="33" t="s">
        <v>4050</v>
      </c>
    </row>
    <row r="1469" spans="1:17">
      <c r="A1469" s="33" t="s">
        <v>6244</v>
      </c>
      <c r="B1469" s="33" t="s">
        <v>1251</v>
      </c>
      <c r="C1469" s="33" t="s">
        <v>3549</v>
      </c>
      <c r="D1469" s="33" t="s">
        <v>4068</v>
      </c>
      <c r="E1469" s="33" t="s">
        <v>1786</v>
      </c>
      <c r="F1469" s="33" t="s">
        <v>1787</v>
      </c>
      <c r="G1469" s="33" t="s">
        <v>5846</v>
      </c>
      <c r="H1469" s="33" t="s">
        <v>1206</v>
      </c>
      <c r="I1469" s="33" t="s">
        <v>1206</v>
      </c>
      <c r="J1469" s="33" t="s">
        <v>6245</v>
      </c>
      <c r="K1469" s="33" t="s">
        <v>1791</v>
      </c>
      <c r="L1469" s="33" t="s">
        <v>4039</v>
      </c>
      <c r="M1469" s="33" t="s">
        <v>76</v>
      </c>
      <c r="N1469" s="33" t="s">
        <v>42</v>
      </c>
      <c r="Q1469" s="33" t="s">
        <v>4050</v>
      </c>
    </row>
    <row r="1470" spans="1:17">
      <c r="A1470" s="33" t="s">
        <v>6246</v>
      </c>
      <c r="B1470" s="33" t="s">
        <v>1253</v>
      </c>
      <c r="C1470" s="33" t="s">
        <v>3549</v>
      </c>
      <c r="D1470" s="33" t="s">
        <v>4068</v>
      </c>
      <c r="E1470" s="33" t="s">
        <v>1786</v>
      </c>
      <c r="F1470" s="33" t="s">
        <v>1787</v>
      </c>
      <c r="G1470" s="33" t="s">
        <v>5846</v>
      </c>
      <c r="H1470" s="33" t="s">
        <v>1206</v>
      </c>
      <c r="I1470" s="33" t="s">
        <v>1206</v>
      </c>
      <c r="J1470" s="33" t="s">
        <v>6247</v>
      </c>
      <c r="K1470" s="33" t="s">
        <v>1791</v>
      </c>
      <c r="L1470" s="33" t="s">
        <v>4039</v>
      </c>
      <c r="M1470" s="33" t="s">
        <v>76</v>
      </c>
      <c r="N1470" s="33" t="s">
        <v>42</v>
      </c>
      <c r="Q1470" s="33" t="s">
        <v>4050</v>
      </c>
    </row>
    <row r="1471" spans="1:17">
      <c r="A1471" s="33" t="s">
        <v>6248</v>
      </c>
      <c r="B1471" s="33" t="s">
        <v>1254</v>
      </c>
      <c r="C1471" s="33" t="s">
        <v>3549</v>
      </c>
      <c r="D1471" s="33" t="s">
        <v>4068</v>
      </c>
      <c r="E1471" s="33" t="s">
        <v>1786</v>
      </c>
      <c r="F1471" s="33" t="s">
        <v>1787</v>
      </c>
      <c r="G1471" s="33" t="s">
        <v>5846</v>
      </c>
      <c r="H1471" s="33" t="s">
        <v>1206</v>
      </c>
      <c r="I1471" s="33" t="s">
        <v>1206</v>
      </c>
      <c r="J1471" s="33" t="s">
        <v>6249</v>
      </c>
      <c r="K1471" s="33" t="s">
        <v>1791</v>
      </c>
      <c r="L1471" s="33" t="s">
        <v>4039</v>
      </c>
      <c r="M1471" s="33" t="s">
        <v>76</v>
      </c>
      <c r="N1471" s="33" t="s">
        <v>42</v>
      </c>
      <c r="Q1471" s="33" t="s">
        <v>4050</v>
      </c>
    </row>
    <row r="1472" spans="1:17">
      <c r="A1472" s="33" t="s">
        <v>6250</v>
      </c>
      <c r="B1472" s="33" t="s">
        <v>1255</v>
      </c>
      <c r="C1472" s="33" t="s">
        <v>3549</v>
      </c>
      <c r="D1472" s="33" t="s">
        <v>4068</v>
      </c>
      <c r="E1472" s="33" t="s">
        <v>1786</v>
      </c>
      <c r="F1472" s="33" t="s">
        <v>1787</v>
      </c>
      <c r="G1472" s="33" t="s">
        <v>5846</v>
      </c>
      <c r="H1472" s="33" t="s">
        <v>1206</v>
      </c>
      <c r="I1472" s="33" t="s">
        <v>1206</v>
      </c>
      <c r="J1472" s="33" t="s">
        <v>6251</v>
      </c>
      <c r="K1472" s="33" t="s">
        <v>1791</v>
      </c>
      <c r="L1472" s="33" t="s">
        <v>4039</v>
      </c>
      <c r="M1472" s="33" t="s">
        <v>75</v>
      </c>
      <c r="N1472" s="33" t="s">
        <v>42</v>
      </c>
      <c r="Q1472" s="33" t="s">
        <v>4050</v>
      </c>
    </row>
    <row r="1473" spans="1:17">
      <c r="A1473" s="33" t="s">
        <v>6252</v>
      </c>
      <c r="B1473" s="33" t="s">
        <v>1256</v>
      </c>
      <c r="C1473" s="33" t="s">
        <v>3549</v>
      </c>
      <c r="D1473" s="33" t="s">
        <v>4068</v>
      </c>
      <c r="E1473" s="33" t="s">
        <v>1786</v>
      </c>
      <c r="F1473" s="33" t="s">
        <v>1787</v>
      </c>
      <c r="G1473" s="33" t="s">
        <v>5846</v>
      </c>
      <c r="H1473" s="33" t="s">
        <v>1206</v>
      </c>
      <c r="I1473" s="33" t="s">
        <v>1206</v>
      </c>
      <c r="J1473" s="33" t="s">
        <v>6253</v>
      </c>
      <c r="K1473" s="33" t="s">
        <v>1791</v>
      </c>
      <c r="L1473" s="33" t="s">
        <v>4039</v>
      </c>
      <c r="M1473" s="33" t="s">
        <v>75</v>
      </c>
      <c r="N1473" s="33" t="s">
        <v>42</v>
      </c>
      <c r="Q1473" s="33" t="s">
        <v>4050</v>
      </c>
    </row>
    <row r="1474" spans="1:17">
      <c r="A1474" s="33" t="s">
        <v>6254</v>
      </c>
      <c r="B1474" s="33" t="s">
        <v>1257</v>
      </c>
      <c r="C1474" s="33" t="s">
        <v>3549</v>
      </c>
      <c r="D1474" s="33" t="s">
        <v>4068</v>
      </c>
      <c r="E1474" s="33" t="s">
        <v>1786</v>
      </c>
      <c r="F1474" s="33" t="s">
        <v>1787</v>
      </c>
      <c r="G1474" s="33" t="s">
        <v>5846</v>
      </c>
      <c r="H1474" s="33" t="s">
        <v>1206</v>
      </c>
      <c r="I1474" s="33" t="s">
        <v>1206</v>
      </c>
      <c r="J1474" s="33" t="s">
        <v>6255</v>
      </c>
      <c r="K1474" s="33" t="s">
        <v>1791</v>
      </c>
      <c r="L1474" s="33" t="s">
        <v>4039</v>
      </c>
      <c r="M1474" s="33" t="s">
        <v>75</v>
      </c>
      <c r="N1474" s="33" t="s">
        <v>42</v>
      </c>
      <c r="Q1474" s="33" t="s">
        <v>4050</v>
      </c>
    </row>
    <row r="1475" spans="1:17">
      <c r="A1475" s="33" t="s">
        <v>6256</v>
      </c>
      <c r="B1475" s="33" t="s">
        <v>1258</v>
      </c>
      <c r="C1475" s="33" t="s">
        <v>3549</v>
      </c>
      <c r="D1475" s="33" t="s">
        <v>4068</v>
      </c>
      <c r="E1475" s="33" t="s">
        <v>1786</v>
      </c>
      <c r="F1475" s="33" t="s">
        <v>1787</v>
      </c>
      <c r="G1475" s="33" t="s">
        <v>5846</v>
      </c>
      <c r="H1475" s="33" t="s">
        <v>1206</v>
      </c>
      <c r="I1475" s="33" t="s">
        <v>1206</v>
      </c>
      <c r="J1475" s="33" t="s">
        <v>6257</v>
      </c>
      <c r="K1475" s="33" t="s">
        <v>1791</v>
      </c>
      <c r="L1475" s="33" t="s">
        <v>4039</v>
      </c>
      <c r="M1475" s="33" t="s">
        <v>75</v>
      </c>
      <c r="N1475" s="33" t="s">
        <v>42</v>
      </c>
      <c r="Q1475" s="33" t="s">
        <v>4050</v>
      </c>
    </row>
    <row r="1476" spans="1:17">
      <c r="A1476" s="33" t="s">
        <v>6258</v>
      </c>
      <c r="B1476" s="33" t="s">
        <v>1259</v>
      </c>
      <c r="C1476" s="33" t="s">
        <v>3549</v>
      </c>
      <c r="D1476" s="33" t="s">
        <v>4068</v>
      </c>
      <c r="E1476" s="33" t="s">
        <v>1786</v>
      </c>
      <c r="F1476" s="33" t="s">
        <v>1787</v>
      </c>
      <c r="G1476" s="33" t="s">
        <v>5846</v>
      </c>
      <c r="H1476" s="33" t="s">
        <v>1206</v>
      </c>
      <c r="I1476" s="33" t="s">
        <v>1206</v>
      </c>
      <c r="J1476" s="33" t="s">
        <v>6259</v>
      </c>
      <c r="K1476" s="33" t="s">
        <v>1791</v>
      </c>
      <c r="L1476" s="33" t="s">
        <v>4039</v>
      </c>
      <c r="M1476" s="33" t="s">
        <v>75</v>
      </c>
      <c r="N1476" s="33" t="s">
        <v>42</v>
      </c>
      <c r="Q1476" s="33" t="s">
        <v>4050</v>
      </c>
    </row>
    <row r="1477" spans="1:17">
      <c r="A1477" s="33" t="s">
        <v>6260</v>
      </c>
      <c r="B1477" s="33" t="s">
        <v>1261</v>
      </c>
      <c r="C1477" s="33" t="s">
        <v>3549</v>
      </c>
      <c r="D1477" s="33" t="s">
        <v>4068</v>
      </c>
      <c r="E1477" s="33" t="s">
        <v>1786</v>
      </c>
      <c r="F1477" s="33" t="s">
        <v>1787</v>
      </c>
      <c r="G1477" s="33" t="s">
        <v>5846</v>
      </c>
      <c r="H1477" s="33" t="s">
        <v>1206</v>
      </c>
      <c r="I1477" s="33" t="s">
        <v>1206</v>
      </c>
      <c r="J1477" s="33" t="s">
        <v>6261</v>
      </c>
      <c r="K1477" s="33" t="s">
        <v>1791</v>
      </c>
      <c r="L1477" s="33" t="s">
        <v>4039</v>
      </c>
      <c r="M1477" s="33" t="s">
        <v>75</v>
      </c>
      <c r="N1477" s="33" t="s">
        <v>42</v>
      </c>
      <c r="Q1477" s="33" t="s">
        <v>4050</v>
      </c>
    </row>
    <row r="1478" spans="1:17">
      <c r="A1478" s="33" t="s">
        <v>6262</v>
      </c>
      <c r="B1478" s="33" t="s">
        <v>1262</v>
      </c>
      <c r="C1478" s="33" t="s">
        <v>3549</v>
      </c>
      <c r="D1478" s="33" t="s">
        <v>4068</v>
      </c>
      <c r="E1478" s="33" t="s">
        <v>1786</v>
      </c>
      <c r="F1478" s="33" t="s">
        <v>1787</v>
      </c>
      <c r="G1478" s="33" t="s">
        <v>5846</v>
      </c>
      <c r="H1478" s="33" t="s">
        <v>1206</v>
      </c>
      <c r="I1478" s="33" t="s">
        <v>1206</v>
      </c>
      <c r="J1478" s="33" t="s">
        <v>6263</v>
      </c>
      <c r="K1478" s="33" t="s">
        <v>1791</v>
      </c>
      <c r="L1478" s="33" t="s">
        <v>4039</v>
      </c>
      <c r="M1478" s="33" t="s">
        <v>75</v>
      </c>
      <c r="N1478" s="33" t="s">
        <v>42</v>
      </c>
      <c r="Q1478" s="33" t="s">
        <v>4050</v>
      </c>
    </row>
    <row r="1479" spans="1:17">
      <c r="A1479" s="33" t="s">
        <v>6264</v>
      </c>
      <c r="B1479" s="33" t="s">
        <v>1263</v>
      </c>
      <c r="C1479" s="33" t="s">
        <v>3549</v>
      </c>
      <c r="D1479" s="33" t="s">
        <v>4068</v>
      </c>
      <c r="E1479" s="33" t="s">
        <v>1786</v>
      </c>
      <c r="F1479" s="33" t="s">
        <v>1787</v>
      </c>
      <c r="G1479" s="33" t="s">
        <v>5846</v>
      </c>
      <c r="H1479" s="33" t="s">
        <v>1206</v>
      </c>
      <c r="I1479" s="33" t="s">
        <v>1206</v>
      </c>
      <c r="J1479" s="33" t="s">
        <v>6265</v>
      </c>
      <c r="K1479" s="33" t="s">
        <v>1791</v>
      </c>
      <c r="L1479" s="33" t="s">
        <v>4039</v>
      </c>
      <c r="M1479" s="33" t="s">
        <v>75</v>
      </c>
      <c r="N1479" s="33" t="s">
        <v>42</v>
      </c>
      <c r="Q1479" s="33" t="s">
        <v>4050</v>
      </c>
    </row>
    <row r="1480" spans="1:17">
      <c r="A1480" s="33" t="s">
        <v>6266</v>
      </c>
      <c r="B1480" s="33" t="s">
        <v>1264</v>
      </c>
      <c r="C1480" s="33" t="s">
        <v>3549</v>
      </c>
      <c r="D1480" s="33" t="s">
        <v>4068</v>
      </c>
      <c r="E1480" s="33" t="s">
        <v>1786</v>
      </c>
      <c r="F1480" s="33" t="s">
        <v>1787</v>
      </c>
      <c r="G1480" s="33" t="s">
        <v>5846</v>
      </c>
      <c r="H1480" s="33" t="s">
        <v>1206</v>
      </c>
      <c r="I1480" s="33" t="s">
        <v>1206</v>
      </c>
      <c r="J1480" s="33" t="s">
        <v>6267</v>
      </c>
      <c r="K1480" s="33" t="s">
        <v>1791</v>
      </c>
      <c r="L1480" s="33" t="s">
        <v>4039</v>
      </c>
      <c r="M1480" s="33" t="s">
        <v>78</v>
      </c>
      <c r="N1480" s="33" t="s">
        <v>42</v>
      </c>
      <c r="Q1480" s="33" t="s">
        <v>4050</v>
      </c>
    </row>
    <row r="1481" spans="1:17">
      <c r="A1481" s="33" t="s">
        <v>6268</v>
      </c>
      <c r="B1481" s="33" t="s">
        <v>1265</v>
      </c>
      <c r="C1481" s="33" t="s">
        <v>3549</v>
      </c>
      <c r="D1481" s="33" t="s">
        <v>4068</v>
      </c>
      <c r="E1481" s="33" t="s">
        <v>1786</v>
      </c>
      <c r="F1481" s="33" t="s">
        <v>1787</v>
      </c>
      <c r="G1481" s="33" t="s">
        <v>5846</v>
      </c>
      <c r="H1481" s="33" t="s">
        <v>1206</v>
      </c>
      <c r="I1481" s="33" t="s">
        <v>1206</v>
      </c>
      <c r="J1481" s="33" t="s">
        <v>6269</v>
      </c>
      <c r="K1481" s="33" t="s">
        <v>1791</v>
      </c>
      <c r="L1481" s="33" t="s">
        <v>4039</v>
      </c>
      <c r="M1481" s="33" t="s">
        <v>78</v>
      </c>
      <c r="N1481" s="33" t="s">
        <v>42</v>
      </c>
      <c r="Q1481" s="33" t="s">
        <v>4050</v>
      </c>
    </row>
    <row r="1482" spans="1:17">
      <c r="A1482" s="33" t="s">
        <v>6270</v>
      </c>
      <c r="B1482" s="33" t="s">
        <v>1266</v>
      </c>
      <c r="C1482" s="33" t="s">
        <v>3549</v>
      </c>
      <c r="D1482" s="33" t="s">
        <v>4068</v>
      </c>
      <c r="E1482" s="33" t="s">
        <v>1786</v>
      </c>
      <c r="F1482" s="33" t="s">
        <v>1787</v>
      </c>
      <c r="G1482" s="33" t="s">
        <v>5846</v>
      </c>
      <c r="H1482" s="33" t="s">
        <v>1206</v>
      </c>
      <c r="I1482" s="33" t="s">
        <v>1206</v>
      </c>
      <c r="J1482" s="33" t="s">
        <v>6271</v>
      </c>
      <c r="K1482" s="33" t="s">
        <v>1791</v>
      </c>
      <c r="L1482" s="33" t="s">
        <v>4039</v>
      </c>
      <c r="M1482" s="33" t="s">
        <v>78</v>
      </c>
      <c r="N1482" s="33" t="s">
        <v>42</v>
      </c>
      <c r="Q1482" s="33" t="s">
        <v>4050</v>
      </c>
    </row>
    <row r="1483" spans="1:17">
      <c r="A1483" s="33" t="s">
        <v>6272</v>
      </c>
      <c r="B1483" s="33" t="s">
        <v>1267</v>
      </c>
      <c r="C1483" s="33" t="s">
        <v>3549</v>
      </c>
      <c r="D1483" s="33" t="s">
        <v>4068</v>
      </c>
      <c r="E1483" s="33" t="s">
        <v>1786</v>
      </c>
      <c r="F1483" s="33" t="s">
        <v>1787</v>
      </c>
      <c r="G1483" s="33" t="s">
        <v>5846</v>
      </c>
      <c r="H1483" s="33" t="s">
        <v>1206</v>
      </c>
      <c r="I1483" s="33" t="s">
        <v>1206</v>
      </c>
      <c r="J1483" s="33" t="s">
        <v>6273</v>
      </c>
      <c r="K1483" s="33" t="s">
        <v>1791</v>
      </c>
      <c r="L1483" s="33" t="s">
        <v>4039</v>
      </c>
      <c r="M1483" s="33" t="s">
        <v>78</v>
      </c>
      <c r="N1483" s="33" t="s">
        <v>42</v>
      </c>
      <c r="Q1483" s="33" t="s">
        <v>4050</v>
      </c>
    </row>
    <row r="1484" spans="1:17">
      <c r="A1484" s="33" t="s">
        <v>6274</v>
      </c>
      <c r="B1484" s="33" t="s">
        <v>1268</v>
      </c>
      <c r="C1484" s="33" t="s">
        <v>3549</v>
      </c>
      <c r="D1484" s="33" t="s">
        <v>4068</v>
      </c>
      <c r="E1484" s="33" t="s">
        <v>1786</v>
      </c>
      <c r="F1484" s="33" t="s">
        <v>1787</v>
      </c>
      <c r="G1484" s="33" t="s">
        <v>5846</v>
      </c>
      <c r="H1484" s="33" t="s">
        <v>1206</v>
      </c>
      <c r="I1484" s="33" t="s">
        <v>1206</v>
      </c>
      <c r="J1484" s="33" t="s">
        <v>6275</v>
      </c>
      <c r="K1484" s="33" t="s">
        <v>1791</v>
      </c>
      <c r="L1484" s="33" t="s">
        <v>4039</v>
      </c>
      <c r="M1484" s="33" t="s">
        <v>78</v>
      </c>
      <c r="N1484" s="33" t="s">
        <v>42</v>
      </c>
      <c r="Q1484" s="33" t="s">
        <v>4050</v>
      </c>
    </row>
    <row r="1485" spans="1:17">
      <c r="A1485" s="33" t="s">
        <v>6276</v>
      </c>
      <c r="B1485" s="33" t="s">
        <v>1269</v>
      </c>
      <c r="C1485" s="33" t="s">
        <v>3549</v>
      </c>
      <c r="D1485" s="33" t="s">
        <v>4068</v>
      </c>
      <c r="E1485" s="33" t="s">
        <v>1786</v>
      </c>
      <c r="F1485" s="33" t="s">
        <v>1787</v>
      </c>
      <c r="G1485" s="33" t="s">
        <v>5846</v>
      </c>
      <c r="H1485" s="33" t="s">
        <v>1206</v>
      </c>
      <c r="I1485" s="33" t="s">
        <v>1206</v>
      </c>
      <c r="J1485" s="33" t="s">
        <v>6277</v>
      </c>
      <c r="K1485" s="33" t="s">
        <v>1791</v>
      </c>
      <c r="L1485" s="33" t="s">
        <v>4039</v>
      </c>
      <c r="M1485" s="33" t="s">
        <v>75</v>
      </c>
      <c r="N1485" s="33" t="s">
        <v>42</v>
      </c>
      <c r="Q1485" s="33" t="s">
        <v>4050</v>
      </c>
    </row>
    <row r="1486" spans="1:17">
      <c r="A1486" s="33" t="s">
        <v>6278</v>
      </c>
      <c r="B1486" s="33" t="s">
        <v>1271</v>
      </c>
      <c r="C1486" s="33" t="s">
        <v>3549</v>
      </c>
      <c r="D1486" s="33" t="s">
        <v>4068</v>
      </c>
      <c r="E1486" s="33" t="s">
        <v>1786</v>
      </c>
      <c r="F1486" s="33" t="s">
        <v>1787</v>
      </c>
      <c r="G1486" s="33" t="s">
        <v>5846</v>
      </c>
      <c r="H1486" s="33" t="s">
        <v>1206</v>
      </c>
      <c r="I1486" s="33" t="s">
        <v>1206</v>
      </c>
      <c r="J1486" s="33" t="s">
        <v>6279</v>
      </c>
      <c r="K1486" s="33" t="s">
        <v>1791</v>
      </c>
      <c r="L1486" s="33" t="s">
        <v>4039</v>
      </c>
      <c r="M1486" s="33" t="s">
        <v>78</v>
      </c>
      <c r="N1486" s="33" t="s">
        <v>42</v>
      </c>
      <c r="Q1486" s="33" t="s">
        <v>4050</v>
      </c>
    </row>
    <row r="1487" spans="1:17">
      <c r="A1487" s="33" t="s">
        <v>6280</v>
      </c>
      <c r="B1487" s="33" t="s">
        <v>1272</v>
      </c>
      <c r="C1487" s="33" t="s">
        <v>3549</v>
      </c>
      <c r="D1487" s="33" t="s">
        <v>4068</v>
      </c>
      <c r="E1487" s="33" t="s">
        <v>1786</v>
      </c>
      <c r="F1487" s="33" t="s">
        <v>1787</v>
      </c>
      <c r="G1487" s="33" t="s">
        <v>5846</v>
      </c>
      <c r="H1487" s="33" t="s">
        <v>1206</v>
      </c>
      <c r="I1487" s="33" t="s">
        <v>1206</v>
      </c>
      <c r="J1487" s="33" t="s">
        <v>6281</v>
      </c>
      <c r="K1487" s="33" t="s">
        <v>1791</v>
      </c>
      <c r="L1487" s="33" t="s">
        <v>4039</v>
      </c>
      <c r="M1487" s="33" t="s">
        <v>78</v>
      </c>
      <c r="N1487" s="33" t="s">
        <v>42</v>
      </c>
      <c r="Q1487" s="33" t="s">
        <v>4050</v>
      </c>
    </row>
    <row r="1488" spans="1:17">
      <c r="A1488" s="33" t="s">
        <v>6282</v>
      </c>
      <c r="B1488" s="33" t="s">
        <v>1273</v>
      </c>
      <c r="C1488" s="33" t="s">
        <v>3549</v>
      </c>
      <c r="D1488" s="33" t="s">
        <v>4068</v>
      </c>
      <c r="E1488" s="33" t="s">
        <v>1786</v>
      </c>
      <c r="F1488" s="33" t="s">
        <v>1787</v>
      </c>
      <c r="G1488" s="33" t="s">
        <v>5846</v>
      </c>
      <c r="H1488" s="33" t="s">
        <v>1206</v>
      </c>
      <c r="I1488" s="33" t="s">
        <v>1206</v>
      </c>
      <c r="J1488" s="33" t="s">
        <v>6283</v>
      </c>
      <c r="K1488" s="33" t="s">
        <v>1791</v>
      </c>
      <c r="L1488" s="33" t="s">
        <v>4039</v>
      </c>
      <c r="M1488" s="33" t="s">
        <v>78</v>
      </c>
      <c r="N1488" s="33" t="s">
        <v>42</v>
      </c>
      <c r="Q1488" s="33" t="s">
        <v>4050</v>
      </c>
    </row>
    <row r="1489" spans="1:17">
      <c r="A1489" s="33" t="s">
        <v>6284</v>
      </c>
      <c r="B1489" s="33" t="s">
        <v>1274</v>
      </c>
      <c r="C1489" s="33" t="s">
        <v>3549</v>
      </c>
      <c r="D1489" s="33" t="s">
        <v>4068</v>
      </c>
      <c r="E1489" s="33" t="s">
        <v>1786</v>
      </c>
      <c r="F1489" s="33" t="s">
        <v>1787</v>
      </c>
      <c r="G1489" s="33" t="s">
        <v>5846</v>
      </c>
      <c r="H1489" s="33" t="s">
        <v>1206</v>
      </c>
      <c r="I1489" s="33" t="s">
        <v>1206</v>
      </c>
      <c r="J1489" s="33" t="s">
        <v>6285</v>
      </c>
      <c r="K1489" s="33" t="s">
        <v>1791</v>
      </c>
      <c r="L1489" s="33" t="s">
        <v>4039</v>
      </c>
      <c r="M1489" s="33" t="s">
        <v>1064</v>
      </c>
      <c r="N1489" s="33" t="s">
        <v>42</v>
      </c>
      <c r="Q1489" s="33" t="s">
        <v>4050</v>
      </c>
    </row>
    <row r="1490" spans="1:17">
      <c r="A1490" s="33" t="s">
        <v>6286</v>
      </c>
      <c r="B1490" s="33" t="s">
        <v>1276</v>
      </c>
      <c r="C1490" s="33" t="s">
        <v>3549</v>
      </c>
      <c r="D1490" s="33" t="s">
        <v>4068</v>
      </c>
      <c r="E1490" s="33" t="s">
        <v>1786</v>
      </c>
      <c r="F1490" s="33" t="s">
        <v>1787</v>
      </c>
      <c r="G1490" s="33" t="s">
        <v>5846</v>
      </c>
      <c r="H1490" s="33" t="s">
        <v>1206</v>
      </c>
      <c r="I1490" s="33" t="s">
        <v>1206</v>
      </c>
      <c r="J1490" s="33" t="s">
        <v>6287</v>
      </c>
      <c r="K1490" s="33" t="s">
        <v>1791</v>
      </c>
      <c r="L1490" s="33" t="s">
        <v>4039</v>
      </c>
      <c r="M1490" s="33" t="s">
        <v>1064</v>
      </c>
      <c r="N1490" s="33" t="s">
        <v>42</v>
      </c>
      <c r="Q1490" s="33" t="s">
        <v>4050</v>
      </c>
    </row>
    <row r="1491" spans="1:17">
      <c r="A1491" s="33" t="s">
        <v>6288</v>
      </c>
      <c r="B1491" s="33" t="s">
        <v>1277</v>
      </c>
      <c r="C1491" s="33" t="s">
        <v>3549</v>
      </c>
      <c r="D1491" s="33" t="s">
        <v>4068</v>
      </c>
      <c r="E1491" s="33" t="s">
        <v>1786</v>
      </c>
      <c r="F1491" s="33" t="s">
        <v>1787</v>
      </c>
      <c r="G1491" s="33" t="s">
        <v>5846</v>
      </c>
      <c r="H1491" s="33" t="s">
        <v>1206</v>
      </c>
      <c r="I1491" s="33" t="s">
        <v>1206</v>
      </c>
      <c r="J1491" s="33" t="s">
        <v>6289</v>
      </c>
      <c r="K1491" s="33" t="s">
        <v>1791</v>
      </c>
      <c r="L1491" s="33" t="s">
        <v>4039</v>
      </c>
      <c r="M1491" s="33" t="s">
        <v>1064</v>
      </c>
      <c r="N1491" s="33" t="s">
        <v>42</v>
      </c>
      <c r="Q1491" s="33" t="s">
        <v>4050</v>
      </c>
    </row>
    <row r="1492" spans="1:17">
      <c r="A1492" s="33" t="s">
        <v>6290</v>
      </c>
      <c r="B1492" s="33" t="s">
        <v>1279</v>
      </c>
      <c r="C1492" s="33" t="s">
        <v>3549</v>
      </c>
      <c r="D1492" s="33" t="s">
        <v>4068</v>
      </c>
      <c r="E1492" s="33" t="s">
        <v>1786</v>
      </c>
      <c r="F1492" s="33" t="s">
        <v>1787</v>
      </c>
      <c r="G1492" s="33" t="s">
        <v>5846</v>
      </c>
      <c r="H1492" s="33" t="s">
        <v>1206</v>
      </c>
      <c r="I1492" s="33" t="s">
        <v>1206</v>
      </c>
      <c r="J1492" s="33" t="s">
        <v>6291</v>
      </c>
      <c r="K1492" s="33" t="s">
        <v>1791</v>
      </c>
      <c r="L1492" s="33" t="s">
        <v>4039</v>
      </c>
      <c r="M1492" s="33" t="s">
        <v>55</v>
      </c>
      <c r="N1492" s="33" t="s">
        <v>42</v>
      </c>
      <c r="Q1492" s="33" t="s">
        <v>4050</v>
      </c>
    </row>
    <row r="1493" spans="1:17">
      <c r="A1493" s="33" t="s">
        <v>6292</v>
      </c>
      <c r="B1493" s="33" t="s">
        <v>1280</v>
      </c>
      <c r="C1493" s="33" t="s">
        <v>3549</v>
      </c>
      <c r="D1493" s="33" t="s">
        <v>4068</v>
      </c>
      <c r="E1493" s="33" t="s">
        <v>1786</v>
      </c>
      <c r="F1493" s="33" t="s">
        <v>1787</v>
      </c>
      <c r="G1493" s="33" t="s">
        <v>5846</v>
      </c>
      <c r="H1493" s="33" t="s">
        <v>1206</v>
      </c>
      <c r="I1493" s="33" t="s">
        <v>1206</v>
      </c>
      <c r="J1493" s="33" t="s">
        <v>6293</v>
      </c>
      <c r="K1493" s="33" t="s">
        <v>1791</v>
      </c>
      <c r="L1493" s="33" t="s">
        <v>4039</v>
      </c>
      <c r="M1493" s="33" t="s">
        <v>55</v>
      </c>
      <c r="N1493" s="33" t="s">
        <v>42</v>
      </c>
      <c r="Q1493" s="33" t="s">
        <v>4050</v>
      </c>
    </row>
    <row r="1494" spans="1:17">
      <c r="A1494" s="33" t="s">
        <v>6294</v>
      </c>
      <c r="B1494" s="33" t="s">
        <v>1281</v>
      </c>
      <c r="C1494" s="33" t="s">
        <v>3549</v>
      </c>
      <c r="D1494" s="33" t="s">
        <v>4068</v>
      </c>
      <c r="E1494" s="33" t="s">
        <v>1786</v>
      </c>
      <c r="F1494" s="33" t="s">
        <v>1787</v>
      </c>
      <c r="G1494" s="33" t="s">
        <v>5846</v>
      </c>
      <c r="H1494" s="33" t="s">
        <v>1206</v>
      </c>
      <c r="I1494" s="33" t="s">
        <v>1206</v>
      </c>
      <c r="J1494" s="33" t="s">
        <v>6295</v>
      </c>
      <c r="K1494" s="33" t="s">
        <v>1791</v>
      </c>
      <c r="L1494" s="33" t="s">
        <v>4039</v>
      </c>
      <c r="M1494" s="33" t="s">
        <v>55</v>
      </c>
      <c r="N1494" s="33" t="s">
        <v>42</v>
      </c>
      <c r="Q1494" s="33" t="s">
        <v>4050</v>
      </c>
    </row>
    <row r="1495" spans="1:17">
      <c r="A1495" s="33" t="s">
        <v>6296</v>
      </c>
      <c r="B1495" s="33" t="s">
        <v>1283</v>
      </c>
      <c r="C1495" s="33" t="s">
        <v>3549</v>
      </c>
      <c r="D1495" s="33" t="s">
        <v>4068</v>
      </c>
      <c r="E1495" s="33" t="s">
        <v>1786</v>
      </c>
      <c r="F1495" s="33" t="s">
        <v>1787</v>
      </c>
      <c r="G1495" s="33" t="s">
        <v>5846</v>
      </c>
      <c r="H1495" s="33" t="s">
        <v>1206</v>
      </c>
      <c r="I1495" s="33" t="s">
        <v>1206</v>
      </c>
      <c r="J1495" s="33" t="s">
        <v>6297</v>
      </c>
      <c r="K1495" s="33" t="s">
        <v>1791</v>
      </c>
      <c r="L1495" s="33" t="s">
        <v>4039</v>
      </c>
      <c r="M1495" s="33" t="s">
        <v>55</v>
      </c>
      <c r="N1495" s="33" t="s">
        <v>42</v>
      </c>
      <c r="Q1495" s="33" t="s">
        <v>4050</v>
      </c>
    </row>
    <row r="1496" spans="1:17">
      <c r="A1496" s="33" t="s">
        <v>6298</v>
      </c>
      <c r="B1496" s="33" t="s">
        <v>1285</v>
      </c>
      <c r="C1496" s="33" t="s">
        <v>3549</v>
      </c>
      <c r="D1496" s="33" t="s">
        <v>4068</v>
      </c>
      <c r="E1496" s="33" t="s">
        <v>1786</v>
      </c>
      <c r="F1496" s="33" t="s">
        <v>1787</v>
      </c>
      <c r="G1496" s="33" t="s">
        <v>5846</v>
      </c>
      <c r="H1496" s="33" t="s">
        <v>1206</v>
      </c>
      <c r="I1496" s="33" t="s">
        <v>1206</v>
      </c>
      <c r="J1496" s="33" t="s">
        <v>6299</v>
      </c>
      <c r="K1496" s="33" t="s">
        <v>1791</v>
      </c>
      <c r="L1496" s="33" t="s">
        <v>4039</v>
      </c>
      <c r="M1496" s="33" t="s">
        <v>1078</v>
      </c>
      <c r="N1496" s="33" t="s">
        <v>42</v>
      </c>
      <c r="Q1496" s="33" t="s">
        <v>4050</v>
      </c>
    </row>
    <row r="1497" spans="1:17">
      <c r="A1497" s="33" t="s">
        <v>6300</v>
      </c>
      <c r="B1497" s="33" t="s">
        <v>1287</v>
      </c>
      <c r="C1497" s="33" t="s">
        <v>3549</v>
      </c>
      <c r="D1497" s="33" t="s">
        <v>4068</v>
      </c>
      <c r="E1497" s="33" t="s">
        <v>1786</v>
      </c>
      <c r="F1497" s="33" t="s">
        <v>1787</v>
      </c>
      <c r="G1497" s="33" t="s">
        <v>5846</v>
      </c>
      <c r="H1497" s="33" t="s">
        <v>1206</v>
      </c>
      <c r="I1497" s="33" t="s">
        <v>1206</v>
      </c>
      <c r="J1497" s="33" t="s">
        <v>6301</v>
      </c>
      <c r="K1497" s="33" t="s">
        <v>1791</v>
      </c>
      <c r="L1497" s="33" t="s">
        <v>4039</v>
      </c>
      <c r="M1497" s="33" t="s">
        <v>1078</v>
      </c>
      <c r="N1497" s="33" t="s">
        <v>42</v>
      </c>
      <c r="Q1497" s="33" t="s">
        <v>4050</v>
      </c>
    </row>
    <row r="1498" spans="1:17">
      <c r="A1498" s="33" t="s">
        <v>6302</v>
      </c>
      <c r="B1498" s="33" t="s">
        <v>1289</v>
      </c>
      <c r="C1498" s="33" t="s">
        <v>3549</v>
      </c>
      <c r="D1498" s="33" t="s">
        <v>4068</v>
      </c>
      <c r="E1498" s="33" t="s">
        <v>1786</v>
      </c>
      <c r="F1498" s="33" t="s">
        <v>1787</v>
      </c>
      <c r="G1498" s="33" t="s">
        <v>5846</v>
      </c>
      <c r="H1498" s="33" t="s">
        <v>1206</v>
      </c>
      <c r="I1498" s="33" t="s">
        <v>1206</v>
      </c>
      <c r="J1498" s="33" t="s">
        <v>6303</v>
      </c>
      <c r="K1498" s="33" t="s">
        <v>1791</v>
      </c>
      <c r="L1498" s="33" t="s">
        <v>4039</v>
      </c>
      <c r="M1498" s="33" t="s">
        <v>1078</v>
      </c>
      <c r="N1498" s="33" t="s">
        <v>42</v>
      </c>
      <c r="Q1498" s="33" t="s">
        <v>4050</v>
      </c>
    </row>
    <row r="1499" spans="1:17">
      <c r="A1499" s="33" t="s">
        <v>6304</v>
      </c>
      <c r="B1499" s="33" t="s">
        <v>1291</v>
      </c>
      <c r="C1499" s="33" t="s">
        <v>3549</v>
      </c>
      <c r="D1499" s="33" t="s">
        <v>4068</v>
      </c>
      <c r="E1499" s="33" t="s">
        <v>1786</v>
      </c>
      <c r="F1499" s="33" t="s">
        <v>1787</v>
      </c>
      <c r="G1499" s="33" t="s">
        <v>5846</v>
      </c>
      <c r="H1499" s="33" t="s">
        <v>1206</v>
      </c>
      <c r="I1499" s="33" t="s">
        <v>1206</v>
      </c>
      <c r="J1499" s="33" t="s">
        <v>6305</v>
      </c>
      <c r="K1499" s="33" t="s">
        <v>1791</v>
      </c>
      <c r="L1499" s="33" t="s">
        <v>4039</v>
      </c>
      <c r="M1499" s="33" t="s">
        <v>1078</v>
      </c>
      <c r="N1499" s="33" t="s">
        <v>42</v>
      </c>
      <c r="Q1499" s="33" t="s">
        <v>4050</v>
      </c>
    </row>
    <row r="1500" spans="1:17">
      <c r="A1500" s="33" t="s">
        <v>6306</v>
      </c>
      <c r="B1500" s="33" t="s">
        <v>1292</v>
      </c>
      <c r="C1500" s="33" t="s">
        <v>3549</v>
      </c>
      <c r="D1500" s="33" t="s">
        <v>4068</v>
      </c>
      <c r="E1500" s="33" t="s">
        <v>1786</v>
      </c>
      <c r="F1500" s="33" t="s">
        <v>1787</v>
      </c>
      <c r="G1500" s="33" t="s">
        <v>5846</v>
      </c>
      <c r="H1500" s="33" t="s">
        <v>1206</v>
      </c>
      <c r="I1500" s="33" t="s">
        <v>1206</v>
      </c>
      <c r="J1500" s="33" t="s">
        <v>6307</v>
      </c>
      <c r="K1500" s="33" t="s">
        <v>1791</v>
      </c>
      <c r="L1500" s="33" t="s">
        <v>4039</v>
      </c>
      <c r="M1500" s="33" t="s">
        <v>1078</v>
      </c>
      <c r="N1500" s="33" t="s">
        <v>42</v>
      </c>
      <c r="Q1500" s="33" t="s">
        <v>4050</v>
      </c>
    </row>
    <row r="1501" spans="1:17">
      <c r="A1501" s="33" t="s">
        <v>6308</v>
      </c>
      <c r="B1501" s="33" t="s">
        <v>1294</v>
      </c>
      <c r="C1501" s="33" t="s">
        <v>3549</v>
      </c>
      <c r="D1501" s="33" t="s">
        <v>4068</v>
      </c>
      <c r="E1501" s="33" t="s">
        <v>1786</v>
      </c>
      <c r="F1501" s="33" t="s">
        <v>1787</v>
      </c>
      <c r="G1501" s="33" t="s">
        <v>5846</v>
      </c>
      <c r="H1501" s="33" t="s">
        <v>1206</v>
      </c>
      <c r="I1501" s="33" t="s">
        <v>1206</v>
      </c>
      <c r="J1501" s="33" t="s">
        <v>6309</v>
      </c>
      <c r="K1501" s="33" t="s">
        <v>1791</v>
      </c>
      <c r="L1501" s="33" t="s">
        <v>4039</v>
      </c>
      <c r="M1501" s="33" t="s">
        <v>1078</v>
      </c>
      <c r="N1501" s="33" t="s">
        <v>42</v>
      </c>
      <c r="Q1501" s="33" t="s">
        <v>4050</v>
      </c>
    </row>
    <row r="1502" spans="1:17">
      <c r="A1502" s="33" t="s">
        <v>6310</v>
      </c>
      <c r="B1502" s="33" t="s">
        <v>1295</v>
      </c>
      <c r="C1502" s="33" t="s">
        <v>3549</v>
      </c>
      <c r="D1502" s="33" t="s">
        <v>4068</v>
      </c>
      <c r="E1502" s="33" t="s">
        <v>1786</v>
      </c>
      <c r="F1502" s="33" t="s">
        <v>1787</v>
      </c>
      <c r="G1502" s="33" t="s">
        <v>5846</v>
      </c>
      <c r="H1502" s="33" t="s">
        <v>1206</v>
      </c>
      <c r="I1502" s="33" t="s">
        <v>1206</v>
      </c>
      <c r="J1502" s="33" t="s">
        <v>6311</v>
      </c>
      <c r="K1502" s="33" t="s">
        <v>1791</v>
      </c>
      <c r="L1502" s="33" t="s">
        <v>4039</v>
      </c>
      <c r="M1502" s="33" t="s">
        <v>1078</v>
      </c>
      <c r="N1502" s="33" t="s">
        <v>42</v>
      </c>
      <c r="Q1502" s="33" t="s">
        <v>4050</v>
      </c>
    </row>
    <row r="1503" spans="1:17">
      <c r="A1503" s="33" t="s">
        <v>6312</v>
      </c>
      <c r="B1503" s="33" t="s">
        <v>1297</v>
      </c>
      <c r="C1503" s="33" t="s">
        <v>3549</v>
      </c>
      <c r="D1503" s="33" t="s">
        <v>4068</v>
      </c>
      <c r="E1503" s="33" t="s">
        <v>1786</v>
      </c>
      <c r="F1503" s="33" t="s">
        <v>1787</v>
      </c>
      <c r="G1503" s="33" t="s">
        <v>5846</v>
      </c>
      <c r="H1503" s="33" t="s">
        <v>1206</v>
      </c>
      <c r="I1503" s="33" t="s">
        <v>1206</v>
      </c>
      <c r="J1503" s="33" t="s">
        <v>6313</v>
      </c>
      <c r="K1503" s="33" t="s">
        <v>1791</v>
      </c>
      <c r="L1503" s="33" t="s">
        <v>4039</v>
      </c>
      <c r="M1503" s="33" t="s">
        <v>1078</v>
      </c>
      <c r="N1503" s="33" t="s">
        <v>42</v>
      </c>
      <c r="Q1503" s="33" t="s">
        <v>4050</v>
      </c>
    </row>
    <row r="1504" spans="1:17">
      <c r="A1504" s="33" t="s">
        <v>6314</v>
      </c>
      <c r="B1504" s="33" t="s">
        <v>1299</v>
      </c>
      <c r="C1504" s="33" t="s">
        <v>3549</v>
      </c>
      <c r="D1504" s="33" t="s">
        <v>4068</v>
      </c>
      <c r="E1504" s="33" t="s">
        <v>1786</v>
      </c>
      <c r="F1504" s="33" t="s">
        <v>1787</v>
      </c>
      <c r="G1504" s="33" t="s">
        <v>5846</v>
      </c>
      <c r="H1504" s="33" t="s">
        <v>1206</v>
      </c>
      <c r="I1504" s="33" t="s">
        <v>1206</v>
      </c>
      <c r="J1504" s="33" t="s">
        <v>6315</v>
      </c>
      <c r="K1504" s="33" t="s">
        <v>1791</v>
      </c>
      <c r="L1504" s="33" t="s">
        <v>4039</v>
      </c>
      <c r="M1504" s="33" t="s">
        <v>1078</v>
      </c>
      <c r="N1504" s="33" t="s">
        <v>42</v>
      </c>
      <c r="Q1504" s="33" t="s">
        <v>4050</v>
      </c>
    </row>
    <row r="1505" spans="1:17">
      <c r="A1505" s="33" t="s">
        <v>6316</v>
      </c>
      <c r="B1505" s="33" t="s">
        <v>1301</v>
      </c>
      <c r="C1505" s="33" t="s">
        <v>3549</v>
      </c>
      <c r="D1505" s="33" t="s">
        <v>4068</v>
      </c>
      <c r="E1505" s="33" t="s">
        <v>1786</v>
      </c>
      <c r="F1505" s="33" t="s">
        <v>1787</v>
      </c>
      <c r="G1505" s="33" t="s">
        <v>5846</v>
      </c>
      <c r="H1505" s="33" t="s">
        <v>1206</v>
      </c>
      <c r="I1505" s="33" t="s">
        <v>1206</v>
      </c>
      <c r="J1505" s="33" t="s">
        <v>6317</v>
      </c>
      <c r="K1505" s="33" t="s">
        <v>1791</v>
      </c>
      <c r="L1505" s="33" t="s">
        <v>4039</v>
      </c>
      <c r="M1505" s="33" t="s">
        <v>1078</v>
      </c>
      <c r="N1505" s="33" t="s">
        <v>42</v>
      </c>
      <c r="Q1505" s="33" t="s">
        <v>4050</v>
      </c>
    </row>
    <row r="1506" spans="1:17">
      <c r="A1506" s="33" t="s">
        <v>6318</v>
      </c>
      <c r="B1506" s="33" t="s">
        <v>1302</v>
      </c>
      <c r="C1506" s="33" t="s">
        <v>3549</v>
      </c>
      <c r="D1506" s="33" t="s">
        <v>4068</v>
      </c>
      <c r="E1506" s="33" t="s">
        <v>1786</v>
      </c>
      <c r="F1506" s="33" t="s">
        <v>1787</v>
      </c>
      <c r="G1506" s="33" t="s">
        <v>5846</v>
      </c>
      <c r="H1506" s="33" t="s">
        <v>1206</v>
      </c>
      <c r="I1506" s="33" t="s">
        <v>1206</v>
      </c>
      <c r="J1506" s="33" t="s">
        <v>6319</v>
      </c>
      <c r="K1506" s="33" t="s">
        <v>1791</v>
      </c>
      <c r="L1506" s="33" t="s">
        <v>4039</v>
      </c>
      <c r="M1506" s="33" t="s">
        <v>1083</v>
      </c>
      <c r="N1506" s="33" t="s">
        <v>42</v>
      </c>
      <c r="Q1506" s="33" t="s">
        <v>4050</v>
      </c>
    </row>
    <row r="1507" spans="1:17">
      <c r="A1507" s="33" t="s">
        <v>6320</v>
      </c>
      <c r="B1507" s="33" t="s">
        <v>1303</v>
      </c>
      <c r="C1507" s="33" t="s">
        <v>3549</v>
      </c>
      <c r="D1507" s="33" t="s">
        <v>4068</v>
      </c>
      <c r="E1507" s="33" t="s">
        <v>1786</v>
      </c>
      <c r="F1507" s="33" t="s">
        <v>1787</v>
      </c>
      <c r="G1507" s="33" t="s">
        <v>5846</v>
      </c>
      <c r="H1507" s="33" t="s">
        <v>1206</v>
      </c>
      <c r="I1507" s="33" t="s">
        <v>1206</v>
      </c>
      <c r="J1507" s="33" t="s">
        <v>6321</v>
      </c>
      <c r="K1507" s="33" t="s">
        <v>1791</v>
      </c>
      <c r="L1507" s="33" t="s">
        <v>4039</v>
      </c>
      <c r="M1507" s="33" t="s">
        <v>1083</v>
      </c>
      <c r="N1507" s="33" t="s">
        <v>42</v>
      </c>
      <c r="Q1507" s="33" t="s">
        <v>4050</v>
      </c>
    </row>
    <row r="1508" spans="1:17">
      <c r="A1508" s="33" t="s">
        <v>6322</v>
      </c>
      <c r="B1508" s="33" t="s">
        <v>1305</v>
      </c>
      <c r="C1508" s="33" t="s">
        <v>3549</v>
      </c>
      <c r="D1508" s="33" t="s">
        <v>4068</v>
      </c>
      <c r="E1508" s="33" t="s">
        <v>1786</v>
      </c>
      <c r="F1508" s="33" t="s">
        <v>1787</v>
      </c>
      <c r="G1508" s="33" t="s">
        <v>5846</v>
      </c>
      <c r="H1508" s="33" t="s">
        <v>1206</v>
      </c>
      <c r="I1508" s="33" t="s">
        <v>1206</v>
      </c>
      <c r="J1508" s="33" t="s">
        <v>6323</v>
      </c>
      <c r="K1508" s="33" t="s">
        <v>1791</v>
      </c>
      <c r="L1508" s="33" t="s">
        <v>4039</v>
      </c>
      <c r="M1508" s="33" t="s">
        <v>1083</v>
      </c>
      <c r="N1508" s="33" t="s">
        <v>42</v>
      </c>
      <c r="Q1508" s="33" t="s">
        <v>4050</v>
      </c>
    </row>
    <row r="1509" spans="1:17">
      <c r="A1509" s="33" t="s">
        <v>6324</v>
      </c>
      <c r="B1509" s="33" t="s">
        <v>1307</v>
      </c>
      <c r="C1509" s="33" t="s">
        <v>3549</v>
      </c>
      <c r="D1509" s="33" t="s">
        <v>4068</v>
      </c>
      <c r="E1509" s="33" t="s">
        <v>1786</v>
      </c>
      <c r="F1509" s="33" t="s">
        <v>1787</v>
      </c>
      <c r="G1509" s="33" t="s">
        <v>5846</v>
      </c>
      <c r="H1509" s="33" t="s">
        <v>1206</v>
      </c>
      <c r="I1509" s="33" t="s">
        <v>1206</v>
      </c>
      <c r="J1509" s="33" t="s">
        <v>6325</v>
      </c>
      <c r="K1509" s="33" t="s">
        <v>1791</v>
      </c>
      <c r="L1509" s="33" t="s">
        <v>4039</v>
      </c>
      <c r="M1509" s="33" t="s">
        <v>1083</v>
      </c>
      <c r="N1509" s="33" t="s">
        <v>42</v>
      </c>
      <c r="Q1509" s="33" t="s">
        <v>4050</v>
      </c>
    </row>
    <row r="1510" spans="1:17">
      <c r="A1510" s="33" t="s">
        <v>6326</v>
      </c>
      <c r="B1510" s="33" t="s">
        <v>1309</v>
      </c>
      <c r="C1510" s="33" t="s">
        <v>3549</v>
      </c>
      <c r="D1510" s="33" t="s">
        <v>4068</v>
      </c>
      <c r="E1510" s="33" t="s">
        <v>1786</v>
      </c>
      <c r="F1510" s="33" t="s">
        <v>1787</v>
      </c>
      <c r="G1510" s="33" t="s">
        <v>5846</v>
      </c>
      <c r="H1510" s="33" t="s">
        <v>1206</v>
      </c>
      <c r="I1510" s="33" t="s">
        <v>1206</v>
      </c>
      <c r="J1510" s="33" t="s">
        <v>6327</v>
      </c>
      <c r="K1510" s="33" t="s">
        <v>1791</v>
      </c>
      <c r="L1510" s="33" t="s">
        <v>4039</v>
      </c>
      <c r="M1510" s="33" t="s">
        <v>1083</v>
      </c>
      <c r="N1510" s="33" t="s">
        <v>42</v>
      </c>
      <c r="Q1510" s="33" t="s">
        <v>4050</v>
      </c>
    </row>
    <row r="1511" spans="1:17">
      <c r="A1511" s="33" t="s">
        <v>6328</v>
      </c>
      <c r="B1511" s="33" t="s">
        <v>1311</v>
      </c>
      <c r="C1511" s="33" t="s">
        <v>3549</v>
      </c>
      <c r="D1511" s="33" t="s">
        <v>4068</v>
      </c>
      <c r="E1511" s="33" t="s">
        <v>1786</v>
      </c>
      <c r="F1511" s="33" t="s">
        <v>1787</v>
      </c>
      <c r="G1511" s="33" t="s">
        <v>5846</v>
      </c>
      <c r="H1511" s="33" t="s">
        <v>1206</v>
      </c>
      <c r="I1511" s="33" t="s">
        <v>1206</v>
      </c>
      <c r="J1511" s="33" t="s">
        <v>6329</v>
      </c>
      <c r="K1511" s="33" t="s">
        <v>1791</v>
      </c>
      <c r="L1511" s="33" t="s">
        <v>4039</v>
      </c>
      <c r="M1511" s="33" t="s">
        <v>1083</v>
      </c>
      <c r="N1511" s="33" t="s">
        <v>42</v>
      </c>
      <c r="Q1511" s="33" t="s">
        <v>4050</v>
      </c>
    </row>
    <row r="1512" spans="1:17">
      <c r="A1512" s="33" t="s">
        <v>6330</v>
      </c>
      <c r="B1512" s="33" t="s">
        <v>1313</v>
      </c>
      <c r="C1512" s="33" t="s">
        <v>3549</v>
      </c>
      <c r="D1512" s="33" t="s">
        <v>4068</v>
      </c>
      <c r="E1512" s="33" t="s">
        <v>1786</v>
      </c>
      <c r="F1512" s="33" t="s">
        <v>1787</v>
      </c>
      <c r="G1512" s="33" t="s">
        <v>5846</v>
      </c>
      <c r="H1512" s="33" t="s">
        <v>1206</v>
      </c>
      <c r="I1512" s="33" t="s">
        <v>1206</v>
      </c>
      <c r="J1512" s="33" t="s">
        <v>6331</v>
      </c>
      <c r="K1512" s="33" t="s">
        <v>1791</v>
      </c>
      <c r="L1512" s="33" t="s">
        <v>4039</v>
      </c>
      <c r="M1512" s="33" t="s">
        <v>1083</v>
      </c>
      <c r="N1512" s="33" t="s">
        <v>42</v>
      </c>
      <c r="Q1512" s="33" t="s">
        <v>4050</v>
      </c>
    </row>
    <row r="1513" spans="1:17">
      <c r="A1513" s="33" t="s">
        <v>6332</v>
      </c>
      <c r="B1513" s="33" t="s">
        <v>1315</v>
      </c>
      <c r="C1513" s="33" t="s">
        <v>3549</v>
      </c>
      <c r="D1513" s="33" t="s">
        <v>4068</v>
      </c>
      <c r="E1513" s="33" t="s">
        <v>1786</v>
      </c>
      <c r="F1513" s="33" t="s">
        <v>1787</v>
      </c>
      <c r="G1513" s="33" t="s">
        <v>5846</v>
      </c>
      <c r="H1513" s="33" t="s">
        <v>1206</v>
      </c>
      <c r="I1513" s="33" t="s">
        <v>1206</v>
      </c>
      <c r="J1513" s="33" t="s">
        <v>6333</v>
      </c>
      <c r="K1513" s="33" t="s">
        <v>1791</v>
      </c>
      <c r="L1513" s="33" t="s">
        <v>4039</v>
      </c>
      <c r="M1513" s="33" t="s">
        <v>80</v>
      </c>
      <c r="N1513" s="33" t="s">
        <v>42</v>
      </c>
      <c r="Q1513" s="33" t="s">
        <v>4050</v>
      </c>
    </row>
    <row r="1514" spans="1:17">
      <c r="A1514" s="33" t="s">
        <v>6334</v>
      </c>
      <c r="B1514" s="33" t="s">
        <v>1317</v>
      </c>
      <c r="C1514" s="33" t="s">
        <v>3549</v>
      </c>
      <c r="D1514" s="33" t="s">
        <v>4068</v>
      </c>
      <c r="E1514" s="33" t="s">
        <v>1786</v>
      </c>
      <c r="F1514" s="33" t="s">
        <v>1787</v>
      </c>
      <c r="G1514" s="33" t="s">
        <v>5846</v>
      </c>
      <c r="H1514" s="33" t="s">
        <v>1206</v>
      </c>
      <c r="I1514" s="33" t="s">
        <v>1206</v>
      </c>
      <c r="J1514" s="33" t="s">
        <v>6335</v>
      </c>
      <c r="K1514" s="33" t="s">
        <v>1791</v>
      </c>
      <c r="L1514" s="33" t="s">
        <v>4039</v>
      </c>
      <c r="M1514" s="33" t="s">
        <v>80</v>
      </c>
      <c r="N1514" s="33" t="s">
        <v>42</v>
      </c>
      <c r="Q1514" s="33" t="s">
        <v>4050</v>
      </c>
    </row>
    <row r="1515" spans="1:17">
      <c r="A1515" s="33" t="s">
        <v>6336</v>
      </c>
      <c r="B1515" s="33" t="s">
        <v>1319</v>
      </c>
      <c r="C1515" s="33" t="s">
        <v>3549</v>
      </c>
      <c r="D1515" s="33" t="s">
        <v>4068</v>
      </c>
      <c r="E1515" s="33" t="s">
        <v>1786</v>
      </c>
      <c r="F1515" s="33" t="s">
        <v>1787</v>
      </c>
      <c r="G1515" s="33" t="s">
        <v>5846</v>
      </c>
      <c r="H1515" s="33" t="s">
        <v>1206</v>
      </c>
      <c r="I1515" s="33" t="s">
        <v>1206</v>
      </c>
      <c r="J1515" s="33" t="s">
        <v>6337</v>
      </c>
      <c r="K1515" s="33" t="s">
        <v>1791</v>
      </c>
      <c r="L1515" s="33" t="s">
        <v>4039</v>
      </c>
      <c r="M1515" s="33" t="s">
        <v>80</v>
      </c>
      <c r="N1515" s="33" t="s">
        <v>42</v>
      </c>
      <c r="Q1515" s="33" t="s">
        <v>4050</v>
      </c>
    </row>
    <row r="1516" spans="1:17">
      <c r="A1516" s="33" t="s">
        <v>6338</v>
      </c>
      <c r="B1516" s="33" t="s">
        <v>1321</v>
      </c>
      <c r="C1516" s="33" t="s">
        <v>3549</v>
      </c>
      <c r="D1516" s="33" t="s">
        <v>4068</v>
      </c>
      <c r="E1516" s="33" t="s">
        <v>1786</v>
      </c>
      <c r="F1516" s="33" t="s">
        <v>1787</v>
      </c>
      <c r="G1516" s="33" t="s">
        <v>5846</v>
      </c>
      <c r="H1516" s="33" t="s">
        <v>1206</v>
      </c>
      <c r="I1516" s="33" t="s">
        <v>1206</v>
      </c>
      <c r="J1516" s="33" t="s">
        <v>6339</v>
      </c>
      <c r="K1516" s="33" t="s">
        <v>1791</v>
      </c>
      <c r="L1516" s="33" t="s">
        <v>4039</v>
      </c>
      <c r="M1516" s="33" t="s">
        <v>80</v>
      </c>
      <c r="N1516" s="33" t="s">
        <v>42</v>
      </c>
      <c r="Q1516" s="33" t="s">
        <v>4050</v>
      </c>
    </row>
    <row r="1517" spans="1:17">
      <c r="A1517" s="33" t="s">
        <v>6340</v>
      </c>
      <c r="B1517" s="33" t="s">
        <v>1322</v>
      </c>
      <c r="C1517" s="33" t="s">
        <v>3549</v>
      </c>
      <c r="D1517" s="33" t="s">
        <v>4068</v>
      </c>
      <c r="E1517" s="33" t="s">
        <v>1786</v>
      </c>
      <c r="F1517" s="33" t="s">
        <v>1787</v>
      </c>
      <c r="G1517" s="33" t="s">
        <v>5846</v>
      </c>
      <c r="H1517" s="33" t="s">
        <v>1206</v>
      </c>
      <c r="I1517" s="33" t="s">
        <v>1206</v>
      </c>
      <c r="J1517" s="33" t="s">
        <v>6341</v>
      </c>
      <c r="K1517" s="33" t="s">
        <v>1791</v>
      </c>
      <c r="L1517" s="33" t="s">
        <v>4039</v>
      </c>
      <c r="M1517" s="33" t="s">
        <v>80</v>
      </c>
      <c r="N1517" s="33" t="s">
        <v>42</v>
      </c>
      <c r="Q1517" s="33" t="s">
        <v>4050</v>
      </c>
    </row>
    <row r="1518" spans="1:17">
      <c r="A1518" s="33" t="s">
        <v>6342</v>
      </c>
      <c r="B1518" s="33" t="s">
        <v>1323</v>
      </c>
      <c r="C1518" s="33" t="s">
        <v>3549</v>
      </c>
      <c r="D1518" s="33" t="s">
        <v>4068</v>
      </c>
      <c r="E1518" s="33" t="s">
        <v>1786</v>
      </c>
      <c r="F1518" s="33" t="s">
        <v>1787</v>
      </c>
      <c r="G1518" s="33" t="s">
        <v>5846</v>
      </c>
      <c r="H1518" s="33" t="s">
        <v>1206</v>
      </c>
      <c r="I1518" s="33" t="s">
        <v>1206</v>
      </c>
      <c r="J1518" s="33" t="s">
        <v>6343</v>
      </c>
      <c r="K1518" s="33" t="s">
        <v>1791</v>
      </c>
      <c r="L1518" s="33" t="s">
        <v>4039</v>
      </c>
      <c r="M1518" s="33" t="s">
        <v>80</v>
      </c>
      <c r="N1518" s="33" t="s">
        <v>42</v>
      </c>
      <c r="Q1518" s="33" t="s">
        <v>4050</v>
      </c>
    </row>
    <row r="1519" spans="1:17">
      <c r="A1519" s="33" t="s">
        <v>6344</v>
      </c>
      <c r="B1519" s="33" t="s">
        <v>1325</v>
      </c>
      <c r="C1519" s="33" t="s">
        <v>3549</v>
      </c>
      <c r="D1519" s="33" t="s">
        <v>4068</v>
      </c>
      <c r="E1519" s="33" t="s">
        <v>1786</v>
      </c>
      <c r="F1519" s="33" t="s">
        <v>1787</v>
      </c>
      <c r="G1519" s="33" t="s">
        <v>5846</v>
      </c>
      <c r="H1519" s="33" t="s">
        <v>1206</v>
      </c>
      <c r="I1519" s="33" t="s">
        <v>1206</v>
      </c>
      <c r="J1519" s="33" t="s">
        <v>6345</v>
      </c>
      <c r="K1519" s="33" t="s">
        <v>1791</v>
      </c>
      <c r="L1519" s="33" t="s">
        <v>4039</v>
      </c>
      <c r="M1519" s="33" t="s">
        <v>80</v>
      </c>
      <c r="N1519" s="33" t="s">
        <v>42</v>
      </c>
      <c r="Q1519" s="33" t="s">
        <v>4050</v>
      </c>
    </row>
    <row r="1520" spans="1:17">
      <c r="A1520" s="33" t="s">
        <v>6346</v>
      </c>
      <c r="B1520" s="33" t="s">
        <v>1327</v>
      </c>
      <c r="C1520" s="33" t="s">
        <v>3549</v>
      </c>
      <c r="D1520" s="33" t="s">
        <v>4068</v>
      </c>
      <c r="E1520" s="33" t="s">
        <v>1786</v>
      </c>
      <c r="F1520" s="33" t="s">
        <v>1787</v>
      </c>
      <c r="G1520" s="33" t="s">
        <v>5846</v>
      </c>
      <c r="H1520" s="33" t="s">
        <v>1206</v>
      </c>
      <c r="I1520" s="33" t="s">
        <v>1206</v>
      </c>
      <c r="J1520" s="33" t="s">
        <v>6347</v>
      </c>
      <c r="K1520" s="33" t="s">
        <v>1791</v>
      </c>
      <c r="L1520" s="33" t="s">
        <v>4039</v>
      </c>
      <c r="M1520" s="33" t="s">
        <v>82</v>
      </c>
      <c r="N1520" s="33" t="s">
        <v>42</v>
      </c>
      <c r="Q1520" s="33" t="s">
        <v>4050</v>
      </c>
    </row>
    <row r="1521" spans="1:17">
      <c r="A1521" s="33" t="s">
        <v>6348</v>
      </c>
      <c r="B1521" s="33" t="s">
        <v>1329</v>
      </c>
      <c r="C1521" s="33" t="s">
        <v>3549</v>
      </c>
      <c r="D1521" s="33" t="s">
        <v>4068</v>
      </c>
      <c r="E1521" s="33" t="s">
        <v>1786</v>
      </c>
      <c r="F1521" s="33" t="s">
        <v>1787</v>
      </c>
      <c r="G1521" s="33" t="s">
        <v>5846</v>
      </c>
      <c r="H1521" s="33" t="s">
        <v>1206</v>
      </c>
      <c r="I1521" s="33" t="s">
        <v>1206</v>
      </c>
      <c r="J1521" s="33" t="s">
        <v>6349</v>
      </c>
      <c r="K1521" s="33" t="s">
        <v>1791</v>
      </c>
      <c r="L1521" s="33" t="s">
        <v>4039</v>
      </c>
      <c r="M1521" s="33" t="s">
        <v>82</v>
      </c>
      <c r="N1521" s="33" t="s">
        <v>42</v>
      </c>
      <c r="Q1521" s="33" t="s">
        <v>4050</v>
      </c>
    </row>
    <row r="1522" spans="1:17">
      <c r="A1522" s="33" t="s">
        <v>6350</v>
      </c>
      <c r="B1522" s="33" t="s">
        <v>1330</v>
      </c>
      <c r="C1522" s="33" t="s">
        <v>3549</v>
      </c>
      <c r="D1522" s="33" t="s">
        <v>4068</v>
      </c>
      <c r="E1522" s="33" t="s">
        <v>1786</v>
      </c>
      <c r="F1522" s="33" t="s">
        <v>1787</v>
      </c>
      <c r="G1522" s="33" t="s">
        <v>5846</v>
      </c>
      <c r="H1522" s="33" t="s">
        <v>1206</v>
      </c>
      <c r="I1522" s="33" t="s">
        <v>1206</v>
      </c>
      <c r="J1522" s="33" t="s">
        <v>6351</v>
      </c>
      <c r="K1522" s="33" t="s">
        <v>1791</v>
      </c>
      <c r="L1522" s="33" t="s">
        <v>4039</v>
      </c>
      <c r="M1522" s="33" t="s">
        <v>82</v>
      </c>
      <c r="N1522" s="33" t="s">
        <v>42</v>
      </c>
      <c r="Q1522" s="33" t="s">
        <v>4050</v>
      </c>
    </row>
    <row r="1523" spans="1:17">
      <c r="A1523" s="33" t="s">
        <v>6352</v>
      </c>
      <c r="B1523" s="33" t="s">
        <v>1331</v>
      </c>
      <c r="C1523" s="33" t="s">
        <v>3549</v>
      </c>
      <c r="D1523" s="33" t="s">
        <v>4068</v>
      </c>
      <c r="E1523" s="33" t="s">
        <v>1786</v>
      </c>
      <c r="F1523" s="33" t="s">
        <v>1787</v>
      </c>
      <c r="G1523" s="33" t="s">
        <v>5846</v>
      </c>
      <c r="H1523" s="33" t="s">
        <v>1206</v>
      </c>
      <c r="I1523" s="33" t="s">
        <v>1206</v>
      </c>
      <c r="J1523" s="33" t="s">
        <v>6353</v>
      </c>
      <c r="K1523" s="33" t="s">
        <v>1791</v>
      </c>
      <c r="L1523" s="33" t="s">
        <v>4039</v>
      </c>
      <c r="M1523" s="33" t="s">
        <v>82</v>
      </c>
      <c r="N1523" s="33" t="s">
        <v>42</v>
      </c>
      <c r="Q1523" s="33" t="s">
        <v>4050</v>
      </c>
    </row>
    <row r="1524" spans="1:17">
      <c r="A1524" s="33" t="s">
        <v>6354</v>
      </c>
      <c r="B1524" s="33" t="s">
        <v>1333</v>
      </c>
      <c r="C1524" s="33" t="s">
        <v>3549</v>
      </c>
      <c r="D1524" s="33" t="s">
        <v>4068</v>
      </c>
      <c r="E1524" s="33" t="s">
        <v>1786</v>
      </c>
      <c r="F1524" s="33" t="s">
        <v>1787</v>
      </c>
      <c r="G1524" s="33" t="s">
        <v>5846</v>
      </c>
      <c r="H1524" s="33" t="s">
        <v>1206</v>
      </c>
      <c r="I1524" s="33" t="s">
        <v>1206</v>
      </c>
      <c r="J1524" s="33" t="s">
        <v>6355</v>
      </c>
      <c r="K1524" s="33" t="s">
        <v>1791</v>
      </c>
      <c r="L1524" s="33" t="s">
        <v>4039</v>
      </c>
      <c r="M1524" s="33" t="s">
        <v>195</v>
      </c>
      <c r="N1524" s="33" t="s">
        <v>42</v>
      </c>
      <c r="Q1524" s="33" t="s">
        <v>4050</v>
      </c>
    </row>
    <row r="1525" spans="1:17">
      <c r="A1525" s="33" t="s">
        <v>6356</v>
      </c>
      <c r="B1525" s="33" t="s">
        <v>1334</v>
      </c>
      <c r="C1525" s="33" t="s">
        <v>3549</v>
      </c>
      <c r="D1525" s="33" t="s">
        <v>4068</v>
      </c>
      <c r="E1525" s="33" t="s">
        <v>1786</v>
      </c>
      <c r="F1525" s="33" t="s">
        <v>1787</v>
      </c>
      <c r="G1525" s="33" t="s">
        <v>5846</v>
      </c>
      <c r="H1525" s="33" t="s">
        <v>1206</v>
      </c>
      <c r="I1525" s="33" t="s">
        <v>1206</v>
      </c>
      <c r="J1525" s="33" t="s">
        <v>6357</v>
      </c>
      <c r="K1525" s="33" t="s">
        <v>1791</v>
      </c>
      <c r="L1525" s="33" t="s">
        <v>4039</v>
      </c>
      <c r="M1525" s="33" t="s">
        <v>195</v>
      </c>
      <c r="N1525" s="33" t="s">
        <v>42</v>
      </c>
      <c r="Q1525" s="33" t="s">
        <v>4050</v>
      </c>
    </row>
    <row r="1526" spans="1:17">
      <c r="A1526" s="33" t="s">
        <v>6358</v>
      </c>
      <c r="B1526" s="33" t="s">
        <v>1335</v>
      </c>
      <c r="C1526" s="33" t="s">
        <v>3549</v>
      </c>
      <c r="D1526" s="33" t="s">
        <v>4068</v>
      </c>
      <c r="E1526" s="33" t="s">
        <v>1786</v>
      </c>
      <c r="F1526" s="33" t="s">
        <v>1787</v>
      </c>
      <c r="G1526" s="33" t="s">
        <v>5846</v>
      </c>
      <c r="H1526" s="33" t="s">
        <v>1206</v>
      </c>
      <c r="I1526" s="33" t="s">
        <v>1206</v>
      </c>
      <c r="J1526" s="33" t="s">
        <v>6359</v>
      </c>
      <c r="K1526" s="33" t="s">
        <v>1791</v>
      </c>
      <c r="L1526" s="33" t="s">
        <v>4039</v>
      </c>
      <c r="M1526" s="33" t="s">
        <v>195</v>
      </c>
      <c r="N1526" s="33" t="s">
        <v>42</v>
      </c>
      <c r="Q1526" s="33" t="s">
        <v>4050</v>
      </c>
    </row>
    <row r="1527" spans="1:17">
      <c r="A1527" s="33" t="s">
        <v>6360</v>
      </c>
      <c r="B1527" s="33" t="s">
        <v>1337</v>
      </c>
      <c r="C1527" s="33" t="s">
        <v>3549</v>
      </c>
      <c r="D1527" s="33" t="s">
        <v>4068</v>
      </c>
      <c r="E1527" s="33" t="s">
        <v>1786</v>
      </c>
      <c r="F1527" s="33" t="s">
        <v>1787</v>
      </c>
      <c r="G1527" s="33" t="s">
        <v>5846</v>
      </c>
      <c r="H1527" s="33" t="s">
        <v>1206</v>
      </c>
      <c r="I1527" s="33" t="s">
        <v>1206</v>
      </c>
      <c r="J1527" s="33" t="s">
        <v>6361</v>
      </c>
      <c r="K1527" s="33" t="s">
        <v>1791</v>
      </c>
      <c r="L1527" s="33" t="s">
        <v>4039</v>
      </c>
      <c r="M1527" s="33" t="s">
        <v>195</v>
      </c>
      <c r="N1527" s="33" t="s">
        <v>42</v>
      </c>
      <c r="Q1527" s="33" t="s">
        <v>4050</v>
      </c>
    </row>
    <row r="1528" spans="1:17">
      <c r="A1528" s="33" t="s">
        <v>6362</v>
      </c>
      <c r="B1528" s="33" t="s">
        <v>1339</v>
      </c>
      <c r="C1528" s="33" t="s">
        <v>3549</v>
      </c>
      <c r="D1528" s="33" t="s">
        <v>4068</v>
      </c>
      <c r="E1528" s="33" t="s">
        <v>1786</v>
      </c>
      <c r="F1528" s="33" t="s">
        <v>1787</v>
      </c>
      <c r="G1528" s="33" t="s">
        <v>5846</v>
      </c>
      <c r="H1528" s="33" t="s">
        <v>1206</v>
      </c>
      <c r="I1528" s="33" t="s">
        <v>1206</v>
      </c>
      <c r="J1528" s="33" t="s">
        <v>6363</v>
      </c>
      <c r="K1528" s="33" t="s">
        <v>1791</v>
      </c>
      <c r="L1528" s="33" t="s">
        <v>4039</v>
      </c>
      <c r="M1528" s="33" t="s">
        <v>196</v>
      </c>
      <c r="N1528" s="33" t="s">
        <v>42</v>
      </c>
      <c r="Q1528" s="33" t="s">
        <v>4050</v>
      </c>
    </row>
    <row r="1529" spans="1:17">
      <c r="A1529" s="33" t="s">
        <v>6364</v>
      </c>
      <c r="B1529" s="33" t="s">
        <v>1341</v>
      </c>
      <c r="C1529" s="33" t="s">
        <v>3549</v>
      </c>
      <c r="D1529" s="33" t="s">
        <v>4068</v>
      </c>
      <c r="E1529" s="33" t="s">
        <v>1786</v>
      </c>
      <c r="F1529" s="33" t="s">
        <v>1787</v>
      </c>
      <c r="G1529" s="33" t="s">
        <v>5846</v>
      </c>
      <c r="H1529" s="33" t="s">
        <v>1206</v>
      </c>
      <c r="I1529" s="33" t="s">
        <v>1206</v>
      </c>
      <c r="J1529" s="33" t="s">
        <v>6365</v>
      </c>
      <c r="K1529" s="33" t="s">
        <v>1791</v>
      </c>
      <c r="L1529" s="33" t="s">
        <v>4039</v>
      </c>
      <c r="M1529" s="33" t="s">
        <v>196</v>
      </c>
      <c r="N1529" s="33" t="s">
        <v>42</v>
      </c>
      <c r="Q1529" s="33" t="s">
        <v>4050</v>
      </c>
    </row>
    <row r="1530" spans="1:17">
      <c r="A1530" s="33" t="s">
        <v>6366</v>
      </c>
      <c r="B1530" s="33" t="s">
        <v>1342</v>
      </c>
      <c r="C1530" s="33" t="s">
        <v>3549</v>
      </c>
      <c r="D1530" s="33" t="s">
        <v>4068</v>
      </c>
      <c r="E1530" s="33" t="s">
        <v>1786</v>
      </c>
      <c r="F1530" s="33" t="s">
        <v>1787</v>
      </c>
      <c r="G1530" s="33" t="s">
        <v>5846</v>
      </c>
      <c r="H1530" s="33" t="s">
        <v>1206</v>
      </c>
      <c r="I1530" s="33" t="s">
        <v>1206</v>
      </c>
      <c r="J1530" s="33" t="s">
        <v>6367</v>
      </c>
      <c r="K1530" s="33" t="s">
        <v>1791</v>
      </c>
      <c r="L1530" s="33" t="s">
        <v>4039</v>
      </c>
      <c r="M1530" s="33" t="s">
        <v>196</v>
      </c>
      <c r="N1530" s="33" t="s">
        <v>42</v>
      </c>
      <c r="Q1530" s="33" t="s">
        <v>4050</v>
      </c>
    </row>
    <row r="1531" spans="1:17">
      <c r="A1531" s="33" t="s">
        <v>6368</v>
      </c>
      <c r="B1531" s="33" t="s">
        <v>1343</v>
      </c>
      <c r="C1531" s="33" t="s">
        <v>3549</v>
      </c>
      <c r="D1531" s="33" t="s">
        <v>4068</v>
      </c>
      <c r="E1531" s="33" t="s">
        <v>1786</v>
      </c>
      <c r="F1531" s="33" t="s">
        <v>1787</v>
      </c>
      <c r="G1531" s="33" t="s">
        <v>5846</v>
      </c>
      <c r="H1531" s="33" t="s">
        <v>1206</v>
      </c>
      <c r="I1531" s="33" t="s">
        <v>1206</v>
      </c>
      <c r="J1531" s="33" t="s">
        <v>6369</v>
      </c>
      <c r="K1531" s="33" t="s">
        <v>1791</v>
      </c>
      <c r="L1531" s="33" t="s">
        <v>4039</v>
      </c>
      <c r="M1531" s="33" t="s">
        <v>196</v>
      </c>
      <c r="N1531" s="33" t="s">
        <v>42</v>
      </c>
      <c r="Q1531" s="33" t="s">
        <v>4050</v>
      </c>
    </row>
    <row r="1532" spans="1:17">
      <c r="A1532" s="33" t="s">
        <v>6370</v>
      </c>
      <c r="B1532" s="33" t="s">
        <v>1344</v>
      </c>
      <c r="C1532" s="33" t="s">
        <v>3549</v>
      </c>
      <c r="D1532" s="33" t="s">
        <v>4068</v>
      </c>
      <c r="E1532" s="33" t="s">
        <v>1786</v>
      </c>
      <c r="F1532" s="33" t="s">
        <v>1787</v>
      </c>
      <c r="G1532" s="33" t="s">
        <v>5846</v>
      </c>
      <c r="H1532" s="33" t="s">
        <v>1206</v>
      </c>
      <c r="I1532" s="33" t="s">
        <v>1206</v>
      </c>
      <c r="J1532" s="33" t="s">
        <v>6371</v>
      </c>
      <c r="K1532" s="33" t="s">
        <v>1791</v>
      </c>
      <c r="L1532" s="33" t="s">
        <v>4039</v>
      </c>
      <c r="M1532" s="33" t="s">
        <v>196</v>
      </c>
      <c r="N1532" s="33" t="s">
        <v>42</v>
      </c>
      <c r="Q1532" s="33" t="s">
        <v>4050</v>
      </c>
    </row>
    <row r="1533" spans="1:17">
      <c r="A1533" s="33" t="s">
        <v>6372</v>
      </c>
      <c r="B1533" s="33" t="s">
        <v>1345</v>
      </c>
      <c r="C1533" s="33" t="s">
        <v>3549</v>
      </c>
      <c r="D1533" s="33" t="s">
        <v>4068</v>
      </c>
      <c r="E1533" s="33" t="s">
        <v>1786</v>
      </c>
      <c r="F1533" s="33" t="s">
        <v>1787</v>
      </c>
      <c r="G1533" s="33" t="s">
        <v>5846</v>
      </c>
      <c r="H1533" s="33" t="s">
        <v>1206</v>
      </c>
      <c r="I1533" s="33" t="s">
        <v>1206</v>
      </c>
      <c r="J1533" s="33" t="s">
        <v>6373</v>
      </c>
      <c r="K1533" s="33" t="s">
        <v>1791</v>
      </c>
      <c r="L1533" s="33" t="s">
        <v>4039</v>
      </c>
      <c r="M1533" s="33" t="s">
        <v>58</v>
      </c>
      <c r="N1533" s="33" t="s">
        <v>42</v>
      </c>
      <c r="Q1533" s="33" t="s">
        <v>4050</v>
      </c>
    </row>
    <row r="1534" spans="1:17">
      <c r="A1534" s="33" t="s">
        <v>6374</v>
      </c>
      <c r="B1534" s="33" t="s">
        <v>1347</v>
      </c>
      <c r="C1534" s="33" t="s">
        <v>3549</v>
      </c>
      <c r="D1534" s="33" t="s">
        <v>4068</v>
      </c>
      <c r="E1534" s="33" t="s">
        <v>1786</v>
      </c>
      <c r="F1534" s="33" t="s">
        <v>1787</v>
      </c>
      <c r="G1534" s="33" t="s">
        <v>5846</v>
      </c>
      <c r="H1534" s="33" t="s">
        <v>1206</v>
      </c>
      <c r="I1534" s="33" t="s">
        <v>1206</v>
      </c>
      <c r="J1534" s="33" t="s">
        <v>6375</v>
      </c>
      <c r="K1534" s="33" t="s">
        <v>1791</v>
      </c>
      <c r="L1534" s="33" t="s">
        <v>4039</v>
      </c>
      <c r="M1534" s="33" t="s">
        <v>58</v>
      </c>
      <c r="N1534" s="33" t="s">
        <v>42</v>
      </c>
      <c r="Q1534" s="33" t="s">
        <v>4050</v>
      </c>
    </row>
    <row r="1535" spans="1:17">
      <c r="A1535" s="33" t="s">
        <v>6376</v>
      </c>
      <c r="B1535" s="33" t="s">
        <v>1349</v>
      </c>
      <c r="C1535" s="33" t="s">
        <v>3549</v>
      </c>
      <c r="D1535" s="33" t="s">
        <v>4068</v>
      </c>
      <c r="E1535" s="33" t="s">
        <v>1786</v>
      </c>
      <c r="F1535" s="33" t="s">
        <v>1787</v>
      </c>
      <c r="G1535" s="33" t="s">
        <v>5846</v>
      </c>
      <c r="H1535" s="33" t="s">
        <v>1206</v>
      </c>
      <c r="I1535" s="33" t="s">
        <v>1206</v>
      </c>
      <c r="J1535" s="33" t="s">
        <v>6377</v>
      </c>
      <c r="K1535" s="33" t="s">
        <v>1791</v>
      </c>
      <c r="L1535" s="33" t="s">
        <v>4039</v>
      </c>
      <c r="M1535" s="33" t="s">
        <v>60</v>
      </c>
      <c r="N1535" s="33" t="s">
        <v>42</v>
      </c>
      <c r="Q1535" s="33" t="s">
        <v>4050</v>
      </c>
    </row>
    <row r="1536" spans="1:17">
      <c r="A1536" s="33" t="s">
        <v>6378</v>
      </c>
      <c r="B1536" s="33" t="s">
        <v>1350</v>
      </c>
      <c r="C1536" s="33" t="s">
        <v>3549</v>
      </c>
      <c r="D1536" s="33" t="s">
        <v>4068</v>
      </c>
      <c r="E1536" s="33" t="s">
        <v>1786</v>
      </c>
      <c r="F1536" s="33" t="s">
        <v>1787</v>
      </c>
      <c r="G1536" s="33" t="s">
        <v>5846</v>
      </c>
      <c r="H1536" s="33" t="s">
        <v>1206</v>
      </c>
      <c r="I1536" s="33" t="s">
        <v>1206</v>
      </c>
      <c r="J1536" s="33" t="s">
        <v>6379</v>
      </c>
      <c r="K1536" s="33" t="s">
        <v>1791</v>
      </c>
      <c r="L1536" s="33" t="s">
        <v>4039</v>
      </c>
      <c r="M1536" s="33" t="s">
        <v>60</v>
      </c>
      <c r="N1536" s="33" t="s">
        <v>42</v>
      </c>
      <c r="Q1536" s="33" t="s">
        <v>4050</v>
      </c>
    </row>
    <row r="1537" spans="1:17" hidden="1">
      <c r="A1537" s="33" t="s">
        <v>6380</v>
      </c>
      <c r="B1537" s="33" t="s">
        <v>6381</v>
      </c>
      <c r="C1537" s="33" t="s">
        <v>2205</v>
      </c>
      <c r="D1537" s="33" t="s">
        <v>4075</v>
      </c>
      <c r="E1537" s="33" t="s">
        <v>2471</v>
      </c>
      <c r="F1537" s="33" t="s">
        <v>1815</v>
      </c>
      <c r="G1537" s="33" t="s">
        <v>4075</v>
      </c>
      <c r="H1537" s="33" t="s">
        <v>1206</v>
      </c>
      <c r="I1537" s="33" t="s">
        <v>1206</v>
      </c>
      <c r="J1537" s="33" t="s">
        <v>6382</v>
      </c>
      <c r="K1537" s="33" t="s">
        <v>2471</v>
      </c>
      <c r="L1537" s="33" t="s">
        <v>4039</v>
      </c>
      <c r="M1537" s="33" t="s">
        <v>82</v>
      </c>
      <c r="N1537" s="33" t="s">
        <v>82</v>
      </c>
      <c r="Q1537" s="33" t="s">
        <v>4050</v>
      </c>
    </row>
    <row r="1538" spans="1:17">
      <c r="A1538" s="33" t="s">
        <v>6378</v>
      </c>
      <c r="B1538" s="33" t="s">
        <v>1351</v>
      </c>
      <c r="C1538" s="33" t="s">
        <v>3549</v>
      </c>
      <c r="D1538" s="33" t="s">
        <v>4068</v>
      </c>
      <c r="E1538" s="33" t="s">
        <v>1786</v>
      </c>
      <c r="F1538" s="33" t="s">
        <v>1787</v>
      </c>
      <c r="G1538" s="33" t="s">
        <v>5846</v>
      </c>
      <c r="H1538" s="33" t="s">
        <v>1206</v>
      </c>
      <c r="I1538" s="33" t="s">
        <v>1206</v>
      </c>
      <c r="J1538" s="33" t="s">
        <v>6383</v>
      </c>
      <c r="K1538" s="33" t="s">
        <v>1791</v>
      </c>
      <c r="L1538" s="33" t="s">
        <v>4039</v>
      </c>
      <c r="M1538" s="33" t="s">
        <v>60</v>
      </c>
      <c r="N1538" s="33" t="s">
        <v>42</v>
      </c>
      <c r="Q1538" s="33" t="s">
        <v>4050</v>
      </c>
    </row>
    <row r="1539" spans="1:17">
      <c r="A1539" s="33" t="s">
        <v>6384</v>
      </c>
      <c r="B1539" s="33" t="s">
        <v>1353</v>
      </c>
      <c r="C1539" s="33" t="s">
        <v>3549</v>
      </c>
      <c r="D1539" s="33" t="s">
        <v>4068</v>
      </c>
      <c r="E1539" s="33" t="s">
        <v>1786</v>
      </c>
      <c r="F1539" s="33" t="s">
        <v>1787</v>
      </c>
      <c r="G1539" s="33" t="s">
        <v>5846</v>
      </c>
      <c r="H1539" s="33" t="s">
        <v>1206</v>
      </c>
      <c r="I1539" s="33" t="s">
        <v>1206</v>
      </c>
      <c r="J1539" s="33" t="s">
        <v>6385</v>
      </c>
      <c r="K1539" s="33" t="s">
        <v>1791</v>
      </c>
      <c r="L1539" s="33" t="s">
        <v>4039</v>
      </c>
      <c r="M1539" s="33" t="s">
        <v>60</v>
      </c>
      <c r="N1539" s="33" t="s">
        <v>42</v>
      </c>
      <c r="Q1539" s="33" t="s">
        <v>4050</v>
      </c>
    </row>
    <row r="1540" spans="1:17">
      <c r="A1540" s="33" t="s">
        <v>6386</v>
      </c>
      <c r="B1540" s="33" t="s">
        <v>1354</v>
      </c>
      <c r="C1540" s="33" t="s">
        <v>3549</v>
      </c>
      <c r="D1540" s="33" t="s">
        <v>4068</v>
      </c>
      <c r="E1540" s="33" t="s">
        <v>1786</v>
      </c>
      <c r="F1540" s="33" t="s">
        <v>1787</v>
      </c>
      <c r="G1540" s="33" t="s">
        <v>5846</v>
      </c>
      <c r="H1540" s="33" t="s">
        <v>1206</v>
      </c>
      <c r="I1540" s="33" t="s">
        <v>1206</v>
      </c>
      <c r="J1540" s="33" t="s">
        <v>6387</v>
      </c>
      <c r="K1540" s="33" t="s">
        <v>1791</v>
      </c>
      <c r="L1540" s="33" t="s">
        <v>4039</v>
      </c>
      <c r="M1540" s="33" t="s">
        <v>1355</v>
      </c>
      <c r="N1540" s="33" t="s">
        <v>42</v>
      </c>
      <c r="Q1540" s="33" t="s">
        <v>4050</v>
      </c>
    </row>
    <row r="1541" spans="1:17">
      <c r="A1541" s="33" t="s">
        <v>6388</v>
      </c>
      <c r="B1541" s="33" t="s">
        <v>1357</v>
      </c>
      <c r="C1541" s="33" t="s">
        <v>3549</v>
      </c>
      <c r="D1541" s="33" t="s">
        <v>4068</v>
      </c>
      <c r="E1541" s="33" t="s">
        <v>1786</v>
      </c>
      <c r="F1541" s="33" t="s">
        <v>1787</v>
      </c>
      <c r="G1541" s="33" t="s">
        <v>5846</v>
      </c>
      <c r="H1541" s="33" t="s">
        <v>1206</v>
      </c>
      <c r="I1541" s="33" t="s">
        <v>1206</v>
      </c>
      <c r="J1541" s="33" t="s">
        <v>6389</v>
      </c>
      <c r="K1541" s="33" t="s">
        <v>1791</v>
      </c>
      <c r="L1541" s="33" t="s">
        <v>4039</v>
      </c>
      <c r="M1541" s="33" t="s">
        <v>1355</v>
      </c>
      <c r="N1541" s="33" t="s">
        <v>42</v>
      </c>
      <c r="Q1541" s="33" t="s">
        <v>4050</v>
      </c>
    </row>
    <row r="1542" spans="1:17">
      <c r="A1542" s="33" t="s">
        <v>6390</v>
      </c>
      <c r="B1542" s="33" t="s">
        <v>1358</v>
      </c>
      <c r="C1542" s="33" t="s">
        <v>3549</v>
      </c>
      <c r="D1542" s="33" t="s">
        <v>4068</v>
      </c>
      <c r="E1542" s="33" t="s">
        <v>1786</v>
      </c>
      <c r="F1542" s="33" t="s">
        <v>1787</v>
      </c>
      <c r="G1542" s="33" t="s">
        <v>5846</v>
      </c>
      <c r="H1542" s="33" t="s">
        <v>1206</v>
      </c>
      <c r="I1542" s="33" t="s">
        <v>1206</v>
      </c>
      <c r="J1542" s="33" t="s">
        <v>6391</v>
      </c>
      <c r="K1542" s="33" t="s">
        <v>1791</v>
      </c>
      <c r="L1542" s="33" t="s">
        <v>4039</v>
      </c>
      <c r="M1542" s="33" t="s">
        <v>61</v>
      </c>
      <c r="N1542" s="33" t="s">
        <v>42</v>
      </c>
      <c r="Q1542" s="33" t="s">
        <v>4050</v>
      </c>
    </row>
    <row r="1543" spans="1:17">
      <c r="A1543" s="33" t="s">
        <v>6392</v>
      </c>
      <c r="B1543" s="33" t="s">
        <v>1360</v>
      </c>
      <c r="C1543" s="33" t="s">
        <v>3549</v>
      </c>
      <c r="D1543" s="33" t="s">
        <v>4068</v>
      </c>
      <c r="E1543" s="33" t="s">
        <v>1786</v>
      </c>
      <c r="F1543" s="33" t="s">
        <v>1787</v>
      </c>
      <c r="G1543" s="33" t="s">
        <v>5846</v>
      </c>
      <c r="H1543" s="33" t="s">
        <v>1206</v>
      </c>
      <c r="I1543" s="33" t="s">
        <v>1206</v>
      </c>
      <c r="J1543" s="33" t="s">
        <v>6393</v>
      </c>
      <c r="K1543" s="33" t="s">
        <v>1791</v>
      </c>
      <c r="L1543" s="33" t="s">
        <v>4039</v>
      </c>
      <c r="M1543" s="33" t="s">
        <v>61</v>
      </c>
      <c r="N1543" s="33" t="s">
        <v>42</v>
      </c>
      <c r="Q1543" s="33" t="s">
        <v>4050</v>
      </c>
    </row>
    <row r="1544" spans="1:17">
      <c r="A1544" s="33" t="s">
        <v>6394</v>
      </c>
      <c r="B1544" s="33" t="s">
        <v>1362</v>
      </c>
      <c r="C1544" s="33" t="s">
        <v>3549</v>
      </c>
      <c r="D1544" s="33" t="s">
        <v>4068</v>
      </c>
      <c r="E1544" s="33" t="s">
        <v>1786</v>
      </c>
      <c r="F1544" s="33" t="s">
        <v>1787</v>
      </c>
      <c r="G1544" s="33" t="s">
        <v>5846</v>
      </c>
      <c r="H1544" s="33" t="s">
        <v>1206</v>
      </c>
      <c r="I1544" s="33" t="s">
        <v>1206</v>
      </c>
      <c r="J1544" s="33" t="s">
        <v>6395</v>
      </c>
      <c r="K1544" s="33" t="s">
        <v>1791</v>
      </c>
      <c r="L1544" s="33" t="s">
        <v>4039</v>
      </c>
      <c r="M1544" s="33" t="s">
        <v>61</v>
      </c>
      <c r="N1544" s="33" t="s">
        <v>42</v>
      </c>
      <c r="Q1544" s="33" t="s">
        <v>4050</v>
      </c>
    </row>
    <row r="1545" spans="1:17">
      <c r="A1545" s="33" t="s">
        <v>6396</v>
      </c>
      <c r="B1545" s="33" t="s">
        <v>1364</v>
      </c>
      <c r="C1545" s="33" t="s">
        <v>3549</v>
      </c>
      <c r="D1545" s="33" t="s">
        <v>4068</v>
      </c>
      <c r="E1545" s="33" t="s">
        <v>1786</v>
      </c>
      <c r="F1545" s="33" t="s">
        <v>1787</v>
      </c>
      <c r="G1545" s="33" t="s">
        <v>5846</v>
      </c>
      <c r="H1545" s="33" t="s">
        <v>1206</v>
      </c>
      <c r="I1545" s="33" t="s">
        <v>1206</v>
      </c>
      <c r="J1545" s="33" t="s">
        <v>6397</v>
      </c>
      <c r="K1545" s="33" t="s">
        <v>1791</v>
      </c>
      <c r="L1545" s="33" t="s">
        <v>4039</v>
      </c>
      <c r="M1545" s="33" t="s">
        <v>61</v>
      </c>
      <c r="N1545" s="33" t="s">
        <v>42</v>
      </c>
      <c r="Q1545" s="33" t="s">
        <v>4050</v>
      </c>
    </row>
    <row r="1546" spans="1:17">
      <c r="A1546" s="33" t="s">
        <v>6398</v>
      </c>
      <c r="B1546" s="33" t="s">
        <v>1365</v>
      </c>
      <c r="C1546" s="33" t="s">
        <v>3549</v>
      </c>
      <c r="D1546" s="33" t="s">
        <v>4068</v>
      </c>
      <c r="E1546" s="33" t="s">
        <v>1786</v>
      </c>
      <c r="F1546" s="33" t="s">
        <v>1787</v>
      </c>
      <c r="G1546" s="33" t="s">
        <v>5846</v>
      </c>
      <c r="H1546" s="33" t="s">
        <v>1206</v>
      </c>
      <c r="I1546" s="33" t="s">
        <v>1206</v>
      </c>
      <c r="J1546" s="33" t="s">
        <v>6399</v>
      </c>
      <c r="K1546" s="33" t="s">
        <v>1791</v>
      </c>
      <c r="L1546" s="33" t="s">
        <v>4039</v>
      </c>
      <c r="M1546" s="33" t="s">
        <v>61</v>
      </c>
      <c r="N1546" s="33" t="s">
        <v>42</v>
      </c>
      <c r="Q1546" s="33" t="s">
        <v>4050</v>
      </c>
    </row>
    <row r="1547" spans="1:17">
      <c r="A1547" s="33" t="s">
        <v>6400</v>
      </c>
      <c r="B1547" s="33" t="s">
        <v>1366</v>
      </c>
      <c r="C1547" s="33" t="s">
        <v>3549</v>
      </c>
      <c r="D1547" s="33" t="s">
        <v>4068</v>
      </c>
      <c r="E1547" s="33" t="s">
        <v>1786</v>
      </c>
      <c r="F1547" s="33" t="s">
        <v>1787</v>
      </c>
      <c r="G1547" s="33" t="s">
        <v>5846</v>
      </c>
      <c r="H1547" s="33" t="s">
        <v>1206</v>
      </c>
      <c r="I1547" s="33" t="s">
        <v>1206</v>
      </c>
      <c r="J1547" s="33" t="s">
        <v>6401</v>
      </c>
      <c r="K1547" s="33" t="s">
        <v>1791</v>
      </c>
      <c r="L1547" s="33" t="s">
        <v>4039</v>
      </c>
      <c r="M1547" s="33" t="s">
        <v>61</v>
      </c>
      <c r="N1547" s="33" t="s">
        <v>42</v>
      </c>
      <c r="Q1547" s="33" t="s">
        <v>4050</v>
      </c>
    </row>
    <row r="1548" spans="1:17">
      <c r="A1548" s="33" t="s">
        <v>6402</v>
      </c>
      <c r="B1548" s="33" t="s">
        <v>1368</v>
      </c>
      <c r="C1548" s="33" t="s">
        <v>3549</v>
      </c>
      <c r="D1548" s="33" t="s">
        <v>4068</v>
      </c>
      <c r="E1548" s="33" t="s">
        <v>1786</v>
      </c>
      <c r="F1548" s="33" t="s">
        <v>1787</v>
      </c>
      <c r="G1548" s="33" t="s">
        <v>5846</v>
      </c>
      <c r="H1548" s="33" t="s">
        <v>1206</v>
      </c>
      <c r="I1548" s="33" t="s">
        <v>1206</v>
      </c>
      <c r="J1548" s="33" t="s">
        <v>6403</v>
      </c>
      <c r="K1548" s="33" t="s">
        <v>1791</v>
      </c>
      <c r="L1548" s="33" t="s">
        <v>4039</v>
      </c>
      <c r="M1548" s="33" t="s">
        <v>59</v>
      </c>
      <c r="N1548" s="33" t="s">
        <v>42</v>
      </c>
      <c r="Q1548" s="33" t="s">
        <v>4050</v>
      </c>
    </row>
    <row r="1549" spans="1:17">
      <c r="A1549" s="33" t="s">
        <v>6404</v>
      </c>
      <c r="B1549" s="33" t="s">
        <v>1370</v>
      </c>
      <c r="C1549" s="33" t="s">
        <v>3549</v>
      </c>
      <c r="D1549" s="33" t="s">
        <v>4068</v>
      </c>
      <c r="E1549" s="33" t="s">
        <v>1786</v>
      </c>
      <c r="F1549" s="33" t="s">
        <v>1787</v>
      </c>
      <c r="G1549" s="33" t="s">
        <v>5846</v>
      </c>
      <c r="H1549" s="33" t="s">
        <v>1206</v>
      </c>
      <c r="I1549" s="33" t="s">
        <v>1206</v>
      </c>
      <c r="J1549" s="33" t="s">
        <v>6405</v>
      </c>
      <c r="K1549" s="33" t="s">
        <v>1791</v>
      </c>
      <c r="L1549" s="33" t="s">
        <v>4039</v>
      </c>
      <c r="M1549" s="33" t="s">
        <v>69</v>
      </c>
      <c r="N1549" s="33" t="s">
        <v>42</v>
      </c>
      <c r="Q1549" s="33" t="s">
        <v>4050</v>
      </c>
    </row>
    <row r="1550" spans="1:17">
      <c r="A1550" s="33" t="s">
        <v>6406</v>
      </c>
      <c r="B1550" s="33" t="s">
        <v>1372</v>
      </c>
      <c r="C1550" s="33" t="s">
        <v>3549</v>
      </c>
      <c r="D1550" s="33" t="s">
        <v>4068</v>
      </c>
      <c r="E1550" s="33" t="s">
        <v>1786</v>
      </c>
      <c r="F1550" s="33" t="s">
        <v>1787</v>
      </c>
      <c r="G1550" s="33" t="s">
        <v>5846</v>
      </c>
      <c r="H1550" s="33" t="s">
        <v>1206</v>
      </c>
      <c r="I1550" s="33" t="s">
        <v>1206</v>
      </c>
      <c r="J1550" s="33" t="s">
        <v>6407</v>
      </c>
      <c r="K1550" s="33" t="s">
        <v>1791</v>
      </c>
      <c r="L1550" s="33" t="s">
        <v>4039</v>
      </c>
      <c r="M1550" s="33" t="s">
        <v>69</v>
      </c>
      <c r="N1550" s="33" t="s">
        <v>42</v>
      </c>
      <c r="Q1550" s="33" t="s">
        <v>4050</v>
      </c>
    </row>
    <row r="1551" spans="1:17" hidden="1">
      <c r="A1551" s="33" t="s">
        <v>6408</v>
      </c>
      <c r="B1551" s="33" t="s">
        <v>1374</v>
      </c>
      <c r="C1551" s="33" t="s">
        <v>3549</v>
      </c>
      <c r="D1551" s="33" t="s">
        <v>4068</v>
      </c>
      <c r="E1551" s="33" t="s">
        <v>3857</v>
      </c>
      <c r="F1551" s="33" t="s">
        <v>1787</v>
      </c>
      <c r="G1551" s="33" t="s">
        <v>5846</v>
      </c>
      <c r="H1551" s="33" t="s">
        <v>1206</v>
      </c>
      <c r="I1551" s="33" t="s">
        <v>1206</v>
      </c>
      <c r="J1551" s="33" t="s">
        <v>6409</v>
      </c>
      <c r="K1551" s="33" t="s">
        <v>3859</v>
      </c>
      <c r="L1551" s="33" t="s">
        <v>1206</v>
      </c>
      <c r="M1551" s="33" t="s">
        <v>69</v>
      </c>
      <c r="N1551" s="33" t="s">
        <v>42</v>
      </c>
      <c r="Q1551" s="33" t="s">
        <v>4050</v>
      </c>
    </row>
    <row r="1552" spans="1:17" hidden="1">
      <c r="A1552" s="33" t="s">
        <v>6410</v>
      </c>
      <c r="B1552" s="33" t="s">
        <v>1375</v>
      </c>
      <c r="C1552" s="33" t="s">
        <v>3549</v>
      </c>
      <c r="D1552" s="33" t="s">
        <v>4068</v>
      </c>
      <c r="E1552" s="33" t="s">
        <v>3857</v>
      </c>
      <c r="F1552" s="33" t="s">
        <v>1787</v>
      </c>
      <c r="G1552" s="33" t="s">
        <v>5846</v>
      </c>
      <c r="H1552" s="33" t="s">
        <v>1206</v>
      </c>
      <c r="I1552" s="33" t="s">
        <v>1206</v>
      </c>
      <c r="J1552" s="33" t="s">
        <v>6411</v>
      </c>
      <c r="K1552" s="33" t="s">
        <v>3859</v>
      </c>
      <c r="L1552" s="33" t="s">
        <v>1206</v>
      </c>
      <c r="M1552" s="33" t="s">
        <v>95</v>
      </c>
      <c r="N1552" s="33" t="s">
        <v>42</v>
      </c>
      <c r="Q1552" s="33" t="s">
        <v>4050</v>
      </c>
    </row>
    <row r="1553" spans="1:17" hidden="1">
      <c r="A1553" s="33" t="s">
        <v>6412</v>
      </c>
      <c r="B1553" s="33" t="s">
        <v>1377</v>
      </c>
      <c r="C1553" s="33" t="s">
        <v>3549</v>
      </c>
      <c r="D1553" s="33" t="s">
        <v>4068</v>
      </c>
      <c r="E1553" s="33" t="s">
        <v>3857</v>
      </c>
      <c r="F1553" s="33" t="s">
        <v>1787</v>
      </c>
      <c r="G1553" s="33" t="s">
        <v>5846</v>
      </c>
      <c r="H1553" s="33" t="s">
        <v>1206</v>
      </c>
      <c r="I1553" s="33" t="s">
        <v>1206</v>
      </c>
      <c r="J1553" s="33" t="s">
        <v>6413</v>
      </c>
      <c r="K1553" s="33" t="s">
        <v>3859</v>
      </c>
      <c r="L1553" s="33" t="s">
        <v>1206</v>
      </c>
      <c r="M1553" s="33" t="s">
        <v>95</v>
      </c>
      <c r="N1553" s="33" t="s">
        <v>42</v>
      </c>
      <c r="Q1553" s="33" t="s">
        <v>4050</v>
      </c>
    </row>
    <row r="1554" spans="1:17" hidden="1">
      <c r="A1554" s="33" t="s">
        <v>6414</v>
      </c>
      <c r="B1554" s="33" t="s">
        <v>1378</v>
      </c>
      <c r="C1554" s="33" t="s">
        <v>3549</v>
      </c>
      <c r="D1554" s="33" t="s">
        <v>4068</v>
      </c>
      <c r="E1554" s="33" t="s">
        <v>3857</v>
      </c>
      <c r="F1554" s="33" t="s">
        <v>1787</v>
      </c>
      <c r="G1554" s="33" t="s">
        <v>5846</v>
      </c>
      <c r="H1554" s="33" t="s">
        <v>1206</v>
      </c>
      <c r="I1554" s="33" t="s">
        <v>1206</v>
      </c>
      <c r="J1554" s="33" t="s">
        <v>6415</v>
      </c>
      <c r="K1554" s="33" t="s">
        <v>3859</v>
      </c>
      <c r="L1554" s="33" t="s">
        <v>1206</v>
      </c>
      <c r="M1554" s="33" t="s">
        <v>95</v>
      </c>
      <c r="N1554" s="33" t="s">
        <v>42</v>
      </c>
      <c r="Q1554" s="33" t="s">
        <v>4050</v>
      </c>
    </row>
    <row r="1555" spans="1:17" hidden="1">
      <c r="A1555" s="33" t="s">
        <v>6416</v>
      </c>
      <c r="B1555" s="33" t="s">
        <v>1379</v>
      </c>
      <c r="C1555" s="33" t="s">
        <v>3549</v>
      </c>
      <c r="D1555" s="33" t="s">
        <v>4068</v>
      </c>
      <c r="E1555" s="33" t="s">
        <v>3857</v>
      </c>
      <c r="F1555" s="33" t="s">
        <v>1787</v>
      </c>
      <c r="G1555" s="33" t="s">
        <v>5846</v>
      </c>
      <c r="H1555" s="33" t="s">
        <v>1206</v>
      </c>
      <c r="I1555" s="33" t="s">
        <v>1206</v>
      </c>
      <c r="J1555" s="33" t="s">
        <v>6417</v>
      </c>
      <c r="K1555" s="33" t="s">
        <v>3859</v>
      </c>
      <c r="L1555" s="33" t="s">
        <v>1206</v>
      </c>
      <c r="M1555" s="33" t="s">
        <v>95</v>
      </c>
      <c r="N1555" s="33" t="s">
        <v>42</v>
      </c>
      <c r="Q1555" s="33" t="s">
        <v>4050</v>
      </c>
    </row>
    <row r="1556" spans="1:17" hidden="1">
      <c r="A1556" s="33" t="s">
        <v>6418</v>
      </c>
      <c r="B1556" s="33" t="s">
        <v>1380</v>
      </c>
      <c r="C1556" s="33" t="s">
        <v>3549</v>
      </c>
      <c r="D1556" s="33" t="s">
        <v>4068</v>
      </c>
      <c r="E1556" s="33" t="s">
        <v>3857</v>
      </c>
      <c r="F1556" s="33" t="s">
        <v>1787</v>
      </c>
      <c r="G1556" s="33" t="s">
        <v>5846</v>
      </c>
      <c r="H1556" s="33" t="s">
        <v>1206</v>
      </c>
      <c r="I1556" s="33" t="s">
        <v>1206</v>
      </c>
      <c r="J1556" s="33" t="s">
        <v>6419</v>
      </c>
      <c r="K1556" s="33" t="s">
        <v>3859</v>
      </c>
      <c r="L1556" s="33" t="s">
        <v>1206</v>
      </c>
      <c r="M1556" s="33" t="s">
        <v>95</v>
      </c>
      <c r="N1556" s="33" t="s">
        <v>42</v>
      </c>
      <c r="Q1556" s="33" t="s">
        <v>4050</v>
      </c>
    </row>
    <row r="1557" spans="1:17" hidden="1">
      <c r="A1557" s="33" t="s">
        <v>6420</v>
      </c>
      <c r="B1557" s="33" t="s">
        <v>1381</v>
      </c>
      <c r="C1557" s="33" t="s">
        <v>3549</v>
      </c>
      <c r="D1557" s="33" t="s">
        <v>4068</v>
      </c>
      <c r="E1557" s="33" t="s">
        <v>3857</v>
      </c>
      <c r="F1557" s="33" t="s">
        <v>1787</v>
      </c>
      <c r="G1557" s="33" t="s">
        <v>5846</v>
      </c>
      <c r="H1557" s="33" t="s">
        <v>1206</v>
      </c>
      <c r="I1557" s="33" t="s">
        <v>1206</v>
      </c>
      <c r="J1557" s="33" t="s">
        <v>6421</v>
      </c>
      <c r="K1557" s="33" t="s">
        <v>3859</v>
      </c>
      <c r="L1557" s="33" t="s">
        <v>1206</v>
      </c>
      <c r="M1557" s="33" t="s">
        <v>95</v>
      </c>
      <c r="N1557" s="33" t="s">
        <v>42</v>
      </c>
      <c r="Q1557" s="33" t="s">
        <v>4050</v>
      </c>
    </row>
    <row r="1558" spans="1:17" hidden="1">
      <c r="A1558" s="33" t="s">
        <v>6422</v>
      </c>
      <c r="B1558" s="33" t="s">
        <v>1383</v>
      </c>
      <c r="C1558" s="33" t="s">
        <v>3549</v>
      </c>
      <c r="D1558" s="33" t="s">
        <v>4068</v>
      </c>
      <c r="E1558" s="33" t="s">
        <v>3857</v>
      </c>
      <c r="F1558" s="33" t="s">
        <v>1787</v>
      </c>
      <c r="G1558" s="33" t="s">
        <v>5846</v>
      </c>
      <c r="H1558" s="33" t="s">
        <v>1206</v>
      </c>
      <c r="I1558" s="33" t="s">
        <v>1206</v>
      </c>
      <c r="J1558" s="33" t="s">
        <v>6423</v>
      </c>
      <c r="K1558" s="33" t="s">
        <v>3859</v>
      </c>
      <c r="L1558" s="33" t="s">
        <v>1206</v>
      </c>
      <c r="M1558" s="33" t="s">
        <v>197</v>
      </c>
      <c r="N1558" s="33" t="s">
        <v>42</v>
      </c>
      <c r="Q1558" s="33" t="s">
        <v>4050</v>
      </c>
    </row>
    <row r="1559" spans="1:17" hidden="1">
      <c r="A1559" s="33" t="s">
        <v>6424</v>
      </c>
      <c r="B1559" s="33" t="s">
        <v>6425</v>
      </c>
      <c r="C1559" s="33" t="s">
        <v>2147</v>
      </c>
      <c r="D1559" s="33" t="s">
        <v>4068</v>
      </c>
      <c r="E1559" s="33" t="s">
        <v>3857</v>
      </c>
      <c r="F1559" s="33" t="s">
        <v>1787</v>
      </c>
      <c r="G1559" s="33" t="s">
        <v>86</v>
      </c>
      <c r="H1559" s="33" t="s">
        <v>1206</v>
      </c>
      <c r="I1559" s="33" t="s">
        <v>1206</v>
      </c>
      <c r="J1559" s="33" t="s">
        <v>6426</v>
      </c>
      <c r="K1559" s="33" t="s">
        <v>3859</v>
      </c>
      <c r="L1559" s="33" t="s">
        <v>1206</v>
      </c>
      <c r="M1559" s="33" t="s">
        <v>197</v>
      </c>
      <c r="N1559" s="33" t="s">
        <v>1763</v>
      </c>
      <c r="Q1559" s="33" t="s">
        <v>4050</v>
      </c>
    </row>
    <row r="1560" spans="1:17">
      <c r="A1560" s="33" t="s">
        <v>6427</v>
      </c>
      <c r="B1560" s="33" t="s">
        <v>6428</v>
      </c>
      <c r="C1560" s="33" t="s">
        <v>1980</v>
      </c>
      <c r="D1560" s="33" t="s">
        <v>4068</v>
      </c>
      <c r="E1560" s="33" t="s">
        <v>1786</v>
      </c>
      <c r="F1560" s="33" t="s">
        <v>1787</v>
      </c>
      <c r="G1560" s="33" t="s">
        <v>1981</v>
      </c>
      <c r="H1560" s="33" t="s">
        <v>1206</v>
      </c>
      <c r="I1560" s="33" t="s">
        <v>1206</v>
      </c>
      <c r="J1560" s="33" t="s">
        <v>6429</v>
      </c>
      <c r="K1560" s="33" t="s">
        <v>1791</v>
      </c>
      <c r="L1560" s="33" t="s">
        <v>4039</v>
      </c>
      <c r="M1560" s="33" t="s">
        <v>197</v>
      </c>
      <c r="N1560" s="33" t="s">
        <v>69</v>
      </c>
      <c r="Q1560" s="33" t="s">
        <v>4050</v>
      </c>
    </row>
    <row r="1561" spans="1:17" hidden="1">
      <c r="A1561" s="33" t="s">
        <v>6430</v>
      </c>
      <c r="B1561" s="33" t="s">
        <v>6431</v>
      </c>
      <c r="C1561" s="33" t="s">
        <v>1831</v>
      </c>
      <c r="D1561" s="33" t="s">
        <v>4068</v>
      </c>
      <c r="E1561" s="33" t="s">
        <v>3857</v>
      </c>
      <c r="F1561" s="33" t="s">
        <v>1815</v>
      </c>
      <c r="G1561" s="33" t="s">
        <v>1872</v>
      </c>
      <c r="H1561" s="33" t="s">
        <v>1206</v>
      </c>
      <c r="I1561" s="33" t="s">
        <v>1206</v>
      </c>
      <c r="J1561" s="33" t="s">
        <v>6432</v>
      </c>
      <c r="K1561" s="33" t="s">
        <v>3859</v>
      </c>
      <c r="L1561" s="33" t="s">
        <v>1206</v>
      </c>
      <c r="M1561" s="33" t="s">
        <v>194</v>
      </c>
      <c r="N1561" s="33" t="s">
        <v>197</v>
      </c>
      <c r="Q1561" s="33" t="s">
        <v>4050</v>
      </c>
    </row>
    <row r="1562" spans="1:17" hidden="1">
      <c r="A1562" s="33" t="s">
        <v>6433</v>
      </c>
      <c r="B1562" s="33" t="s">
        <v>1385</v>
      </c>
      <c r="C1562" s="33" t="s">
        <v>3549</v>
      </c>
      <c r="D1562" s="33" t="s">
        <v>4068</v>
      </c>
      <c r="E1562" s="33" t="s">
        <v>3857</v>
      </c>
      <c r="F1562" s="33" t="s">
        <v>1787</v>
      </c>
      <c r="G1562" s="33" t="s">
        <v>5846</v>
      </c>
      <c r="H1562" s="33" t="s">
        <v>1386</v>
      </c>
      <c r="I1562" s="33" t="s">
        <v>1386</v>
      </c>
      <c r="J1562" s="33" t="s">
        <v>6434</v>
      </c>
      <c r="K1562" s="33" t="s">
        <v>3859</v>
      </c>
      <c r="L1562" s="33" t="s">
        <v>1386</v>
      </c>
      <c r="M1562" s="33" t="s">
        <v>197</v>
      </c>
      <c r="N1562" s="33" t="s">
        <v>42</v>
      </c>
      <c r="Q1562" s="33" t="s">
        <v>4050</v>
      </c>
    </row>
    <row r="1563" spans="1:17" hidden="1">
      <c r="A1563" s="33" t="s">
        <v>6435</v>
      </c>
      <c r="B1563" s="33" t="s">
        <v>1388</v>
      </c>
      <c r="C1563" s="33" t="s">
        <v>3549</v>
      </c>
      <c r="D1563" s="33" t="s">
        <v>4068</v>
      </c>
      <c r="E1563" s="33" t="s">
        <v>3857</v>
      </c>
      <c r="F1563" s="33" t="s">
        <v>1787</v>
      </c>
      <c r="G1563" s="33" t="s">
        <v>5846</v>
      </c>
      <c r="H1563" s="33" t="s">
        <v>1386</v>
      </c>
      <c r="I1563" s="33" t="s">
        <v>1386</v>
      </c>
      <c r="J1563" s="33" t="s">
        <v>6436</v>
      </c>
      <c r="K1563" s="33" t="s">
        <v>3859</v>
      </c>
      <c r="L1563" s="33" t="s">
        <v>1386</v>
      </c>
      <c r="M1563" s="33" t="s">
        <v>197</v>
      </c>
      <c r="N1563" s="33" t="s">
        <v>42</v>
      </c>
      <c r="Q1563" s="33" t="s">
        <v>4050</v>
      </c>
    </row>
    <row r="1564" spans="1:17" hidden="1">
      <c r="A1564" s="33" t="s">
        <v>6437</v>
      </c>
      <c r="B1564" s="33" t="s">
        <v>1390</v>
      </c>
      <c r="C1564" s="33" t="s">
        <v>3549</v>
      </c>
      <c r="D1564" s="33" t="s">
        <v>4068</v>
      </c>
      <c r="E1564" s="33" t="s">
        <v>3857</v>
      </c>
      <c r="F1564" s="33" t="s">
        <v>1787</v>
      </c>
      <c r="G1564" s="33" t="s">
        <v>5846</v>
      </c>
      <c r="H1564" s="33" t="s">
        <v>1386</v>
      </c>
      <c r="I1564" s="33" t="s">
        <v>1386</v>
      </c>
      <c r="J1564" s="33" t="s">
        <v>6438</v>
      </c>
      <c r="K1564" s="33" t="s">
        <v>3859</v>
      </c>
      <c r="L1564" s="33" t="s">
        <v>1386</v>
      </c>
      <c r="M1564" s="33" t="s">
        <v>197</v>
      </c>
      <c r="N1564" s="33" t="s">
        <v>42</v>
      </c>
      <c r="Q1564" s="33" t="s">
        <v>4050</v>
      </c>
    </row>
    <row r="1565" spans="1:17" hidden="1">
      <c r="A1565" s="33" t="s">
        <v>6439</v>
      </c>
      <c r="B1565" s="33" t="s">
        <v>1392</v>
      </c>
      <c r="C1565" s="33" t="s">
        <v>3549</v>
      </c>
      <c r="D1565" s="33" t="s">
        <v>4068</v>
      </c>
      <c r="E1565" s="33" t="s">
        <v>3857</v>
      </c>
      <c r="F1565" s="33" t="s">
        <v>1787</v>
      </c>
      <c r="G1565" s="33" t="s">
        <v>5846</v>
      </c>
      <c r="H1565" s="33" t="s">
        <v>1386</v>
      </c>
      <c r="I1565" s="33" t="s">
        <v>1386</v>
      </c>
      <c r="J1565" s="33" t="s">
        <v>6440</v>
      </c>
      <c r="K1565" s="33" t="s">
        <v>3859</v>
      </c>
      <c r="L1565" s="33" t="s">
        <v>1386</v>
      </c>
      <c r="M1565" s="33" t="s">
        <v>194</v>
      </c>
      <c r="N1565" s="33" t="s">
        <v>42</v>
      </c>
      <c r="Q1565" s="33" t="s">
        <v>4050</v>
      </c>
    </row>
    <row r="1566" spans="1:17" hidden="1">
      <c r="A1566" s="33" t="s">
        <v>6441</v>
      </c>
      <c r="B1566" s="33" t="s">
        <v>1393</v>
      </c>
      <c r="C1566" s="33" t="s">
        <v>3549</v>
      </c>
      <c r="D1566" s="33" t="s">
        <v>4068</v>
      </c>
      <c r="E1566" s="33" t="s">
        <v>3857</v>
      </c>
      <c r="F1566" s="33" t="s">
        <v>1787</v>
      </c>
      <c r="G1566" s="33" t="s">
        <v>5846</v>
      </c>
      <c r="H1566" s="33" t="s">
        <v>1386</v>
      </c>
      <c r="I1566" s="33" t="s">
        <v>1386</v>
      </c>
      <c r="J1566" s="33" t="s">
        <v>6442</v>
      </c>
      <c r="K1566" s="33" t="s">
        <v>3859</v>
      </c>
      <c r="L1566" s="33" t="s">
        <v>1386</v>
      </c>
      <c r="M1566" s="33" t="s">
        <v>194</v>
      </c>
      <c r="N1566" s="33" t="s">
        <v>42</v>
      </c>
      <c r="Q1566" s="33" t="s">
        <v>4050</v>
      </c>
    </row>
    <row r="1567" spans="1:17" hidden="1">
      <c r="A1567" s="33" t="s">
        <v>6443</v>
      </c>
      <c r="B1567" s="33" t="s">
        <v>1395</v>
      </c>
      <c r="C1567" s="33" t="s">
        <v>3549</v>
      </c>
      <c r="D1567" s="33" t="s">
        <v>4068</v>
      </c>
      <c r="E1567" s="33" t="s">
        <v>3857</v>
      </c>
      <c r="F1567" s="33" t="s">
        <v>1787</v>
      </c>
      <c r="G1567" s="33" t="s">
        <v>5846</v>
      </c>
      <c r="H1567" s="33" t="s">
        <v>1386</v>
      </c>
      <c r="I1567" s="33" t="s">
        <v>1386</v>
      </c>
      <c r="J1567" s="33" t="s">
        <v>6444</v>
      </c>
      <c r="K1567" s="33" t="s">
        <v>3859</v>
      </c>
      <c r="L1567" s="33" t="s">
        <v>1386</v>
      </c>
      <c r="M1567" s="33" t="s">
        <v>194</v>
      </c>
      <c r="N1567" s="33" t="s">
        <v>42</v>
      </c>
      <c r="Q1567" s="33" t="s">
        <v>4050</v>
      </c>
    </row>
    <row r="1568" spans="1:17" hidden="1">
      <c r="A1568" s="33" t="s">
        <v>6445</v>
      </c>
      <c r="B1568" s="33" t="s">
        <v>1396</v>
      </c>
      <c r="C1568" s="33" t="s">
        <v>3549</v>
      </c>
      <c r="D1568" s="33" t="s">
        <v>4068</v>
      </c>
      <c r="E1568" s="33" t="s">
        <v>3857</v>
      </c>
      <c r="F1568" s="33" t="s">
        <v>1787</v>
      </c>
      <c r="G1568" s="33" t="s">
        <v>5846</v>
      </c>
      <c r="H1568" s="33" t="s">
        <v>1386</v>
      </c>
      <c r="I1568" s="33" t="s">
        <v>1386</v>
      </c>
      <c r="J1568" s="33" t="s">
        <v>6446</v>
      </c>
      <c r="K1568" s="33" t="s">
        <v>3859</v>
      </c>
      <c r="L1568" s="33" t="s">
        <v>1386</v>
      </c>
      <c r="M1568" s="33" t="s">
        <v>1397</v>
      </c>
      <c r="N1568" s="33" t="s">
        <v>42</v>
      </c>
      <c r="Q1568" s="33" t="s">
        <v>4050</v>
      </c>
    </row>
    <row r="1569" spans="1:17" hidden="1">
      <c r="A1569" s="33" t="s">
        <v>6447</v>
      </c>
      <c r="B1569" s="33" t="s">
        <v>1399</v>
      </c>
      <c r="C1569" s="33" t="s">
        <v>3549</v>
      </c>
      <c r="D1569" s="33" t="s">
        <v>4068</v>
      </c>
      <c r="E1569" s="33" t="s">
        <v>3857</v>
      </c>
      <c r="F1569" s="33" t="s">
        <v>1787</v>
      </c>
      <c r="G1569" s="33" t="s">
        <v>5846</v>
      </c>
      <c r="H1569" s="33" t="s">
        <v>1386</v>
      </c>
      <c r="I1569" s="33" t="s">
        <v>1386</v>
      </c>
      <c r="J1569" s="33" t="s">
        <v>6448</v>
      </c>
      <c r="K1569" s="33" t="s">
        <v>3859</v>
      </c>
      <c r="L1569" s="33" t="s">
        <v>1386</v>
      </c>
      <c r="M1569" s="33" t="s">
        <v>1397</v>
      </c>
      <c r="N1569" s="33" t="s">
        <v>42</v>
      </c>
      <c r="Q1569" s="33" t="s">
        <v>4050</v>
      </c>
    </row>
    <row r="1570" spans="1:17" hidden="1">
      <c r="A1570" s="33" t="s">
        <v>6449</v>
      </c>
      <c r="B1570" s="33" t="s">
        <v>1401</v>
      </c>
      <c r="C1570" s="33" t="s">
        <v>3549</v>
      </c>
      <c r="D1570" s="33" t="s">
        <v>4068</v>
      </c>
      <c r="E1570" s="33" t="s">
        <v>3857</v>
      </c>
      <c r="F1570" s="33" t="s">
        <v>1787</v>
      </c>
      <c r="G1570" s="33" t="s">
        <v>5846</v>
      </c>
      <c r="H1570" s="33" t="s">
        <v>1386</v>
      </c>
      <c r="I1570" s="33" t="s">
        <v>1386</v>
      </c>
      <c r="J1570" s="33" t="s">
        <v>6450</v>
      </c>
      <c r="K1570" s="33" t="s">
        <v>3859</v>
      </c>
      <c r="L1570" s="33" t="s">
        <v>1386</v>
      </c>
      <c r="M1570" s="33" t="s">
        <v>1402</v>
      </c>
      <c r="N1570" s="33" t="s">
        <v>42</v>
      </c>
      <c r="Q1570" s="33" t="s">
        <v>4050</v>
      </c>
    </row>
    <row r="1571" spans="1:17" hidden="1">
      <c r="A1571" s="33" t="s">
        <v>6451</v>
      </c>
      <c r="B1571" s="33" t="s">
        <v>1404</v>
      </c>
      <c r="C1571" s="33" t="s">
        <v>3549</v>
      </c>
      <c r="D1571" s="33" t="s">
        <v>4068</v>
      </c>
      <c r="E1571" s="33" t="s">
        <v>3857</v>
      </c>
      <c r="F1571" s="33" t="s">
        <v>1787</v>
      </c>
      <c r="G1571" s="33" t="s">
        <v>5846</v>
      </c>
      <c r="H1571" s="33" t="s">
        <v>1386</v>
      </c>
      <c r="I1571" s="33" t="s">
        <v>1386</v>
      </c>
      <c r="J1571" s="33" t="s">
        <v>6452</v>
      </c>
      <c r="K1571" s="33" t="s">
        <v>3859</v>
      </c>
      <c r="L1571" s="33" t="s">
        <v>1386</v>
      </c>
      <c r="M1571" s="33" t="s">
        <v>1402</v>
      </c>
      <c r="N1571" s="33" t="s">
        <v>42</v>
      </c>
      <c r="Q1571" s="33" t="s">
        <v>4050</v>
      </c>
    </row>
    <row r="1572" spans="1:17" hidden="1">
      <c r="A1572" s="33" t="s">
        <v>6453</v>
      </c>
      <c r="B1572" s="33" t="s">
        <v>1406</v>
      </c>
      <c r="C1572" s="33" t="s">
        <v>3549</v>
      </c>
      <c r="D1572" s="33" t="s">
        <v>4068</v>
      </c>
      <c r="E1572" s="33" t="s">
        <v>3857</v>
      </c>
      <c r="F1572" s="33" t="s">
        <v>1787</v>
      </c>
      <c r="G1572" s="33" t="s">
        <v>5846</v>
      </c>
      <c r="H1572" s="33" t="s">
        <v>1386</v>
      </c>
      <c r="I1572" s="33" t="s">
        <v>1386</v>
      </c>
      <c r="J1572" s="33" t="s">
        <v>6454</v>
      </c>
      <c r="K1572" s="33" t="s">
        <v>3859</v>
      </c>
      <c r="L1572" s="33" t="s">
        <v>1386</v>
      </c>
      <c r="M1572" s="33" t="s">
        <v>1402</v>
      </c>
      <c r="N1572" s="33" t="s">
        <v>42</v>
      </c>
      <c r="Q1572" s="33" t="s">
        <v>4050</v>
      </c>
    </row>
    <row r="1573" spans="1:17" hidden="1">
      <c r="A1573" s="33" t="s">
        <v>6455</v>
      </c>
      <c r="B1573" s="33" t="s">
        <v>1407</v>
      </c>
      <c r="C1573" s="33" t="s">
        <v>3549</v>
      </c>
      <c r="D1573" s="33" t="s">
        <v>4068</v>
      </c>
      <c r="E1573" s="33" t="s">
        <v>3857</v>
      </c>
      <c r="F1573" s="33" t="s">
        <v>1787</v>
      </c>
      <c r="G1573" s="33" t="s">
        <v>5846</v>
      </c>
      <c r="H1573" s="33" t="s">
        <v>1386</v>
      </c>
      <c r="I1573" s="33" t="s">
        <v>1386</v>
      </c>
      <c r="J1573" s="33" t="s">
        <v>6456</v>
      </c>
      <c r="K1573" s="33" t="s">
        <v>3859</v>
      </c>
      <c r="L1573" s="33" t="s">
        <v>1386</v>
      </c>
      <c r="M1573" s="33" t="s">
        <v>1408</v>
      </c>
      <c r="N1573" s="33" t="s">
        <v>42</v>
      </c>
      <c r="Q1573" s="33" t="s">
        <v>4050</v>
      </c>
    </row>
    <row r="1574" spans="1:17" hidden="1">
      <c r="A1574" s="33" t="s">
        <v>6457</v>
      </c>
      <c r="B1574" s="33" t="s">
        <v>1410</v>
      </c>
      <c r="C1574" s="33" t="s">
        <v>3549</v>
      </c>
      <c r="D1574" s="33" t="s">
        <v>4068</v>
      </c>
      <c r="E1574" s="33" t="s">
        <v>3857</v>
      </c>
      <c r="F1574" s="33" t="s">
        <v>1787</v>
      </c>
      <c r="G1574" s="33" t="s">
        <v>5846</v>
      </c>
      <c r="H1574" s="33" t="s">
        <v>1386</v>
      </c>
      <c r="I1574" s="33" t="s">
        <v>1386</v>
      </c>
      <c r="J1574" s="33" t="s">
        <v>6458</v>
      </c>
      <c r="K1574" s="33" t="s">
        <v>3859</v>
      </c>
      <c r="L1574" s="33" t="s">
        <v>1386</v>
      </c>
      <c r="M1574" s="33" t="s">
        <v>1408</v>
      </c>
      <c r="N1574" s="33" t="s">
        <v>42</v>
      </c>
      <c r="Q1574" s="33" t="s">
        <v>4050</v>
      </c>
    </row>
    <row r="1575" spans="1:17" hidden="1">
      <c r="A1575" s="33" t="s">
        <v>6459</v>
      </c>
      <c r="B1575" s="33" t="s">
        <v>1412</v>
      </c>
      <c r="C1575" s="33" t="s">
        <v>3549</v>
      </c>
      <c r="D1575" s="33" t="s">
        <v>4068</v>
      </c>
      <c r="E1575" s="33" t="s">
        <v>3857</v>
      </c>
      <c r="F1575" s="33" t="s">
        <v>1787</v>
      </c>
      <c r="G1575" s="33" t="s">
        <v>5846</v>
      </c>
      <c r="H1575" s="33" t="s">
        <v>1386</v>
      </c>
      <c r="I1575" s="33" t="s">
        <v>1386</v>
      </c>
      <c r="J1575" s="33" t="s">
        <v>6460</v>
      </c>
      <c r="K1575" s="33" t="s">
        <v>3859</v>
      </c>
      <c r="L1575" s="33" t="s">
        <v>1386</v>
      </c>
      <c r="M1575" s="33" t="s">
        <v>1408</v>
      </c>
      <c r="N1575" s="33" t="s">
        <v>42</v>
      </c>
      <c r="Q1575" s="33" t="s">
        <v>4050</v>
      </c>
    </row>
    <row r="1576" spans="1:17" hidden="1">
      <c r="A1576" s="33" t="s">
        <v>6461</v>
      </c>
      <c r="B1576" s="33" t="s">
        <v>1413</v>
      </c>
      <c r="C1576" s="33" t="s">
        <v>3549</v>
      </c>
      <c r="D1576" s="33" t="s">
        <v>4068</v>
      </c>
      <c r="E1576" s="33" t="s">
        <v>3857</v>
      </c>
      <c r="F1576" s="33" t="s">
        <v>1787</v>
      </c>
      <c r="G1576" s="33" t="s">
        <v>5846</v>
      </c>
      <c r="H1576" s="33" t="s">
        <v>1386</v>
      </c>
      <c r="I1576" s="33" t="s">
        <v>1386</v>
      </c>
      <c r="J1576" s="33" t="s">
        <v>6462</v>
      </c>
      <c r="K1576" s="33" t="s">
        <v>3859</v>
      </c>
      <c r="L1576" s="33" t="s">
        <v>1386</v>
      </c>
      <c r="M1576" s="33" t="s">
        <v>1142</v>
      </c>
      <c r="N1576" s="33" t="s">
        <v>42</v>
      </c>
      <c r="Q1576" s="33" t="s">
        <v>4050</v>
      </c>
    </row>
    <row r="1577" spans="1:17" hidden="1">
      <c r="A1577" s="33" t="s">
        <v>6463</v>
      </c>
      <c r="B1577" s="33" t="s">
        <v>1415</v>
      </c>
      <c r="C1577" s="33" t="s">
        <v>3549</v>
      </c>
      <c r="D1577" s="33" t="s">
        <v>4068</v>
      </c>
      <c r="E1577" s="33" t="s">
        <v>3857</v>
      </c>
      <c r="F1577" s="33" t="s">
        <v>1787</v>
      </c>
      <c r="G1577" s="33" t="s">
        <v>5846</v>
      </c>
      <c r="H1577" s="33" t="s">
        <v>1386</v>
      </c>
      <c r="I1577" s="33" t="s">
        <v>1386</v>
      </c>
      <c r="J1577" s="33" t="s">
        <v>6464</v>
      </c>
      <c r="K1577" s="33" t="s">
        <v>3859</v>
      </c>
      <c r="L1577" s="33" t="s">
        <v>1386</v>
      </c>
      <c r="M1577" s="33" t="s">
        <v>1142</v>
      </c>
      <c r="N1577" s="33" t="s">
        <v>42</v>
      </c>
      <c r="Q1577" s="33" t="s">
        <v>4050</v>
      </c>
    </row>
    <row r="1578" spans="1:17" hidden="1">
      <c r="A1578" s="33" t="s">
        <v>6465</v>
      </c>
      <c r="B1578" s="33" t="s">
        <v>1416</v>
      </c>
      <c r="C1578" s="33" t="s">
        <v>3549</v>
      </c>
      <c r="D1578" s="33" t="s">
        <v>4068</v>
      </c>
      <c r="E1578" s="33" t="s">
        <v>3857</v>
      </c>
      <c r="F1578" s="33" t="s">
        <v>1787</v>
      </c>
      <c r="G1578" s="33" t="s">
        <v>5846</v>
      </c>
      <c r="H1578" s="33" t="s">
        <v>1386</v>
      </c>
      <c r="I1578" s="33" t="s">
        <v>1386</v>
      </c>
      <c r="J1578" s="33" t="s">
        <v>6466</v>
      </c>
      <c r="K1578" s="33" t="s">
        <v>3859</v>
      </c>
      <c r="L1578" s="33" t="s">
        <v>1386</v>
      </c>
      <c r="M1578" s="33" t="s">
        <v>1142</v>
      </c>
      <c r="N1578" s="33" t="s">
        <v>42</v>
      </c>
      <c r="Q1578" s="33" t="s">
        <v>4050</v>
      </c>
    </row>
    <row r="1579" spans="1:17" hidden="1">
      <c r="A1579" s="33" t="s">
        <v>6467</v>
      </c>
      <c r="B1579" s="33" t="s">
        <v>1417</v>
      </c>
      <c r="C1579" s="33" t="s">
        <v>3549</v>
      </c>
      <c r="D1579" s="33" t="s">
        <v>4068</v>
      </c>
      <c r="E1579" s="33" t="s">
        <v>3857</v>
      </c>
      <c r="F1579" s="33" t="s">
        <v>1787</v>
      </c>
      <c r="G1579" s="33" t="s">
        <v>5846</v>
      </c>
      <c r="H1579" s="33" t="s">
        <v>1386</v>
      </c>
      <c r="I1579" s="33" t="s">
        <v>1386</v>
      </c>
      <c r="J1579" s="33" t="s">
        <v>6468</v>
      </c>
      <c r="K1579" s="33" t="s">
        <v>3859</v>
      </c>
      <c r="L1579" s="33" t="s">
        <v>1386</v>
      </c>
      <c r="M1579" s="33" t="s">
        <v>1142</v>
      </c>
      <c r="N1579" s="33" t="s">
        <v>42</v>
      </c>
      <c r="Q1579" s="33" t="s">
        <v>4050</v>
      </c>
    </row>
    <row r="1580" spans="1:17" hidden="1">
      <c r="A1580" s="33" t="s">
        <v>6469</v>
      </c>
      <c r="B1580" s="33" t="s">
        <v>1419</v>
      </c>
      <c r="C1580" s="33" t="s">
        <v>3549</v>
      </c>
      <c r="D1580" s="33" t="s">
        <v>4068</v>
      </c>
      <c r="E1580" s="33" t="s">
        <v>3857</v>
      </c>
      <c r="F1580" s="33" t="s">
        <v>1787</v>
      </c>
      <c r="G1580" s="33" t="s">
        <v>5846</v>
      </c>
      <c r="H1580" s="33" t="s">
        <v>1386</v>
      </c>
      <c r="I1580" s="33" t="s">
        <v>1386</v>
      </c>
      <c r="J1580" s="33" t="s">
        <v>6470</v>
      </c>
      <c r="K1580" s="33" t="s">
        <v>3859</v>
      </c>
      <c r="L1580" s="33" t="s">
        <v>1386</v>
      </c>
      <c r="M1580" s="33" t="s">
        <v>40</v>
      </c>
      <c r="N1580" s="33" t="s">
        <v>42</v>
      </c>
      <c r="Q1580" s="33" t="s">
        <v>4050</v>
      </c>
    </row>
    <row r="1581" spans="1:17" hidden="1">
      <c r="A1581" s="33" t="s">
        <v>6471</v>
      </c>
      <c r="B1581" s="33" t="s">
        <v>1420</v>
      </c>
      <c r="C1581" s="33" t="s">
        <v>3549</v>
      </c>
      <c r="D1581" s="33" t="s">
        <v>4068</v>
      </c>
      <c r="E1581" s="33" t="s">
        <v>3857</v>
      </c>
      <c r="F1581" s="33" t="s">
        <v>1787</v>
      </c>
      <c r="G1581" s="33" t="s">
        <v>5846</v>
      </c>
      <c r="H1581" s="33" t="s">
        <v>1386</v>
      </c>
      <c r="I1581" s="33" t="s">
        <v>1386</v>
      </c>
      <c r="J1581" s="33" t="s">
        <v>6472</v>
      </c>
      <c r="K1581" s="33" t="s">
        <v>3859</v>
      </c>
      <c r="L1581" s="33" t="s">
        <v>1386</v>
      </c>
      <c r="M1581" s="33" t="s">
        <v>40</v>
      </c>
      <c r="N1581" s="33" t="s">
        <v>42</v>
      </c>
      <c r="Q1581" s="33" t="s">
        <v>4050</v>
      </c>
    </row>
    <row r="1582" spans="1:17" hidden="1">
      <c r="A1582" s="33" t="s">
        <v>6473</v>
      </c>
      <c r="B1582" s="33" t="s">
        <v>1421</v>
      </c>
      <c r="C1582" s="33" t="s">
        <v>3549</v>
      </c>
      <c r="D1582" s="33" t="s">
        <v>4068</v>
      </c>
      <c r="E1582" s="33" t="s">
        <v>3857</v>
      </c>
      <c r="F1582" s="33" t="s">
        <v>1787</v>
      </c>
      <c r="G1582" s="33" t="s">
        <v>5846</v>
      </c>
      <c r="H1582" s="33" t="s">
        <v>1386</v>
      </c>
      <c r="I1582" s="33" t="s">
        <v>1386</v>
      </c>
      <c r="J1582" s="33" t="s">
        <v>6474</v>
      </c>
      <c r="K1582" s="33" t="s">
        <v>3859</v>
      </c>
      <c r="L1582" s="33" t="s">
        <v>1386</v>
      </c>
      <c r="M1582" s="33" t="s">
        <v>40</v>
      </c>
      <c r="N1582" s="33" t="s">
        <v>42</v>
      </c>
      <c r="Q1582" s="33" t="s">
        <v>4050</v>
      </c>
    </row>
    <row r="1583" spans="1:17" hidden="1">
      <c r="A1583" s="33" t="s">
        <v>6475</v>
      </c>
      <c r="B1583" s="33" t="s">
        <v>6476</v>
      </c>
      <c r="C1583" s="33" t="s">
        <v>2205</v>
      </c>
      <c r="D1583" s="33" t="s">
        <v>4068</v>
      </c>
      <c r="E1583" s="33" t="s">
        <v>3857</v>
      </c>
      <c r="F1583" s="33" t="s">
        <v>1787</v>
      </c>
      <c r="G1583" s="33" t="s">
        <v>3289</v>
      </c>
      <c r="H1583" s="33" t="s">
        <v>1386</v>
      </c>
      <c r="I1583" s="33" t="s">
        <v>1386</v>
      </c>
      <c r="J1583" s="33" t="s">
        <v>6477</v>
      </c>
      <c r="K1583" s="33" t="s">
        <v>3859</v>
      </c>
      <c r="L1583" s="33" t="s">
        <v>1386</v>
      </c>
      <c r="M1583" s="33" t="s">
        <v>197</v>
      </c>
      <c r="N1583" s="33" t="s">
        <v>77</v>
      </c>
      <c r="Q1583" s="33" t="s">
        <v>4050</v>
      </c>
    </row>
    <row r="1584" spans="1:17" hidden="1">
      <c r="A1584" s="33" t="s">
        <v>6478</v>
      </c>
      <c r="B1584" s="33" t="s">
        <v>6479</v>
      </c>
      <c r="C1584" s="33" t="s">
        <v>4748</v>
      </c>
      <c r="D1584" s="33" t="s">
        <v>4068</v>
      </c>
      <c r="E1584" s="33" t="s">
        <v>3857</v>
      </c>
      <c r="F1584" s="33" t="s">
        <v>1787</v>
      </c>
      <c r="G1584" s="33" t="s">
        <v>5039</v>
      </c>
      <c r="H1584" s="33" t="s">
        <v>3948</v>
      </c>
      <c r="I1584" s="33" t="s">
        <v>3948</v>
      </c>
      <c r="J1584" s="33" t="s">
        <v>6480</v>
      </c>
      <c r="K1584" s="33" t="s">
        <v>3859</v>
      </c>
      <c r="L1584" s="33" t="s">
        <v>3948</v>
      </c>
      <c r="M1584" s="33" t="s">
        <v>193</v>
      </c>
      <c r="N1584" s="33" t="s">
        <v>193</v>
      </c>
      <c r="Q1584" s="33" t="s">
        <v>4050</v>
      </c>
    </row>
    <row r="1585" spans="1:17" hidden="1">
      <c r="A1585" s="33" t="s">
        <v>6481</v>
      </c>
      <c r="B1585" s="33" t="s">
        <v>6482</v>
      </c>
      <c r="C1585" s="33" t="s">
        <v>4748</v>
      </c>
      <c r="D1585" s="33" t="s">
        <v>4068</v>
      </c>
      <c r="E1585" s="33" t="s">
        <v>3857</v>
      </c>
      <c r="F1585" s="33" t="s">
        <v>1787</v>
      </c>
      <c r="G1585" s="33" t="s">
        <v>5039</v>
      </c>
      <c r="H1585" s="33" t="s">
        <v>3948</v>
      </c>
      <c r="I1585" s="33" t="s">
        <v>3948</v>
      </c>
      <c r="J1585" s="33" t="s">
        <v>6483</v>
      </c>
      <c r="K1585" s="33" t="s">
        <v>3859</v>
      </c>
      <c r="L1585" s="33" t="s">
        <v>3948</v>
      </c>
      <c r="M1585" s="33" t="s">
        <v>193</v>
      </c>
      <c r="N1585" s="33" t="s">
        <v>193</v>
      </c>
      <c r="Q1585" s="33" t="s">
        <v>4050</v>
      </c>
    </row>
    <row r="1586" spans="1:17" hidden="1">
      <c r="A1586" s="33" t="s">
        <v>6484</v>
      </c>
      <c r="B1586" s="33" t="s">
        <v>6485</v>
      </c>
      <c r="C1586" s="33" t="s">
        <v>4748</v>
      </c>
      <c r="D1586" s="33" t="s">
        <v>4068</v>
      </c>
      <c r="E1586" s="33" t="s">
        <v>3857</v>
      </c>
      <c r="F1586" s="33" t="s">
        <v>1787</v>
      </c>
      <c r="G1586" s="33" t="s">
        <v>5039</v>
      </c>
      <c r="H1586" s="33" t="s">
        <v>3948</v>
      </c>
      <c r="I1586" s="33" t="s">
        <v>3948</v>
      </c>
      <c r="J1586" s="33" t="s">
        <v>6486</v>
      </c>
      <c r="K1586" s="33" t="s">
        <v>3859</v>
      </c>
      <c r="L1586" s="33" t="s">
        <v>3948</v>
      </c>
      <c r="M1586" s="33" t="s">
        <v>193</v>
      </c>
      <c r="N1586" s="33" t="s">
        <v>193</v>
      </c>
      <c r="Q1586" s="33" t="s">
        <v>4050</v>
      </c>
    </row>
    <row r="1587" spans="1:17" hidden="1">
      <c r="A1587" s="33" t="s">
        <v>6487</v>
      </c>
      <c r="B1587" s="33" t="s">
        <v>6488</v>
      </c>
      <c r="C1587" s="33" t="s">
        <v>6489</v>
      </c>
      <c r="D1587" s="33" t="s">
        <v>4068</v>
      </c>
      <c r="E1587" s="33" t="s">
        <v>3857</v>
      </c>
      <c r="F1587" s="33" t="s">
        <v>1815</v>
      </c>
      <c r="G1587" s="33" t="s">
        <v>6490</v>
      </c>
      <c r="H1587" s="33" t="s">
        <v>3948</v>
      </c>
      <c r="I1587" s="33" t="s">
        <v>3948</v>
      </c>
      <c r="J1587" s="33" t="s">
        <v>6491</v>
      </c>
      <c r="K1587" s="33" t="s">
        <v>3859</v>
      </c>
      <c r="L1587" s="33" t="s">
        <v>3948</v>
      </c>
      <c r="M1587" s="33" t="s">
        <v>3284</v>
      </c>
      <c r="N1587" s="33" t="s">
        <v>61</v>
      </c>
      <c r="Q1587" s="33" t="s">
        <v>4050</v>
      </c>
    </row>
    <row r="1588" spans="1:17" hidden="1">
      <c r="A1588" s="33" t="s">
        <v>6492</v>
      </c>
      <c r="B1588" s="33" t="s">
        <v>6493</v>
      </c>
      <c r="C1588" s="33" t="s">
        <v>6489</v>
      </c>
      <c r="D1588" s="33" t="s">
        <v>4068</v>
      </c>
      <c r="E1588" s="33" t="s">
        <v>3857</v>
      </c>
      <c r="F1588" s="33" t="s">
        <v>1856</v>
      </c>
      <c r="G1588" s="33" t="s">
        <v>6490</v>
      </c>
      <c r="H1588" s="33" t="s">
        <v>3948</v>
      </c>
      <c r="I1588" s="33" t="s">
        <v>3948</v>
      </c>
      <c r="J1588" s="33" t="s">
        <v>6494</v>
      </c>
      <c r="K1588" s="33" t="s">
        <v>3859</v>
      </c>
      <c r="L1588" s="33" t="s">
        <v>3948</v>
      </c>
      <c r="M1588" s="33" t="s">
        <v>1402</v>
      </c>
      <c r="N1588" s="33" t="s">
        <v>1402</v>
      </c>
      <c r="Q1588" s="33" t="s">
        <v>4050</v>
      </c>
    </row>
    <row r="1589" spans="1:17" hidden="1">
      <c r="A1589" s="33" t="s">
        <v>6495</v>
      </c>
      <c r="B1589" s="33" t="s">
        <v>6496</v>
      </c>
      <c r="C1589" s="33" t="s">
        <v>6489</v>
      </c>
      <c r="D1589" s="33" t="s">
        <v>4068</v>
      </c>
      <c r="E1589" s="33" t="s">
        <v>3857</v>
      </c>
      <c r="F1589" s="33" t="s">
        <v>1856</v>
      </c>
      <c r="G1589" s="33" t="s">
        <v>6490</v>
      </c>
      <c r="H1589" s="33" t="s">
        <v>3948</v>
      </c>
      <c r="I1589" s="33" t="s">
        <v>3948</v>
      </c>
      <c r="J1589" s="33" t="s">
        <v>6497</v>
      </c>
      <c r="K1589" s="33" t="s">
        <v>3859</v>
      </c>
      <c r="L1589" s="33" t="s">
        <v>3948</v>
      </c>
      <c r="M1589" s="33" t="s">
        <v>1402</v>
      </c>
      <c r="N1589" s="33" t="s">
        <v>61</v>
      </c>
      <c r="Q1589" s="33" t="s">
        <v>4050</v>
      </c>
    </row>
    <row r="1590" spans="1:17" hidden="1">
      <c r="A1590" s="33" t="s">
        <v>6498</v>
      </c>
      <c r="B1590" s="33" t="s">
        <v>6499</v>
      </c>
      <c r="C1590" s="33" t="s">
        <v>6489</v>
      </c>
      <c r="D1590" s="33" t="s">
        <v>4068</v>
      </c>
      <c r="E1590" s="33" t="s">
        <v>3857</v>
      </c>
      <c r="F1590" s="33" t="s">
        <v>1864</v>
      </c>
      <c r="G1590" s="33" t="s">
        <v>6490</v>
      </c>
      <c r="H1590" s="33" t="s">
        <v>3948</v>
      </c>
      <c r="I1590" s="33" t="s">
        <v>3948</v>
      </c>
      <c r="J1590" s="33" t="s">
        <v>6500</v>
      </c>
      <c r="K1590" s="33" t="s">
        <v>3859</v>
      </c>
      <c r="L1590" s="33" t="s">
        <v>3948</v>
      </c>
      <c r="M1590" s="33" t="s">
        <v>196</v>
      </c>
      <c r="N1590" s="33" t="s">
        <v>61</v>
      </c>
      <c r="Q1590" s="33" t="s">
        <v>4050</v>
      </c>
    </row>
    <row r="1591" spans="1:17" hidden="1">
      <c r="A1591" s="33" t="s">
        <v>6501</v>
      </c>
      <c r="B1591" s="33" t="s">
        <v>6502</v>
      </c>
      <c r="C1591" s="33" t="s">
        <v>6489</v>
      </c>
      <c r="D1591" s="33" t="s">
        <v>4068</v>
      </c>
      <c r="E1591" s="33" t="s">
        <v>3857</v>
      </c>
      <c r="F1591" s="33" t="s">
        <v>1864</v>
      </c>
      <c r="G1591" s="33" t="s">
        <v>6490</v>
      </c>
      <c r="H1591" s="33" t="s">
        <v>3948</v>
      </c>
      <c r="I1591" s="33" t="s">
        <v>3948</v>
      </c>
      <c r="J1591" s="33" t="s">
        <v>6503</v>
      </c>
      <c r="K1591" s="33" t="s">
        <v>3859</v>
      </c>
      <c r="L1591" s="33" t="s">
        <v>3948</v>
      </c>
      <c r="M1591" s="33" t="s">
        <v>196</v>
      </c>
      <c r="N1591" s="33" t="s">
        <v>61</v>
      </c>
      <c r="Q1591" s="33" t="s">
        <v>4050</v>
      </c>
    </row>
    <row r="1592" spans="1:17" hidden="1">
      <c r="A1592" s="33" t="s">
        <v>6504</v>
      </c>
      <c r="B1592" s="33" t="s">
        <v>6505</v>
      </c>
      <c r="C1592" s="33" t="s">
        <v>3205</v>
      </c>
      <c r="D1592" s="33" t="s">
        <v>4068</v>
      </c>
      <c r="E1592" s="33" t="s">
        <v>3857</v>
      </c>
      <c r="F1592" s="33" t="s">
        <v>1864</v>
      </c>
      <c r="G1592" s="33" t="s">
        <v>4100</v>
      </c>
      <c r="H1592" s="33" t="s">
        <v>3966</v>
      </c>
      <c r="I1592" s="33" t="s">
        <v>3966</v>
      </c>
      <c r="J1592" s="33" t="s">
        <v>6506</v>
      </c>
      <c r="K1592" s="33" t="s">
        <v>3859</v>
      </c>
      <c r="L1592" s="33" t="s">
        <v>3966</v>
      </c>
      <c r="M1592" s="33" t="s">
        <v>196</v>
      </c>
      <c r="N1592" s="33" t="s">
        <v>95</v>
      </c>
      <c r="Q1592" s="33" t="s">
        <v>4050</v>
      </c>
    </row>
    <row r="1593" spans="1:17" hidden="1">
      <c r="A1593" s="33" t="s">
        <v>6507</v>
      </c>
      <c r="B1593" s="33" t="s">
        <v>6508</v>
      </c>
      <c r="C1593" s="33" t="s">
        <v>3205</v>
      </c>
      <c r="D1593" s="33" t="s">
        <v>4068</v>
      </c>
      <c r="E1593" s="33" t="s">
        <v>3857</v>
      </c>
      <c r="F1593" s="33" t="s">
        <v>2069</v>
      </c>
      <c r="G1593" s="33" t="s">
        <v>4100</v>
      </c>
      <c r="H1593" s="33" t="s">
        <v>3966</v>
      </c>
      <c r="I1593" s="33" t="s">
        <v>3966</v>
      </c>
      <c r="J1593" s="33" t="s">
        <v>6509</v>
      </c>
      <c r="K1593" s="33" t="s">
        <v>3859</v>
      </c>
      <c r="L1593" s="33" t="s">
        <v>3966</v>
      </c>
      <c r="M1593" s="33" t="s">
        <v>196</v>
      </c>
      <c r="N1593" s="33" t="s">
        <v>95</v>
      </c>
      <c r="Q1593" s="33" t="s">
        <v>4050</v>
      </c>
    </row>
    <row r="1594" spans="1:17" hidden="1">
      <c r="A1594" s="33" t="s">
        <v>6510</v>
      </c>
      <c r="B1594" s="33" t="s">
        <v>6511</v>
      </c>
      <c r="C1594" s="33" t="s">
        <v>1819</v>
      </c>
      <c r="D1594" s="33" t="s">
        <v>4068</v>
      </c>
      <c r="E1594" s="33" t="s">
        <v>3857</v>
      </c>
      <c r="F1594" s="33" t="s">
        <v>1787</v>
      </c>
      <c r="G1594" s="33" t="s">
        <v>2324</v>
      </c>
      <c r="H1594" s="33" t="s">
        <v>3966</v>
      </c>
      <c r="I1594" s="33" t="s">
        <v>3966</v>
      </c>
      <c r="J1594" s="33" t="s">
        <v>6512</v>
      </c>
      <c r="K1594" s="33" t="s">
        <v>3859</v>
      </c>
      <c r="L1594" s="33" t="s">
        <v>3966</v>
      </c>
      <c r="M1594" s="33" t="s">
        <v>23</v>
      </c>
      <c r="N1594" s="33" t="s">
        <v>1078</v>
      </c>
      <c r="Q1594" s="33" t="s">
        <v>4050</v>
      </c>
    </row>
    <row r="1595" spans="1:17" hidden="1">
      <c r="A1595" s="33" t="s">
        <v>6513</v>
      </c>
      <c r="B1595" s="33" t="s">
        <v>6514</v>
      </c>
      <c r="C1595" s="33" t="s">
        <v>1819</v>
      </c>
      <c r="D1595" s="33" t="s">
        <v>4068</v>
      </c>
      <c r="E1595" s="33" t="s">
        <v>3857</v>
      </c>
      <c r="F1595" s="33" t="s">
        <v>1787</v>
      </c>
      <c r="G1595" s="33" t="s">
        <v>2324</v>
      </c>
      <c r="H1595" s="33" t="s">
        <v>3966</v>
      </c>
      <c r="I1595" s="33" t="s">
        <v>3966</v>
      </c>
      <c r="J1595" s="33" t="s">
        <v>6515</v>
      </c>
      <c r="K1595" s="33" t="s">
        <v>3859</v>
      </c>
      <c r="L1595" s="33" t="s">
        <v>3966</v>
      </c>
      <c r="M1595" s="33" t="s">
        <v>23</v>
      </c>
      <c r="N1595" s="33" t="s">
        <v>1078</v>
      </c>
      <c r="Q1595" s="33" t="s">
        <v>4050</v>
      </c>
    </row>
    <row r="1596" spans="1:17" hidden="1">
      <c r="A1596" s="33" t="s">
        <v>6516</v>
      </c>
      <c r="B1596" s="33" t="s">
        <v>6517</v>
      </c>
      <c r="C1596" s="33" t="s">
        <v>4748</v>
      </c>
      <c r="D1596" s="33" t="s">
        <v>4068</v>
      </c>
      <c r="E1596" s="33" t="s">
        <v>3857</v>
      </c>
      <c r="F1596" s="33" t="s">
        <v>1787</v>
      </c>
      <c r="G1596" s="33" t="s">
        <v>3467</v>
      </c>
      <c r="H1596" s="33" t="s">
        <v>3966</v>
      </c>
      <c r="I1596" s="33" t="s">
        <v>3966</v>
      </c>
      <c r="J1596" s="33" t="s">
        <v>6518</v>
      </c>
      <c r="K1596" s="33" t="s">
        <v>3859</v>
      </c>
      <c r="L1596" s="33" t="s">
        <v>3966</v>
      </c>
      <c r="M1596" s="33" t="s">
        <v>1083</v>
      </c>
      <c r="N1596" s="33" t="s">
        <v>193</v>
      </c>
      <c r="Q1596" s="33" t="s">
        <v>4050</v>
      </c>
    </row>
    <row r="1597" spans="1:17" hidden="1">
      <c r="A1597" s="33" t="s">
        <v>6519</v>
      </c>
      <c r="B1597" s="33" t="s">
        <v>6520</v>
      </c>
      <c r="C1597" s="33" t="s">
        <v>1785</v>
      </c>
      <c r="D1597" s="33" t="s">
        <v>4068</v>
      </c>
      <c r="E1597" s="33" t="s">
        <v>3857</v>
      </c>
      <c r="F1597" s="33" t="s">
        <v>1815</v>
      </c>
      <c r="G1597" s="33" t="s">
        <v>1788</v>
      </c>
      <c r="H1597" s="33" t="s">
        <v>3966</v>
      </c>
      <c r="I1597" s="33" t="s">
        <v>3966</v>
      </c>
      <c r="J1597" s="33" t="s">
        <v>6521</v>
      </c>
      <c r="K1597" s="33" t="s">
        <v>3859</v>
      </c>
      <c r="L1597" s="33" t="s">
        <v>3966</v>
      </c>
      <c r="M1597" s="33" t="s">
        <v>69</v>
      </c>
      <c r="N1597" s="33" t="s">
        <v>1083</v>
      </c>
      <c r="Q1597" s="33" t="s">
        <v>4050</v>
      </c>
    </row>
    <row r="1598" spans="1:17" hidden="1">
      <c r="A1598" s="33" t="s">
        <v>6522</v>
      </c>
      <c r="B1598" s="33" t="s">
        <v>6523</v>
      </c>
      <c r="C1598" s="33" t="s">
        <v>1785</v>
      </c>
      <c r="D1598" s="33" t="s">
        <v>4068</v>
      </c>
      <c r="E1598" s="33" t="s">
        <v>3857</v>
      </c>
      <c r="F1598" s="33" t="s">
        <v>1856</v>
      </c>
      <c r="G1598" s="33" t="s">
        <v>1788</v>
      </c>
      <c r="H1598" s="33" t="s">
        <v>3966</v>
      </c>
      <c r="I1598" s="33" t="s">
        <v>3966</v>
      </c>
      <c r="J1598" s="33" t="s">
        <v>6524</v>
      </c>
      <c r="K1598" s="33" t="s">
        <v>3859</v>
      </c>
      <c r="L1598" s="33" t="s">
        <v>3966</v>
      </c>
      <c r="M1598" s="33" t="s">
        <v>69</v>
      </c>
      <c r="N1598" s="33" t="s">
        <v>1083</v>
      </c>
      <c r="Q1598" s="33" t="s">
        <v>4050</v>
      </c>
    </row>
    <row r="1599" spans="1:17" hidden="1">
      <c r="A1599" s="33" t="s">
        <v>6525</v>
      </c>
      <c r="B1599" s="33" t="s">
        <v>6526</v>
      </c>
      <c r="C1599" s="33" t="s">
        <v>4748</v>
      </c>
      <c r="D1599" s="33" t="s">
        <v>4068</v>
      </c>
      <c r="E1599" s="33" t="s">
        <v>3857</v>
      </c>
      <c r="F1599" s="33" t="s">
        <v>1787</v>
      </c>
      <c r="G1599" s="33" t="s">
        <v>3467</v>
      </c>
      <c r="H1599" s="33" t="s">
        <v>3966</v>
      </c>
      <c r="I1599" s="33" t="s">
        <v>3966</v>
      </c>
      <c r="J1599" s="33" t="s">
        <v>6527</v>
      </c>
      <c r="K1599" s="33" t="s">
        <v>3859</v>
      </c>
      <c r="L1599" s="33" t="s">
        <v>3966</v>
      </c>
      <c r="M1599" s="33" t="s">
        <v>1083</v>
      </c>
      <c r="N1599" s="33" t="s">
        <v>193</v>
      </c>
      <c r="Q1599" s="33" t="s">
        <v>4050</v>
      </c>
    </row>
    <row r="1600" spans="1:17" hidden="1">
      <c r="A1600" s="33" t="s">
        <v>6528</v>
      </c>
      <c r="B1600" s="33" t="s">
        <v>6529</v>
      </c>
      <c r="C1600" s="33" t="s">
        <v>4748</v>
      </c>
      <c r="D1600" s="33" t="s">
        <v>4068</v>
      </c>
      <c r="E1600" s="33" t="s">
        <v>3857</v>
      </c>
      <c r="F1600" s="33" t="s">
        <v>1787</v>
      </c>
      <c r="G1600" s="33" t="s">
        <v>3467</v>
      </c>
      <c r="H1600" s="33" t="s">
        <v>3966</v>
      </c>
      <c r="I1600" s="33" t="s">
        <v>3966</v>
      </c>
      <c r="J1600" s="33" t="s">
        <v>6530</v>
      </c>
      <c r="K1600" s="33" t="s">
        <v>3859</v>
      </c>
      <c r="L1600" s="33" t="s">
        <v>3966</v>
      </c>
      <c r="M1600" s="33" t="s">
        <v>197</v>
      </c>
      <c r="N1600" s="33" t="s">
        <v>78</v>
      </c>
      <c r="Q1600" s="33" t="s">
        <v>4050</v>
      </c>
    </row>
    <row r="1601" spans="1:17" hidden="1">
      <c r="A1601" s="33" t="s">
        <v>6531</v>
      </c>
      <c r="B1601" s="33" t="s">
        <v>6532</v>
      </c>
      <c r="C1601" s="33" t="s">
        <v>1819</v>
      </c>
      <c r="D1601" s="33" t="s">
        <v>4068</v>
      </c>
      <c r="E1601" s="33" t="s">
        <v>3857</v>
      </c>
      <c r="F1601" s="33" t="s">
        <v>1815</v>
      </c>
      <c r="G1601" s="33" t="s">
        <v>1954</v>
      </c>
      <c r="H1601" s="33" t="s">
        <v>3966</v>
      </c>
      <c r="I1601" s="33" t="s">
        <v>3966</v>
      </c>
      <c r="J1601" s="33" t="s">
        <v>6533</v>
      </c>
      <c r="K1601" s="33" t="s">
        <v>3859</v>
      </c>
      <c r="L1601" s="33" t="s">
        <v>3966</v>
      </c>
      <c r="M1601" s="33" t="s">
        <v>23</v>
      </c>
      <c r="N1601" s="33" t="s">
        <v>1078</v>
      </c>
      <c r="Q1601" s="33" t="s">
        <v>4050</v>
      </c>
    </row>
    <row r="1602" spans="1:17" hidden="1">
      <c r="A1602" s="33" t="s">
        <v>6534</v>
      </c>
      <c r="B1602" s="33" t="s">
        <v>6535</v>
      </c>
      <c r="C1602" s="33" t="s">
        <v>1819</v>
      </c>
      <c r="D1602" s="33" t="s">
        <v>4068</v>
      </c>
      <c r="E1602" s="33" t="s">
        <v>3857</v>
      </c>
      <c r="F1602" s="33" t="s">
        <v>1787</v>
      </c>
      <c r="G1602" s="33" t="s">
        <v>1954</v>
      </c>
      <c r="H1602" s="33" t="s">
        <v>3966</v>
      </c>
      <c r="I1602" s="33" t="s">
        <v>3966</v>
      </c>
      <c r="J1602" s="33" t="s">
        <v>6536</v>
      </c>
      <c r="K1602" s="33" t="s">
        <v>3859</v>
      </c>
      <c r="L1602" s="33" t="s">
        <v>3966</v>
      </c>
      <c r="M1602" s="33" t="s">
        <v>23</v>
      </c>
      <c r="N1602" s="33" t="s">
        <v>1078</v>
      </c>
      <c r="Q1602" s="33" t="s">
        <v>4050</v>
      </c>
    </row>
    <row r="1603" spans="1:17" hidden="1">
      <c r="A1603" s="33" t="s">
        <v>6537</v>
      </c>
      <c r="B1603" s="33" t="s">
        <v>6538</v>
      </c>
      <c r="C1603" s="33" t="s">
        <v>2147</v>
      </c>
      <c r="D1603" s="33" t="s">
        <v>4068</v>
      </c>
      <c r="E1603" s="33" t="s">
        <v>3857</v>
      </c>
      <c r="F1603" s="33" t="s">
        <v>1787</v>
      </c>
      <c r="G1603" s="33" t="s">
        <v>86</v>
      </c>
      <c r="H1603" s="33" t="s">
        <v>3966</v>
      </c>
      <c r="I1603" s="33" t="s">
        <v>3966</v>
      </c>
      <c r="J1603" s="33" t="s">
        <v>6539</v>
      </c>
      <c r="K1603" s="33" t="s">
        <v>3859</v>
      </c>
      <c r="L1603" s="33" t="s">
        <v>3966</v>
      </c>
      <c r="M1603" s="33" t="s">
        <v>82</v>
      </c>
      <c r="N1603" s="33" t="s">
        <v>1763</v>
      </c>
      <c r="Q1603" s="33" t="s">
        <v>4050</v>
      </c>
    </row>
    <row r="1604" spans="1:17" hidden="1">
      <c r="A1604" s="33" t="s">
        <v>6540</v>
      </c>
      <c r="B1604" s="33" t="s">
        <v>6541</v>
      </c>
      <c r="C1604" s="33" t="s">
        <v>1980</v>
      </c>
      <c r="D1604" s="33" t="s">
        <v>4068</v>
      </c>
      <c r="E1604" s="33" t="s">
        <v>3857</v>
      </c>
      <c r="F1604" s="33" t="s">
        <v>1787</v>
      </c>
      <c r="G1604" s="33" t="s">
        <v>1981</v>
      </c>
      <c r="H1604" s="33" t="s">
        <v>3989</v>
      </c>
      <c r="I1604" s="33" t="s">
        <v>3989</v>
      </c>
      <c r="J1604" s="33" t="s">
        <v>6542</v>
      </c>
      <c r="K1604" s="33" t="s">
        <v>3859</v>
      </c>
      <c r="L1604" s="33" t="s">
        <v>3989</v>
      </c>
      <c r="M1604" s="33" t="s">
        <v>3310</v>
      </c>
      <c r="N1604" s="33" t="s">
        <v>69</v>
      </c>
      <c r="Q1604" s="33" t="s">
        <v>4050</v>
      </c>
    </row>
    <row r="1605" spans="1:17" hidden="1">
      <c r="A1605" s="33" t="s">
        <v>6543</v>
      </c>
      <c r="B1605" s="33" t="s">
        <v>6544</v>
      </c>
      <c r="C1605" s="33" t="s">
        <v>4748</v>
      </c>
      <c r="D1605" s="33" t="s">
        <v>4068</v>
      </c>
      <c r="E1605" s="33" t="s">
        <v>3857</v>
      </c>
      <c r="F1605" s="33" t="s">
        <v>1787</v>
      </c>
      <c r="G1605" s="33" t="s">
        <v>5039</v>
      </c>
      <c r="H1605" s="33" t="s">
        <v>3989</v>
      </c>
      <c r="I1605" s="33" t="s">
        <v>3989</v>
      </c>
      <c r="J1605" s="33" t="s">
        <v>6545</v>
      </c>
      <c r="K1605" s="33" t="s">
        <v>3859</v>
      </c>
      <c r="L1605" s="33" t="s">
        <v>3989</v>
      </c>
      <c r="M1605" s="33" t="s">
        <v>193</v>
      </c>
      <c r="N1605" s="33" t="s">
        <v>193</v>
      </c>
      <c r="Q1605" s="33" t="s">
        <v>4050</v>
      </c>
    </row>
    <row r="1606" spans="1:17" hidden="1">
      <c r="A1606" s="33" t="s">
        <v>5704</v>
      </c>
      <c r="B1606" s="33" t="s">
        <v>6546</v>
      </c>
      <c r="C1606" s="33" t="s">
        <v>4748</v>
      </c>
      <c r="D1606" s="33" t="s">
        <v>4068</v>
      </c>
      <c r="E1606" s="33" t="s">
        <v>3857</v>
      </c>
      <c r="F1606" s="33" t="s">
        <v>1787</v>
      </c>
      <c r="G1606" s="33" t="s">
        <v>5039</v>
      </c>
      <c r="H1606" s="33" t="s">
        <v>3989</v>
      </c>
      <c r="I1606" s="33" t="s">
        <v>3989</v>
      </c>
      <c r="J1606" s="33" t="s">
        <v>6547</v>
      </c>
      <c r="K1606" s="33" t="s">
        <v>3859</v>
      </c>
      <c r="L1606" s="33" t="s">
        <v>3989</v>
      </c>
      <c r="M1606" s="33" t="s">
        <v>193</v>
      </c>
      <c r="N1606" s="33" t="s">
        <v>193</v>
      </c>
      <c r="Q1606" s="33" t="s">
        <v>4050</v>
      </c>
    </row>
    <row r="1607" spans="1:17" hidden="1">
      <c r="A1607" s="33" t="s">
        <v>6548</v>
      </c>
      <c r="B1607" s="33" t="s">
        <v>6549</v>
      </c>
      <c r="C1607" s="33" t="s">
        <v>1785</v>
      </c>
      <c r="D1607" s="33" t="s">
        <v>4068</v>
      </c>
      <c r="E1607" s="33" t="s">
        <v>3857</v>
      </c>
      <c r="F1607" s="33" t="s">
        <v>1815</v>
      </c>
      <c r="G1607" s="33" t="s">
        <v>1788</v>
      </c>
      <c r="H1607" s="33" t="s">
        <v>6550</v>
      </c>
      <c r="I1607" s="33" t="s">
        <v>6550</v>
      </c>
      <c r="J1607" s="33" t="s">
        <v>6551</v>
      </c>
      <c r="K1607" s="33" t="s">
        <v>3859</v>
      </c>
      <c r="L1607" s="33" t="s">
        <v>6550</v>
      </c>
      <c r="M1607" s="33" t="s">
        <v>69</v>
      </c>
      <c r="N1607" s="33" t="s">
        <v>1083</v>
      </c>
      <c r="Q1607" s="33" t="s">
        <v>4050</v>
      </c>
    </row>
    <row r="1608" spans="1:17" hidden="1">
      <c r="A1608" s="33" t="s">
        <v>6548</v>
      </c>
      <c r="B1608" s="33" t="s">
        <v>6552</v>
      </c>
      <c r="C1608" s="33" t="s">
        <v>1785</v>
      </c>
      <c r="D1608" s="33" t="s">
        <v>4068</v>
      </c>
      <c r="E1608" s="33" t="s">
        <v>3857</v>
      </c>
      <c r="F1608" s="33" t="s">
        <v>1815</v>
      </c>
      <c r="G1608" s="33" t="s">
        <v>1788</v>
      </c>
      <c r="H1608" s="33" t="s">
        <v>6550</v>
      </c>
      <c r="I1608" s="33" t="s">
        <v>6550</v>
      </c>
      <c r="J1608" s="33" t="s">
        <v>6553</v>
      </c>
      <c r="K1608" s="33" t="s">
        <v>3859</v>
      </c>
      <c r="L1608" s="33" t="s">
        <v>6550</v>
      </c>
      <c r="M1608" s="33" t="s">
        <v>69</v>
      </c>
      <c r="N1608" s="33" t="s">
        <v>1083</v>
      </c>
      <c r="Q1608" s="33" t="s">
        <v>4050</v>
      </c>
    </row>
    <row r="1609" spans="1:17" hidden="1">
      <c r="A1609" s="33" t="s">
        <v>6554</v>
      </c>
      <c r="B1609" s="33" t="s">
        <v>6555</v>
      </c>
      <c r="C1609" s="33" t="s">
        <v>1785</v>
      </c>
      <c r="D1609" s="33" t="s">
        <v>4068</v>
      </c>
      <c r="E1609" s="33" t="s">
        <v>3857</v>
      </c>
      <c r="F1609" s="33" t="s">
        <v>1787</v>
      </c>
      <c r="G1609" s="33" t="s">
        <v>3836</v>
      </c>
      <c r="H1609" s="33" t="s">
        <v>3696</v>
      </c>
      <c r="I1609" s="33" t="s">
        <v>3696</v>
      </c>
      <c r="J1609" s="33" t="s">
        <v>6556</v>
      </c>
      <c r="K1609" s="33" t="s">
        <v>3859</v>
      </c>
      <c r="L1609" s="33" t="s">
        <v>3696</v>
      </c>
      <c r="M1609" s="33" t="s">
        <v>23</v>
      </c>
      <c r="N1609" s="33" t="s">
        <v>1083</v>
      </c>
      <c r="Q1609" s="33" t="s">
        <v>4050</v>
      </c>
    </row>
    <row r="1610" spans="1:17" hidden="1">
      <c r="A1610" s="33" t="s">
        <v>6557</v>
      </c>
      <c r="B1610" s="33" t="s">
        <v>6558</v>
      </c>
      <c r="C1610" s="33" t="s">
        <v>2020</v>
      </c>
      <c r="D1610" s="33" t="s">
        <v>4068</v>
      </c>
      <c r="E1610" s="33" t="s">
        <v>3857</v>
      </c>
      <c r="F1610" s="33" t="s">
        <v>1787</v>
      </c>
      <c r="G1610" s="33" t="s">
        <v>5318</v>
      </c>
      <c r="H1610" s="33" t="s">
        <v>3696</v>
      </c>
      <c r="I1610" s="33" t="s">
        <v>3696</v>
      </c>
      <c r="J1610" s="33" t="s">
        <v>6559</v>
      </c>
      <c r="K1610" s="33" t="s">
        <v>3859</v>
      </c>
      <c r="L1610" s="33" t="s">
        <v>3696</v>
      </c>
      <c r="M1610" s="33" t="s">
        <v>196</v>
      </c>
      <c r="N1610" s="33" t="s">
        <v>970</v>
      </c>
      <c r="Q1610" s="33" t="s">
        <v>4050</v>
      </c>
    </row>
    <row r="1611" spans="1:17" hidden="1">
      <c r="A1611" s="33" t="s">
        <v>6560</v>
      </c>
      <c r="B1611" s="33" t="s">
        <v>6561</v>
      </c>
      <c r="C1611" s="33" t="s">
        <v>2205</v>
      </c>
      <c r="D1611" s="33" t="s">
        <v>4068</v>
      </c>
      <c r="E1611" s="33" t="s">
        <v>3857</v>
      </c>
      <c r="F1611" s="33" t="s">
        <v>1856</v>
      </c>
      <c r="G1611" s="33" t="s">
        <v>6562</v>
      </c>
      <c r="H1611" s="33" t="s">
        <v>3696</v>
      </c>
      <c r="I1611" s="33" t="s">
        <v>3696</v>
      </c>
      <c r="J1611" s="33" t="s">
        <v>6563</v>
      </c>
      <c r="K1611" s="33" t="s">
        <v>3859</v>
      </c>
      <c r="L1611" s="33" t="s">
        <v>3696</v>
      </c>
      <c r="M1611" s="33" t="s">
        <v>1397</v>
      </c>
      <c r="N1611" s="33" t="s">
        <v>77</v>
      </c>
      <c r="Q1611" s="33" t="s">
        <v>4050</v>
      </c>
    </row>
    <row r="1612" spans="1:17" hidden="1">
      <c r="A1612" s="33" t="s">
        <v>6564</v>
      </c>
      <c r="B1612" s="33" t="s">
        <v>6565</v>
      </c>
      <c r="C1612" s="33" t="s">
        <v>2205</v>
      </c>
      <c r="D1612" s="33" t="s">
        <v>4068</v>
      </c>
      <c r="E1612" s="33" t="s">
        <v>3857</v>
      </c>
      <c r="F1612" s="33" t="s">
        <v>1787</v>
      </c>
      <c r="G1612" s="33" t="s">
        <v>6562</v>
      </c>
      <c r="H1612" s="33" t="s">
        <v>3696</v>
      </c>
      <c r="I1612" s="33" t="s">
        <v>3696</v>
      </c>
      <c r="J1612" s="33" t="s">
        <v>6566</v>
      </c>
      <c r="K1612" s="33" t="s">
        <v>3859</v>
      </c>
      <c r="L1612" s="33" t="s">
        <v>3696</v>
      </c>
      <c r="M1612" s="33" t="s">
        <v>108</v>
      </c>
      <c r="N1612" s="33" t="s">
        <v>1402</v>
      </c>
      <c r="Q1612" s="33" t="s">
        <v>4050</v>
      </c>
    </row>
    <row r="1613" spans="1:17" hidden="1">
      <c r="A1613" s="33" t="s">
        <v>6567</v>
      </c>
      <c r="B1613" s="33" t="s">
        <v>6568</v>
      </c>
      <c r="C1613" s="33" t="s">
        <v>4748</v>
      </c>
      <c r="D1613" s="33" t="s">
        <v>4068</v>
      </c>
      <c r="E1613" s="33" t="s">
        <v>3857</v>
      </c>
      <c r="F1613" s="33" t="s">
        <v>1787</v>
      </c>
      <c r="G1613" s="33" t="s">
        <v>5039</v>
      </c>
      <c r="H1613" s="33" t="s">
        <v>3696</v>
      </c>
      <c r="I1613" s="33" t="s">
        <v>3696</v>
      </c>
      <c r="J1613" s="33" t="s">
        <v>6569</v>
      </c>
      <c r="K1613" s="33" t="s">
        <v>3859</v>
      </c>
      <c r="L1613" s="33" t="s">
        <v>3696</v>
      </c>
      <c r="M1613" s="33" t="s">
        <v>193</v>
      </c>
      <c r="N1613" s="33" t="s">
        <v>193</v>
      </c>
      <c r="Q1613" s="33" t="s">
        <v>4050</v>
      </c>
    </row>
    <row r="1614" spans="1:17" hidden="1">
      <c r="A1614" s="33" t="s">
        <v>6570</v>
      </c>
      <c r="B1614" s="33" t="s">
        <v>6571</v>
      </c>
      <c r="C1614" s="33" t="s">
        <v>1980</v>
      </c>
      <c r="D1614" s="33" t="s">
        <v>4068</v>
      </c>
      <c r="E1614" s="33" t="s">
        <v>3857</v>
      </c>
      <c r="F1614" s="33" t="s">
        <v>2069</v>
      </c>
      <c r="G1614" s="33" t="s">
        <v>1981</v>
      </c>
      <c r="H1614" s="33" t="s">
        <v>3696</v>
      </c>
      <c r="I1614" s="33" t="s">
        <v>3696</v>
      </c>
      <c r="J1614" s="33" t="s">
        <v>6572</v>
      </c>
      <c r="K1614" s="33" t="s">
        <v>3859</v>
      </c>
      <c r="L1614" s="33" t="s">
        <v>3696</v>
      </c>
      <c r="M1614" s="33" t="s">
        <v>95</v>
      </c>
      <c r="N1614" s="33" t="s">
        <v>69</v>
      </c>
      <c r="Q1614" s="33" t="s">
        <v>4050</v>
      </c>
    </row>
    <row r="1615" spans="1:17" hidden="1">
      <c r="A1615" s="33" t="s">
        <v>6573</v>
      </c>
      <c r="B1615" s="33" t="s">
        <v>6574</v>
      </c>
      <c r="C1615" s="33" t="s">
        <v>2205</v>
      </c>
      <c r="D1615" s="33" t="s">
        <v>4068</v>
      </c>
      <c r="E1615" s="33" t="s">
        <v>3857</v>
      </c>
      <c r="F1615" s="33" t="s">
        <v>1787</v>
      </c>
      <c r="G1615" s="33" t="s">
        <v>5014</v>
      </c>
      <c r="H1615" s="33" t="s">
        <v>3696</v>
      </c>
      <c r="I1615" s="33" t="s">
        <v>3696</v>
      </c>
      <c r="J1615" s="33" t="s">
        <v>6575</v>
      </c>
      <c r="K1615" s="33" t="s">
        <v>3859</v>
      </c>
      <c r="L1615" s="33" t="s">
        <v>3696</v>
      </c>
      <c r="M1615" s="33" t="s">
        <v>77</v>
      </c>
      <c r="N1615" s="33" t="s">
        <v>77</v>
      </c>
      <c r="Q1615" s="33" t="s">
        <v>4050</v>
      </c>
    </row>
    <row r="1616" spans="1:17" hidden="1">
      <c r="A1616" s="33" t="s">
        <v>6567</v>
      </c>
      <c r="B1616" s="33" t="s">
        <v>6576</v>
      </c>
      <c r="C1616" s="33" t="s">
        <v>4748</v>
      </c>
      <c r="D1616" s="33" t="s">
        <v>4068</v>
      </c>
      <c r="E1616" s="33" t="s">
        <v>3857</v>
      </c>
      <c r="F1616" s="33" t="s">
        <v>1787</v>
      </c>
      <c r="G1616" s="33" t="s">
        <v>5039</v>
      </c>
      <c r="H1616" s="33" t="s">
        <v>3696</v>
      </c>
      <c r="I1616" s="33" t="s">
        <v>3696</v>
      </c>
      <c r="J1616" s="33" t="s">
        <v>6577</v>
      </c>
      <c r="K1616" s="33" t="s">
        <v>3859</v>
      </c>
      <c r="L1616" s="33" t="s">
        <v>3696</v>
      </c>
      <c r="M1616" s="33" t="s">
        <v>193</v>
      </c>
      <c r="N1616" s="33" t="s">
        <v>193</v>
      </c>
      <c r="Q1616" s="33" t="s">
        <v>4050</v>
      </c>
    </row>
    <row r="1617" spans="1:17" hidden="1">
      <c r="A1617" s="33" t="s">
        <v>6567</v>
      </c>
      <c r="B1617" s="33" t="s">
        <v>6578</v>
      </c>
      <c r="C1617" s="33" t="s">
        <v>4748</v>
      </c>
      <c r="D1617" s="33" t="s">
        <v>4068</v>
      </c>
      <c r="E1617" s="33" t="s">
        <v>3857</v>
      </c>
      <c r="F1617" s="33" t="s">
        <v>1787</v>
      </c>
      <c r="G1617" s="33" t="s">
        <v>5039</v>
      </c>
      <c r="H1617" s="33" t="s">
        <v>3696</v>
      </c>
      <c r="I1617" s="33" t="s">
        <v>3696</v>
      </c>
      <c r="J1617" s="33" t="s">
        <v>6579</v>
      </c>
      <c r="K1617" s="33" t="s">
        <v>3859</v>
      </c>
      <c r="L1617" s="33" t="s">
        <v>3696</v>
      </c>
      <c r="M1617" s="33" t="s">
        <v>193</v>
      </c>
      <c r="N1617" s="33" t="s">
        <v>193</v>
      </c>
      <c r="Q1617" s="33" t="s">
        <v>4050</v>
      </c>
    </row>
    <row r="1618" spans="1:17" hidden="1">
      <c r="A1618" s="33" t="s">
        <v>6567</v>
      </c>
      <c r="B1618" s="33" t="s">
        <v>6580</v>
      </c>
      <c r="C1618" s="33" t="s">
        <v>4748</v>
      </c>
      <c r="D1618" s="33" t="s">
        <v>4068</v>
      </c>
      <c r="E1618" s="33" t="s">
        <v>3857</v>
      </c>
      <c r="F1618" s="33" t="s">
        <v>1787</v>
      </c>
      <c r="G1618" s="33" t="s">
        <v>5039</v>
      </c>
      <c r="H1618" s="33" t="s">
        <v>3696</v>
      </c>
      <c r="I1618" s="33" t="s">
        <v>3696</v>
      </c>
      <c r="J1618" s="33" t="s">
        <v>6581</v>
      </c>
      <c r="K1618" s="33" t="s">
        <v>3859</v>
      </c>
      <c r="L1618" s="33" t="s">
        <v>3696</v>
      </c>
      <c r="M1618" s="33" t="s">
        <v>193</v>
      </c>
      <c r="N1618" s="33" t="s">
        <v>193</v>
      </c>
      <c r="Q1618" s="33" t="s">
        <v>4050</v>
      </c>
    </row>
    <row r="1619" spans="1:17" hidden="1">
      <c r="A1619" s="33" t="s">
        <v>6567</v>
      </c>
      <c r="B1619" s="33" t="s">
        <v>6582</v>
      </c>
      <c r="C1619" s="33" t="s">
        <v>4748</v>
      </c>
      <c r="D1619" s="33" t="s">
        <v>4068</v>
      </c>
      <c r="E1619" s="33" t="s">
        <v>3857</v>
      </c>
      <c r="F1619" s="33" t="s">
        <v>1787</v>
      </c>
      <c r="G1619" s="33" t="s">
        <v>5039</v>
      </c>
      <c r="H1619" s="33" t="s">
        <v>3696</v>
      </c>
      <c r="I1619" s="33" t="s">
        <v>3696</v>
      </c>
      <c r="J1619" s="33" t="s">
        <v>6583</v>
      </c>
      <c r="K1619" s="33" t="s">
        <v>3859</v>
      </c>
      <c r="L1619" s="33" t="s">
        <v>3696</v>
      </c>
      <c r="M1619" s="33" t="s">
        <v>193</v>
      </c>
      <c r="N1619" s="33" t="s">
        <v>193</v>
      </c>
      <c r="Q1619" s="33" t="s">
        <v>4050</v>
      </c>
    </row>
    <row r="1620" spans="1:17" hidden="1">
      <c r="A1620" s="33" t="s">
        <v>4527</v>
      </c>
      <c r="B1620" s="33" t="s">
        <v>6584</v>
      </c>
      <c r="C1620" s="33" t="s">
        <v>4529</v>
      </c>
      <c r="D1620" s="33" t="s">
        <v>4068</v>
      </c>
      <c r="E1620" s="33" t="s">
        <v>3857</v>
      </c>
      <c r="F1620" s="33" t="s">
        <v>1815</v>
      </c>
      <c r="G1620" s="33" t="s">
        <v>4530</v>
      </c>
      <c r="H1620" s="33" t="s">
        <v>3696</v>
      </c>
      <c r="I1620" s="33" t="s">
        <v>3696</v>
      </c>
      <c r="J1620" s="33" t="s">
        <v>6585</v>
      </c>
      <c r="K1620" s="33" t="s">
        <v>3859</v>
      </c>
      <c r="L1620" s="33" t="s">
        <v>3696</v>
      </c>
      <c r="M1620" s="33" t="s">
        <v>193</v>
      </c>
      <c r="N1620" s="33" t="s">
        <v>128</v>
      </c>
      <c r="Q1620" s="33" t="s">
        <v>4050</v>
      </c>
    </row>
    <row r="1621" spans="1:17" hidden="1">
      <c r="A1621" s="33" t="s">
        <v>6586</v>
      </c>
      <c r="B1621" s="33" t="s">
        <v>6587</v>
      </c>
      <c r="C1621" s="33" t="s">
        <v>3205</v>
      </c>
      <c r="D1621" s="33" t="s">
        <v>4068</v>
      </c>
      <c r="E1621" s="33" t="s">
        <v>3857</v>
      </c>
      <c r="F1621" s="33" t="s">
        <v>1815</v>
      </c>
      <c r="G1621" s="33" t="s">
        <v>3883</v>
      </c>
      <c r="H1621" s="33" t="s">
        <v>3696</v>
      </c>
      <c r="I1621" s="33" t="s">
        <v>3696</v>
      </c>
      <c r="J1621" s="33" t="s">
        <v>6588</v>
      </c>
      <c r="K1621" s="33" t="s">
        <v>3859</v>
      </c>
      <c r="L1621" s="33" t="s">
        <v>3696</v>
      </c>
      <c r="M1621" s="33" t="s">
        <v>69</v>
      </c>
      <c r="N1621" s="33" t="s">
        <v>95</v>
      </c>
      <c r="Q1621" s="33" t="s">
        <v>4050</v>
      </c>
    </row>
    <row r="1622" spans="1:17" hidden="1">
      <c r="A1622" s="33" t="s">
        <v>6589</v>
      </c>
      <c r="B1622" s="33" t="s">
        <v>6590</v>
      </c>
      <c r="C1622" s="33" t="s">
        <v>3205</v>
      </c>
      <c r="D1622" s="33" t="s">
        <v>4068</v>
      </c>
      <c r="E1622" s="33" t="s">
        <v>3857</v>
      </c>
      <c r="F1622" s="33" t="s">
        <v>1815</v>
      </c>
      <c r="G1622" s="33" t="s">
        <v>3883</v>
      </c>
      <c r="H1622" s="33" t="s">
        <v>3696</v>
      </c>
      <c r="I1622" s="33" t="s">
        <v>3696</v>
      </c>
      <c r="J1622" s="33" t="s">
        <v>6591</v>
      </c>
      <c r="K1622" s="33" t="s">
        <v>3859</v>
      </c>
      <c r="L1622" s="33" t="s">
        <v>3696</v>
      </c>
      <c r="M1622" s="33" t="s">
        <v>69</v>
      </c>
      <c r="N1622" s="33" t="s">
        <v>95</v>
      </c>
      <c r="Q1622" s="33" t="s">
        <v>4050</v>
      </c>
    </row>
    <row r="1623" spans="1:17" hidden="1">
      <c r="A1623" s="33" t="s">
        <v>6592</v>
      </c>
      <c r="B1623" s="33" t="s">
        <v>6593</v>
      </c>
      <c r="C1623" s="33" t="s">
        <v>4529</v>
      </c>
      <c r="D1623" s="33" t="s">
        <v>4068</v>
      </c>
      <c r="E1623" s="33" t="s">
        <v>3857</v>
      </c>
      <c r="F1623" s="33" t="s">
        <v>1815</v>
      </c>
      <c r="G1623" s="33" t="s">
        <v>4530</v>
      </c>
      <c r="H1623" s="33" t="s">
        <v>4039</v>
      </c>
      <c r="I1623" s="33" t="s">
        <v>4039</v>
      </c>
      <c r="J1623" s="33" t="s">
        <v>6594</v>
      </c>
      <c r="K1623" s="33" t="s">
        <v>3859</v>
      </c>
      <c r="L1623" s="33" t="s">
        <v>4039</v>
      </c>
      <c r="M1623" s="33" t="s">
        <v>82</v>
      </c>
      <c r="N1623" s="33" t="s">
        <v>128</v>
      </c>
      <c r="Q1623" s="33" t="s">
        <v>4050</v>
      </c>
    </row>
    <row r="1624" spans="1:17" hidden="1">
      <c r="A1624" s="33" t="s">
        <v>6548</v>
      </c>
      <c r="B1624" s="33" t="s">
        <v>6595</v>
      </c>
      <c r="C1624" s="33" t="s">
        <v>1785</v>
      </c>
      <c r="D1624" s="33" t="s">
        <v>4068</v>
      </c>
      <c r="E1624" s="33" t="s">
        <v>3857</v>
      </c>
      <c r="F1624" s="33" t="s">
        <v>1815</v>
      </c>
      <c r="G1624" s="33" t="s">
        <v>1788</v>
      </c>
      <c r="H1624" s="33" t="s">
        <v>4039</v>
      </c>
      <c r="I1624" s="33" t="s">
        <v>4039</v>
      </c>
      <c r="J1624" s="33" t="s">
        <v>6596</v>
      </c>
      <c r="K1624" s="33" t="s">
        <v>3859</v>
      </c>
      <c r="L1624" s="33" t="s">
        <v>4039</v>
      </c>
      <c r="M1624" s="33" t="s">
        <v>80</v>
      </c>
      <c r="N1624" s="33" t="s">
        <v>1083</v>
      </c>
      <c r="Q1624" s="33" t="s">
        <v>4050</v>
      </c>
    </row>
    <row r="1625" spans="1:17" hidden="1">
      <c r="A1625" s="33" t="s">
        <v>6597</v>
      </c>
      <c r="B1625" s="33" t="s">
        <v>6598</v>
      </c>
      <c r="C1625" s="33" t="s">
        <v>6599</v>
      </c>
      <c r="D1625" s="33" t="s">
        <v>45</v>
      </c>
      <c r="E1625" s="33" t="s">
        <v>6600</v>
      </c>
      <c r="F1625" s="33" t="s">
        <v>1856</v>
      </c>
      <c r="G1625" s="33" t="s">
        <v>45</v>
      </c>
      <c r="H1625" s="33" t="s">
        <v>2016</v>
      </c>
      <c r="I1625" s="33" t="s">
        <v>2016</v>
      </c>
      <c r="J1625" s="33" t="s">
        <v>6601</v>
      </c>
      <c r="K1625" s="33" t="s">
        <v>6602</v>
      </c>
      <c r="L1625" s="33" t="s">
        <v>3273</v>
      </c>
      <c r="M1625" s="33" t="str">
        <f>_xlfn.XLOOKUP(Tabela14[[#This Row],[Responsável]],Organograma!H:H,Organograma!G:G,"")</f>
        <v>OUV - Ouvidoria</v>
      </c>
      <c r="O1625" s="33" t="s">
        <v>1764</v>
      </c>
      <c r="Q1625" s="33" t="s">
        <v>6603</v>
      </c>
    </row>
    <row r="1626" spans="1:17">
      <c r="A1626" s="33" t="s">
        <v>6604</v>
      </c>
      <c r="B1626" s="33" t="s">
        <v>6605</v>
      </c>
      <c r="C1626" s="33" t="s">
        <v>6599</v>
      </c>
      <c r="D1626" s="33" t="s">
        <v>68</v>
      </c>
      <c r="E1626" s="33" t="s">
        <v>3976</v>
      </c>
      <c r="F1626" s="33" t="s">
        <v>2011</v>
      </c>
      <c r="G1626" s="33" t="s">
        <v>45</v>
      </c>
      <c r="H1626" s="33" t="s">
        <v>2016</v>
      </c>
      <c r="I1626" s="33" t="s">
        <v>2016</v>
      </c>
      <c r="J1626" s="33" t="s">
        <v>6606</v>
      </c>
      <c r="K1626" s="33" t="s">
        <v>1791</v>
      </c>
      <c r="L1626" s="33" t="s">
        <v>2027</v>
      </c>
      <c r="M1626" s="33" t="str">
        <f>_xlfn.XLOOKUP(Tabela14[[#This Row],[Responsável]],Organograma!H:H,Organograma!G:G,"")</f>
        <v>UICC - Unidade de Internação Cirúrgica</v>
      </c>
      <c r="O1626" s="33" t="s">
        <v>1764</v>
      </c>
      <c r="Q1626" s="33" t="s">
        <v>6603</v>
      </c>
    </row>
    <row r="1627" spans="1:17" hidden="1">
      <c r="A1627" s="33" t="s">
        <v>6607</v>
      </c>
      <c r="B1627" s="33" t="s">
        <v>6608</v>
      </c>
      <c r="C1627" s="33" t="s">
        <v>6599</v>
      </c>
      <c r="D1627" s="33" t="s">
        <v>51</v>
      </c>
      <c r="E1627" s="33" t="s">
        <v>6609</v>
      </c>
      <c r="F1627" s="33" t="s">
        <v>1856</v>
      </c>
      <c r="G1627" s="33" t="s">
        <v>45</v>
      </c>
      <c r="H1627" s="33" t="s">
        <v>2027</v>
      </c>
      <c r="I1627" s="33" t="s">
        <v>2027</v>
      </c>
      <c r="J1627" s="33" t="s">
        <v>6610</v>
      </c>
      <c r="K1627" s="33" t="s">
        <v>6611</v>
      </c>
      <c r="L1627" s="33" t="s">
        <v>2027</v>
      </c>
      <c r="M1627" s="33" t="str">
        <f>_xlfn.XLOOKUP(Tabela14[[#This Row],[Responsável]],Organograma!H:H,Organograma!G:G,"")</f>
        <v>FIS - Fisioterapia</v>
      </c>
      <c r="O1627" s="33" t="s">
        <v>1764</v>
      </c>
      <c r="Q1627" s="33" t="s">
        <v>6603</v>
      </c>
    </row>
    <row r="1628" spans="1:17">
      <c r="A1628" s="33" t="s">
        <v>6604</v>
      </c>
      <c r="B1628" s="33" t="s">
        <v>6612</v>
      </c>
      <c r="C1628" s="33" t="s">
        <v>6599</v>
      </c>
      <c r="D1628" s="33" t="s">
        <v>79</v>
      </c>
      <c r="E1628" s="33" t="s">
        <v>3976</v>
      </c>
      <c r="F1628" s="33" t="s">
        <v>1888</v>
      </c>
      <c r="G1628" s="33" t="s">
        <v>45</v>
      </c>
      <c r="H1628" s="33" t="s">
        <v>2027</v>
      </c>
      <c r="I1628" s="33" t="s">
        <v>2027</v>
      </c>
      <c r="J1628" s="33" t="s">
        <v>6613</v>
      </c>
      <c r="K1628" s="33" t="s">
        <v>1791</v>
      </c>
      <c r="L1628" s="33" t="s">
        <v>3228</v>
      </c>
      <c r="M1628" s="33" t="str">
        <f>_xlfn.XLOOKUP(Tabela14[[#This Row],[Responsável]],Organograma!H:H,Organograma!G:G,"")</f>
        <v>PED - Unidade de Internação Pediátrica</v>
      </c>
      <c r="O1628" s="33" t="s">
        <v>1764</v>
      </c>
      <c r="Q1628" s="33" t="s">
        <v>6603</v>
      </c>
    </row>
    <row r="1629" spans="1:17" hidden="1">
      <c r="A1629" s="33" t="s">
        <v>6604</v>
      </c>
      <c r="B1629" s="33" t="s">
        <v>6614</v>
      </c>
      <c r="C1629" s="33" t="s">
        <v>6599</v>
      </c>
      <c r="D1629" s="33" t="s">
        <v>45</v>
      </c>
      <c r="E1629" s="33" t="s">
        <v>6600</v>
      </c>
      <c r="F1629" s="33" t="s">
        <v>1815</v>
      </c>
      <c r="G1629" s="33" t="s">
        <v>45</v>
      </c>
      <c r="H1629" s="33" t="s">
        <v>2027</v>
      </c>
      <c r="I1629" s="33" t="s">
        <v>2027</v>
      </c>
      <c r="J1629" s="33" t="s">
        <v>6615</v>
      </c>
      <c r="K1629" s="33" t="s">
        <v>6602</v>
      </c>
      <c r="L1629" s="33" t="s">
        <v>2541</v>
      </c>
      <c r="M1629" s="33" t="str">
        <f>_xlfn.XLOOKUP(Tabela14[[#This Row],[Responsável]],Organograma!H:H,Organograma!G:G,"")</f>
        <v>OUV - Ouvidoria</v>
      </c>
      <c r="O1629" s="33" t="s">
        <v>1764</v>
      </c>
      <c r="Q1629" s="33" t="s">
        <v>6603</v>
      </c>
    </row>
    <row r="1630" spans="1:17" hidden="1">
      <c r="A1630" s="33" t="s">
        <v>6604</v>
      </c>
      <c r="B1630" s="33" t="s">
        <v>6616</v>
      </c>
      <c r="C1630" s="33" t="s">
        <v>6599</v>
      </c>
      <c r="D1630" s="33" t="s">
        <v>45</v>
      </c>
      <c r="E1630" s="33" t="s">
        <v>6600</v>
      </c>
      <c r="F1630" s="33" t="s">
        <v>1815</v>
      </c>
      <c r="G1630" s="33" t="s">
        <v>45</v>
      </c>
      <c r="H1630" s="33" t="s">
        <v>2027</v>
      </c>
      <c r="I1630" s="33" t="s">
        <v>2027</v>
      </c>
      <c r="J1630" s="33" t="s">
        <v>6617</v>
      </c>
      <c r="K1630" s="33" t="s">
        <v>6602</v>
      </c>
      <c r="L1630" s="33" t="s">
        <v>2735</v>
      </c>
      <c r="M1630" s="33" t="str">
        <f>_xlfn.XLOOKUP(Tabela14[[#This Row],[Responsável]],Organograma!H:H,Organograma!G:G,"")</f>
        <v>OUV - Ouvidoria</v>
      </c>
      <c r="O1630" s="33" t="s">
        <v>1764</v>
      </c>
      <c r="Q1630" s="33" t="s">
        <v>6603</v>
      </c>
    </row>
    <row r="1631" spans="1:17" hidden="1">
      <c r="A1631" s="33" t="s">
        <v>6604</v>
      </c>
      <c r="B1631" s="33" t="s">
        <v>6618</v>
      </c>
      <c r="C1631" s="33" t="s">
        <v>6599</v>
      </c>
      <c r="D1631" s="33" t="s">
        <v>45</v>
      </c>
      <c r="E1631" s="33" t="s">
        <v>6600</v>
      </c>
      <c r="F1631" s="33" t="s">
        <v>2579</v>
      </c>
      <c r="G1631" s="33" t="s">
        <v>45</v>
      </c>
      <c r="H1631" s="33" t="s">
        <v>2027</v>
      </c>
      <c r="I1631" s="33" t="s">
        <v>2027</v>
      </c>
      <c r="J1631" s="33" t="s">
        <v>6619</v>
      </c>
      <c r="K1631" s="33" t="s">
        <v>6602</v>
      </c>
      <c r="L1631" s="33" t="s">
        <v>1937</v>
      </c>
      <c r="M1631" s="33" t="str">
        <f>_xlfn.XLOOKUP(Tabela14[[#This Row],[Responsável]],Organograma!H:H,Organograma!G:G,"")</f>
        <v>OUV - Ouvidoria</v>
      </c>
      <c r="O1631" s="33" t="s">
        <v>1764</v>
      </c>
      <c r="Q1631" s="33" t="s">
        <v>6603</v>
      </c>
    </row>
    <row r="1632" spans="1:17" hidden="1">
      <c r="A1632" s="33" t="s">
        <v>6604</v>
      </c>
      <c r="B1632" s="33" t="s">
        <v>6620</v>
      </c>
      <c r="C1632" s="33" t="s">
        <v>6599</v>
      </c>
      <c r="D1632" s="33" t="s">
        <v>45</v>
      </c>
      <c r="E1632" s="33" t="s">
        <v>6600</v>
      </c>
      <c r="F1632" s="33" t="s">
        <v>2011</v>
      </c>
      <c r="G1632" s="33" t="s">
        <v>45</v>
      </c>
      <c r="H1632" s="33" t="s">
        <v>1945</v>
      </c>
      <c r="I1632" s="33" t="s">
        <v>1945</v>
      </c>
      <c r="J1632" s="33" t="s">
        <v>6621</v>
      </c>
      <c r="K1632" s="33" t="s">
        <v>6602</v>
      </c>
      <c r="L1632" s="33" t="s">
        <v>1875</v>
      </c>
      <c r="M1632" s="33" t="str">
        <f>_xlfn.XLOOKUP(Tabela14[[#This Row],[Responsável]],Organograma!H:H,Organograma!G:G,"")</f>
        <v>OUV - Ouvidoria</v>
      </c>
      <c r="O1632" s="33" t="s">
        <v>1764</v>
      </c>
      <c r="Q1632" s="33" t="s">
        <v>6603</v>
      </c>
    </row>
    <row r="1633" spans="1:17">
      <c r="A1633" s="33" t="s">
        <v>6604</v>
      </c>
      <c r="B1633" s="33" t="s">
        <v>6622</v>
      </c>
      <c r="C1633" s="33" t="s">
        <v>6599</v>
      </c>
      <c r="D1633" s="33" t="s">
        <v>94</v>
      </c>
      <c r="E1633" s="33" t="s">
        <v>3976</v>
      </c>
      <c r="F1633" s="33" t="s">
        <v>1864</v>
      </c>
      <c r="G1633" s="33" t="s">
        <v>45</v>
      </c>
      <c r="H1633" s="33" t="s">
        <v>1945</v>
      </c>
      <c r="I1633" s="33" t="s">
        <v>1945</v>
      </c>
      <c r="J1633" s="33" t="s">
        <v>6623</v>
      </c>
      <c r="K1633" s="33" t="s">
        <v>1791</v>
      </c>
      <c r="L1633" s="33" t="s">
        <v>2237</v>
      </c>
      <c r="M1633" s="33" t="str">
        <f>_xlfn.XLOOKUP(Tabela14[[#This Row],[Responsável]],Organograma!H:H,Organograma!G:G,"")</f>
        <v>SADT - Unidade de Diagnóstico Por Imagem</v>
      </c>
      <c r="O1633" s="33" t="s">
        <v>1764</v>
      </c>
      <c r="Q1633" s="33" t="s">
        <v>6603</v>
      </c>
    </row>
    <row r="1634" spans="1:17" hidden="1">
      <c r="A1634" s="33" t="s">
        <v>6604</v>
      </c>
      <c r="B1634" s="33" t="s">
        <v>6624</v>
      </c>
      <c r="C1634" s="33" t="s">
        <v>6599</v>
      </c>
      <c r="D1634" s="33" t="s">
        <v>45</v>
      </c>
      <c r="E1634" s="33" t="s">
        <v>6600</v>
      </c>
      <c r="F1634" s="33" t="s">
        <v>1815</v>
      </c>
      <c r="G1634" s="33" t="s">
        <v>45</v>
      </c>
      <c r="H1634" s="33" t="s">
        <v>1945</v>
      </c>
      <c r="I1634" s="33" t="s">
        <v>1945</v>
      </c>
      <c r="J1634" s="33" t="s">
        <v>6625</v>
      </c>
      <c r="K1634" s="33" t="s">
        <v>6602</v>
      </c>
      <c r="L1634" s="33" t="s">
        <v>2735</v>
      </c>
      <c r="M1634" s="33" t="str">
        <f>_xlfn.XLOOKUP(Tabela14[[#This Row],[Responsável]],Organograma!H:H,Organograma!G:G,"")</f>
        <v>OUV - Ouvidoria</v>
      </c>
      <c r="O1634" s="33" t="s">
        <v>1764</v>
      </c>
      <c r="Q1634" s="33" t="s">
        <v>6603</v>
      </c>
    </row>
    <row r="1635" spans="1:17" hidden="1">
      <c r="A1635" s="33" t="s">
        <v>6607</v>
      </c>
      <c r="B1635" s="33" t="s">
        <v>6626</v>
      </c>
      <c r="C1635" s="33" t="s">
        <v>6599</v>
      </c>
      <c r="D1635" s="33" t="s">
        <v>45</v>
      </c>
      <c r="E1635" s="33" t="s">
        <v>6600</v>
      </c>
      <c r="F1635" s="33" t="s">
        <v>1815</v>
      </c>
      <c r="G1635" s="33" t="s">
        <v>45</v>
      </c>
      <c r="H1635" s="33" t="s">
        <v>1881</v>
      </c>
      <c r="I1635" s="33" t="s">
        <v>1881</v>
      </c>
      <c r="J1635" s="33" t="s">
        <v>6627</v>
      </c>
      <c r="K1635" s="33" t="s">
        <v>6602</v>
      </c>
      <c r="L1635" s="33" t="s">
        <v>2589</v>
      </c>
      <c r="M1635" s="33" t="str">
        <f>_xlfn.XLOOKUP(Tabela14[[#This Row],[Responsável]],Organograma!H:H,Organograma!G:G,"")</f>
        <v>OUV - Ouvidoria</v>
      </c>
      <c r="O1635" s="33" t="s">
        <v>1764</v>
      </c>
      <c r="Q1635" s="33" t="s">
        <v>6603</v>
      </c>
    </row>
    <row r="1636" spans="1:17" hidden="1">
      <c r="A1636" s="33" t="s">
        <v>6604</v>
      </c>
      <c r="B1636" s="33" t="s">
        <v>6628</v>
      </c>
      <c r="C1636" s="33" t="s">
        <v>6599</v>
      </c>
      <c r="D1636" s="33" t="s">
        <v>10</v>
      </c>
      <c r="E1636" s="33" t="s">
        <v>6609</v>
      </c>
      <c r="F1636" s="33" t="s">
        <v>1815</v>
      </c>
      <c r="G1636" s="33" t="s">
        <v>45</v>
      </c>
      <c r="H1636" s="33" t="s">
        <v>2237</v>
      </c>
      <c r="I1636" s="33" t="s">
        <v>2237</v>
      </c>
      <c r="J1636" s="33" t="s">
        <v>6629</v>
      </c>
      <c r="K1636" s="33" t="s">
        <v>6611</v>
      </c>
      <c r="L1636" s="33" t="s">
        <v>2237</v>
      </c>
      <c r="M1636" s="33" t="str">
        <f>_xlfn.XLOOKUP(Tabela14[[#This Row],[Responsável]],Organograma!H:H,Organograma!G:G,"")</f>
        <v>ENG - Núcleo de Engenharia Clínica</v>
      </c>
      <c r="O1636" s="33" t="s">
        <v>1764</v>
      </c>
      <c r="Q1636" s="33" t="s">
        <v>6603</v>
      </c>
    </row>
    <row r="1637" spans="1:17" hidden="1">
      <c r="A1637" s="33" t="s">
        <v>6607</v>
      </c>
      <c r="B1637" s="33" t="s">
        <v>6630</v>
      </c>
      <c r="C1637" s="33" t="s">
        <v>6599</v>
      </c>
      <c r="D1637" s="33" t="s">
        <v>45</v>
      </c>
      <c r="E1637" s="33" t="s">
        <v>6600</v>
      </c>
      <c r="F1637" s="33" t="s">
        <v>1856</v>
      </c>
      <c r="G1637" s="33" t="s">
        <v>45</v>
      </c>
      <c r="H1637" s="33" t="s">
        <v>2243</v>
      </c>
      <c r="I1637" s="33" t="s">
        <v>2243</v>
      </c>
      <c r="J1637" s="33" t="s">
        <v>6631</v>
      </c>
      <c r="K1637" s="33" t="s">
        <v>6602</v>
      </c>
      <c r="L1637" s="33" t="s">
        <v>2529</v>
      </c>
      <c r="M1637" s="33" t="str">
        <f>_xlfn.XLOOKUP(Tabela14[[#This Row],[Responsável]],Organograma!H:H,Organograma!G:G,"")</f>
        <v>OUV - Ouvidoria</v>
      </c>
      <c r="O1637" s="33" t="s">
        <v>1764</v>
      </c>
      <c r="Q1637" s="33" t="s">
        <v>6603</v>
      </c>
    </row>
    <row r="1638" spans="1:17">
      <c r="A1638" s="33" t="s">
        <v>6604</v>
      </c>
      <c r="B1638" s="33" t="s">
        <v>6632</v>
      </c>
      <c r="C1638" s="33" t="s">
        <v>6599</v>
      </c>
      <c r="D1638" s="33" t="s">
        <v>68</v>
      </c>
      <c r="E1638" s="33" t="s">
        <v>3976</v>
      </c>
      <c r="F1638" s="33" t="s">
        <v>1815</v>
      </c>
      <c r="G1638" s="33" t="s">
        <v>45</v>
      </c>
      <c r="H1638" s="33" t="s">
        <v>2243</v>
      </c>
      <c r="I1638" s="33" t="s">
        <v>2243</v>
      </c>
      <c r="J1638" s="33" t="s">
        <v>6633</v>
      </c>
      <c r="K1638" s="33" t="s">
        <v>1791</v>
      </c>
      <c r="L1638" s="33" t="s">
        <v>3597</v>
      </c>
      <c r="M1638" s="33" t="str">
        <f>_xlfn.XLOOKUP(Tabela14[[#This Row],[Responsável]],Organograma!H:H,Organograma!G:G,"")</f>
        <v>UICC - Unidade de Internação Cirúrgica</v>
      </c>
      <c r="O1638" s="33" t="s">
        <v>1764</v>
      </c>
      <c r="Q1638" s="33" t="s">
        <v>6603</v>
      </c>
    </row>
    <row r="1639" spans="1:17" hidden="1">
      <c r="A1639" s="33" t="s">
        <v>6604</v>
      </c>
      <c r="B1639" s="33" t="s">
        <v>6634</v>
      </c>
      <c r="C1639" s="33" t="s">
        <v>6599</v>
      </c>
      <c r="D1639" s="33" t="s">
        <v>45</v>
      </c>
      <c r="E1639" s="33" t="s">
        <v>6600</v>
      </c>
      <c r="F1639" s="33" t="s">
        <v>1864</v>
      </c>
      <c r="G1639" s="33" t="s">
        <v>45</v>
      </c>
      <c r="H1639" s="33" t="s">
        <v>2243</v>
      </c>
      <c r="I1639" s="33" t="s">
        <v>2243</v>
      </c>
      <c r="J1639" s="33" t="s">
        <v>6635</v>
      </c>
      <c r="K1639" s="33" t="s">
        <v>6602</v>
      </c>
      <c r="L1639" s="33" t="s">
        <v>2428</v>
      </c>
      <c r="M1639" s="33" t="str">
        <f>_xlfn.XLOOKUP(Tabela14[[#This Row],[Responsável]],Organograma!H:H,Organograma!G:G,"")</f>
        <v>OUV - Ouvidoria</v>
      </c>
      <c r="O1639" s="33" t="s">
        <v>1764</v>
      </c>
      <c r="Q1639" s="33" t="s">
        <v>6603</v>
      </c>
    </row>
    <row r="1640" spans="1:17" hidden="1">
      <c r="A1640" s="33" t="s">
        <v>6604</v>
      </c>
      <c r="B1640" s="33" t="s">
        <v>6636</v>
      </c>
      <c r="C1640" s="33" t="s">
        <v>6599</v>
      </c>
      <c r="D1640" s="33" t="s">
        <v>45</v>
      </c>
      <c r="E1640" s="33" t="s">
        <v>6600</v>
      </c>
      <c r="F1640" s="33" t="s">
        <v>1856</v>
      </c>
      <c r="G1640" s="33" t="s">
        <v>45</v>
      </c>
      <c r="H1640" s="33" t="s">
        <v>2243</v>
      </c>
      <c r="I1640" s="33" t="s">
        <v>2243</v>
      </c>
      <c r="J1640" s="33" t="s">
        <v>6637</v>
      </c>
      <c r="K1640" s="33" t="s">
        <v>6602</v>
      </c>
      <c r="L1640" s="33" t="s">
        <v>2529</v>
      </c>
      <c r="M1640" s="33" t="str">
        <f>_xlfn.XLOOKUP(Tabela14[[#This Row],[Responsável]],Organograma!H:H,Organograma!G:G,"")</f>
        <v>OUV - Ouvidoria</v>
      </c>
      <c r="O1640" s="33" t="s">
        <v>1764</v>
      </c>
      <c r="Q1640" s="33" t="s">
        <v>6603</v>
      </c>
    </row>
    <row r="1641" spans="1:17">
      <c r="A1641" s="33" t="s">
        <v>6607</v>
      </c>
      <c r="B1641" s="33" t="s">
        <v>6638</v>
      </c>
      <c r="C1641" s="33" t="s">
        <v>6599</v>
      </c>
      <c r="D1641" s="33" t="s">
        <v>94</v>
      </c>
      <c r="E1641" s="33" t="s">
        <v>3976</v>
      </c>
      <c r="F1641" s="33" t="s">
        <v>1864</v>
      </c>
      <c r="G1641" s="33" t="s">
        <v>45</v>
      </c>
      <c r="H1641" s="33" t="s">
        <v>2337</v>
      </c>
      <c r="I1641" s="33" t="s">
        <v>2337</v>
      </c>
      <c r="J1641" s="33" t="s">
        <v>6639</v>
      </c>
      <c r="K1641" s="33" t="s">
        <v>1791</v>
      </c>
      <c r="L1641" s="33" t="s">
        <v>2337</v>
      </c>
      <c r="M1641" s="33" t="str">
        <f>_xlfn.XLOOKUP(Tabela14[[#This Row],[Responsável]],Organograma!H:H,Organograma!G:G,"")</f>
        <v>SADT - Unidade de Diagnóstico Por Imagem</v>
      </c>
      <c r="O1641" s="33" t="s">
        <v>1764</v>
      </c>
      <c r="Q1641" s="33" t="s">
        <v>6603</v>
      </c>
    </row>
    <row r="1642" spans="1:17">
      <c r="A1642" s="33" t="s">
        <v>6607</v>
      </c>
      <c r="B1642" s="33" t="s">
        <v>6640</v>
      </c>
      <c r="C1642" s="33" t="s">
        <v>6599</v>
      </c>
      <c r="D1642" s="33" t="s">
        <v>94</v>
      </c>
      <c r="E1642" s="33" t="s">
        <v>3976</v>
      </c>
      <c r="F1642" s="33" t="s">
        <v>1856</v>
      </c>
      <c r="G1642" s="33" t="s">
        <v>45</v>
      </c>
      <c r="H1642" s="33" t="s">
        <v>2337</v>
      </c>
      <c r="I1642" s="33" t="s">
        <v>2337</v>
      </c>
      <c r="J1642" s="33" t="s">
        <v>6641</v>
      </c>
      <c r="K1642" s="33" t="s">
        <v>1791</v>
      </c>
      <c r="L1642" s="33" t="s">
        <v>2902</v>
      </c>
      <c r="M1642" s="33" t="str">
        <f>_xlfn.XLOOKUP(Tabela14[[#This Row],[Responsável]],Organograma!H:H,Organograma!G:G,"")</f>
        <v>SADT - Unidade de Diagnóstico Por Imagem</v>
      </c>
      <c r="O1642" s="33" t="s">
        <v>1764</v>
      </c>
      <c r="Q1642" s="33" t="s">
        <v>6603</v>
      </c>
    </row>
    <row r="1643" spans="1:17" hidden="1">
      <c r="A1643" s="33" t="s">
        <v>6604</v>
      </c>
      <c r="B1643" s="33" t="s">
        <v>6642</v>
      </c>
      <c r="C1643" s="33" t="s">
        <v>6599</v>
      </c>
      <c r="D1643" s="33" t="s">
        <v>81</v>
      </c>
      <c r="E1643" s="33" t="s">
        <v>6609</v>
      </c>
      <c r="F1643" s="33" t="s">
        <v>1815</v>
      </c>
      <c r="G1643" s="33" t="s">
        <v>45</v>
      </c>
      <c r="H1643" s="33" t="s">
        <v>2337</v>
      </c>
      <c r="I1643" s="33" t="s">
        <v>2337</v>
      </c>
      <c r="J1643" s="33" t="s">
        <v>6643</v>
      </c>
      <c r="K1643" s="33" t="s">
        <v>6611</v>
      </c>
      <c r="L1643" s="33" t="s">
        <v>2337</v>
      </c>
      <c r="M1643" s="33" t="str">
        <f>_xlfn.XLOOKUP(Tabela14[[#This Row],[Responsável]],Organograma!H:H,Organograma!G:G,"")</f>
        <v>CPN - Centro de Parto Normal</v>
      </c>
      <c r="O1643" s="33" t="s">
        <v>1764</v>
      </c>
      <c r="Q1643" s="33" t="s">
        <v>6603</v>
      </c>
    </row>
    <row r="1644" spans="1:17" hidden="1">
      <c r="A1644" s="33" t="s">
        <v>6604</v>
      </c>
      <c r="B1644" s="33" t="s">
        <v>6644</v>
      </c>
      <c r="C1644" s="33" t="s">
        <v>6599</v>
      </c>
      <c r="D1644" s="33" t="s">
        <v>81</v>
      </c>
      <c r="E1644" s="33" t="s">
        <v>6609</v>
      </c>
      <c r="F1644" s="33" t="s">
        <v>1856</v>
      </c>
      <c r="G1644" s="33" t="s">
        <v>45</v>
      </c>
      <c r="H1644" s="33" t="s">
        <v>2337</v>
      </c>
      <c r="I1644" s="33" t="s">
        <v>2337</v>
      </c>
      <c r="J1644" s="33" t="s">
        <v>6645</v>
      </c>
      <c r="K1644" s="33" t="s">
        <v>6611</v>
      </c>
      <c r="L1644" s="33" t="s">
        <v>2337</v>
      </c>
      <c r="M1644" s="33" t="str">
        <f>_xlfn.XLOOKUP(Tabela14[[#This Row],[Responsável]],Organograma!H:H,Organograma!G:G,"")</f>
        <v>CPN - Centro de Parto Normal</v>
      </c>
      <c r="O1644" s="33" t="s">
        <v>1764</v>
      </c>
      <c r="Q1644" s="33" t="s">
        <v>6603</v>
      </c>
    </row>
    <row r="1645" spans="1:17">
      <c r="A1645" s="33" t="s">
        <v>6607</v>
      </c>
      <c r="B1645" s="33" t="s">
        <v>6646</v>
      </c>
      <c r="C1645" s="33" t="s">
        <v>6599</v>
      </c>
      <c r="D1645" s="33" t="s">
        <v>79</v>
      </c>
      <c r="E1645" s="33" t="s">
        <v>3976</v>
      </c>
      <c r="F1645" s="33" t="s">
        <v>2069</v>
      </c>
      <c r="G1645" s="33" t="s">
        <v>45</v>
      </c>
      <c r="H1645" s="33" t="s">
        <v>2337</v>
      </c>
      <c r="I1645" s="33" t="s">
        <v>2337</v>
      </c>
      <c r="J1645" s="33" t="s">
        <v>6647</v>
      </c>
      <c r="K1645" s="33" t="s">
        <v>1791</v>
      </c>
      <c r="L1645" s="33" t="s">
        <v>2902</v>
      </c>
      <c r="M1645" s="33" t="str">
        <f>_xlfn.XLOOKUP(Tabela14[[#This Row],[Responsável]],Organograma!H:H,Organograma!G:G,"")</f>
        <v>PED - Unidade de Internação Pediátrica</v>
      </c>
      <c r="O1645" s="33" t="s">
        <v>1764</v>
      </c>
      <c r="Q1645" s="33" t="s">
        <v>6603</v>
      </c>
    </row>
    <row r="1646" spans="1:17" hidden="1">
      <c r="A1646" s="33" t="s">
        <v>6648</v>
      </c>
      <c r="B1646" s="33" t="s">
        <v>6649</v>
      </c>
      <c r="C1646" s="33" t="s">
        <v>6599</v>
      </c>
      <c r="D1646" s="33" t="s">
        <v>45</v>
      </c>
      <c r="E1646" s="33" t="s">
        <v>6600</v>
      </c>
      <c r="F1646" s="33" t="s">
        <v>1864</v>
      </c>
      <c r="G1646" s="33" t="s">
        <v>45</v>
      </c>
      <c r="H1646" s="33" t="s">
        <v>2211</v>
      </c>
      <c r="I1646" s="33" t="s">
        <v>2211</v>
      </c>
      <c r="J1646" s="33" t="s">
        <v>6650</v>
      </c>
      <c r="K1646" s="33" t="s">
        <v>6602</v>
      </c>
      <c r="L1646" s="33" t="s">
        <v>2735</v>
      </c>
      <c r="M1646" s="33" t="str">
        <f>_xlfn.XLOOKUP(Tabela14[[#This Row],[Responsável]],Organograma!H:H,Organograma!G:G,"")</f>
        <v>OUV - Ouvidoria</v>
      </c>
      <c r="O1646" s="33" t="s">
        <v>1764</v>
      </c>
      <c r="Q1646" s="33" t="s">
        <v>6603</v>
      </c>
    </row>
    <row r="1647" spans="1:17" hidden="1">
      <c r="A1647" s="33" t="s">
        <v>6651</v>
      </c>
      <c r="B1647" s="33" t="s">
        <v>6652</v>
      </c>
      <c r="C1647" s="33" t="s">
        <v>6599</v>
      </c>
      <c r="D1647" s="33" t="s">
        <v>45</v>
      </c>
      <c r="E1647" s="33" t="s">
        <v>6600</v>
      </c>
      <c r="F1647" s="33" t="s">
        <v>1815</v>
      </c>
      <c r="G1647" s="33" t="s">
        <v>45</v>
      </c>
      <c r="H1647" s="33" t="s">
        <v>2418</v>
      </c>
      <c r="I1647" s="33" t="s">
        <v>2418</v>
      </c>
      <c r="J1647" s="33" t="s">
        <v>6653</v>
      </c>
      <c r="K1647" s="33" t="s">
        <v>6602</v>
      </c>
      <c r="L1647" s="33" t="s">
        <v>2521</v>
      </c>
      <c r="M1647" s="33" t="str">
        <f>_xlfn.XLOOKUP(Tabela14[[#This Row],[Responsável]],Organograma!H:H,Organograma!G:G,"")</f>
        <v>OUV - Ouvidoria</v>
      </c>
      <c r="O1647" s="33" t="s">
        <v>1764</v>
      </c>
      <c r="Q1647" s="33" t="s">
        <v>6603</v>
      </c>
    </row>
    <row r="1648" spans="1:17" hidden="1">
      <c r="A1648" s="33" t="s">
        <v>6648</v>
      </c>
      <c r="B1648" s="33" t="s">
        <v>6654</v>
      </c>
      <c r="C1648" s="33" t="s">
        <v>6599</v>
      </c>
      <c r="D1648" s="33" t="s">
        <v>45</v>
      </c>
      <c r="E1648" s="33" t="s">
        <v>6600</v>
      </c>
      <c r="F1648" s="33" t="s">
        <v>1815</v>
      </c>
      <c r="G1648" s="33" t="s">
        <v>45</v>
      </c>
      <c r="H1648" s="33" t="s">
        <v>2418</v>
      </c>
      <c r="I1648" s="33" t="s">
        <v>2418</v>
      </c>
      <c r="J1648" s="33" t="s">
        <v>6655</v>
      </c>
      <c r="K1648" s="33" t="s">
        <v>6602</v>
      </c>
      <c r="L1648" s="33" t="s">
        <v>2735</v>
      </c>
      <c r="M1648" s="33" t="str">
        <f>_xlfn.XLOOKUP(Tabela14[[#This Row],[Responsável]],Organograma!H:H,Organograma!G:G,"")</f>
        <v>OUV - Ouvidoria</v>
      </c>
      <c r="O1648" s="33" t="s">
        <v>1764</v>
      </c>
      <c r="Q1648" s="33" t="s">
        <v>6603</v>
      </c>
    </row>
    <row r="1649" spans="1:17">
      <c r="A1649" s="33" t="s">
        <v>6656</v>
      </c>
      <c r="B1649" s="33" t="s">
        <v>6657</v>
      </c>
      <c r="C1649" s="33" t="s">
        <v>6599</v>
      </c>
      <c r="D1649" s="33" t="s">
        <v>45</v>
      </c>
      <c r="E1649" s="33" t="s">
        <v>6658</v>
      </c>
      <c r="F1649" s="33" t="s">
        <v>1856</v>
      </c>
      <c r="G1649" s="33" t="s">
        <v>45</v>
      </c>
      <c r="H1649" s="33" t="s">
        <v>2418</v>
      </c>
      <c r="I1649" s="33" t="s">
        <v>2418</v>
      </c>
      <c r="J1649" s="33" t="s">
        <v>6659</v>
      </c>
      <c r="K1649" s="33" t="s">
        <v>1791</v>
      </c>
      <c r="L1649" s="33" t="s">
        <v>3562</v>
      </c>
      <c r="M1649" s="33" t="str">
        <f>_xlfn.XLOOKUP(Tabela14[[#This Row],[Responsável]],Organograma!H:H,Organograma!G:G,"")</f>
        <v>OUV - Ouvidoria</v>
      </c>
      <c r="O1649" s="33" t="s">
        <v>1764</v>
      </c>
      <c r="Q1649" s="33" t="s">
        <v>6603</v>
      </c>
    </row>
    <row r="1650" spans="1:17">
      <c r="A1650" s="33" t="s">
        <v>6656</v>
      </c>
      <c r="B1650" s="33" t="s">
        <v>6660</v>
      </c>
      <c r="C1650" s="33" t="s">
        <v>6599</v>
      </c>
      <c r="D1650" s="33" t="s">
        <v>45</v>
      </c>
      <c r="E1650" s="33" t="s">
        <v>6658</v>
      </c>
      <c r="F1650" s="33" t="s">
        <v>1815</v>
      </c>
      <c r="G1650" s="33" t="s">
        <v>45</v>
      </c>
      <c r="H1650" s="33" t="s">
        <v>2418</v>
      </c>
      <c r="I1650" s="33" t="s">
        <v>2418</v>
      </c>
      <c r="J1650" s="33" t="s">
        <v>6661</v>
      </c>
      <c r="K1650" s="33" t="s">
        <v>1791</v>
      </c>
      <c r="L1650" s="33" t="s">
        <v>3562</v>
      </c>
      <c r="M1650" s="33" t="str">
        <f>_xlfn.XLOOKUP(Tabela14[[#This Row],[Responsável]],Organograma!H:H,Organograma!G:G,"")</f>
        <v>OUV - Ouvidoria</v>
      </c>
      <c r="O1650" s="33" t="s">
        <v>1764</v>
      </c>
      <c r="Q1650" s="33" t="s">
        <v>6603</v>
      </c>
    </row>
    <row r="1651" spans="1:17" hidden="1">
      <c r="A1651" s="33" t="s">
        <v>6656</v>
      </c>
      <c r="B1651" s="33" t="s">
        <v>6662</v>
      </c>
      <c r="C1651" s="33" t="s">
        <v>6599</v>
      </c>
      <c r="D1651" s="33" t="s">
        <v>10</v>
      </c>
      <c r="E1651" s="33" t="s">
        <v>6609</v>
      </c>
      <c r="F1651" s="33" t="s">
        <v>1815</v>
      </c>
      <c r="G1651" s="33" t="s">
        <v>45</v>
      </c>
      <c r="H1651" s="33" t="s">
        <v>2418</v>
      </c>
      <c r="I1651" s="33" t="s">
        <v>2418</v>
      </c>
      <c r="J1651" s="33" t="s">
        <v>6663</v>
      </c>
      <c r="K1651" s="33" t="s">
        <v>6611</v>
      </c>
      <c r="L1651" s="33" t="s">
        <v>2418</v>
      </c>
      <c r="M1651" s="33" t="str">
        <f>_xlfn.XLOOKUP(Tabela14[[#This Row],[Responsável]],Organograma!H:H,Organograma!G:G,"")</f>
        <v>ENG - Núcleo de Engenharia Clínica</v>
      </c>
      <c r="O1651" s="33" t="s">
        <v>1764</v>
      </c>
      <c r="Q1651" s="33" t="s">
        <v>6603</v>
      </c>
    </row>
    <row r="1652" spans="1:17">
      <c r="A1652" s="33" t="s">
        <v>6604</v>
      </c>
      <c r="B1652" s="33" t="s">
        <v>6664</v>
      </c>
      <c r="C1652" s="33" t="s">
        <v>6599</v>
      </c>
      <c r="D1652" s="33" t="s">
        <v>6665</v>
      </c>
      <c r="E1652" s="33" t="s">
        <v>3976</v>
      </c>
      <c r="F1652" s="33" t="s">
        <v>1856</v>
      </c>
      <c r="G1652" s="33" t="s">
        <v>45</v>
      </c>
      <c r="H1652" s="33" t="s">
        <v>2420</v>
      </c>
      <c r="I1652" s="33" t="s">
        <v>2420</v>
      </c>
      <c r="J1652" s="33" t="s">
        <v>6666</v>
      </c>
      <c r="K1652" s="33" t="s">
        <v>1791</v>
      </c>
      <c r="L1652" s="33" t="s">
        <v>3633</v>
      </c>
      <c r="M1652" s="33" t="str">
        <f>_xlfn.XLOOKUP(Tabela14[[#This Row],[Responsável]],Organograma!H:H,Organograma!G:G,"")</f>
        <v/>
      </c>
      <c r="O1652" s="33" t="s">
        <v>1764</v>
      </c>
      <c r="Q1652" s="33" t="s">
        <v>6603</v>
      </c>
    </row>
    <row r="1653" spans="1:17">
      <c r="A1653" s="33" t="s">
        <v>6604</v>
      </c>
      <c r="B1653" s="33" t="s">
        <v>6667</v>
      </c>
      <c r="C1653" s="33" t="s">
        <v>6599</v>
      </c>
      <c r="D1653" s="33" t="s">
        <v>94</v>
      </c>
      <c r="E1653" s="33" t="s">
        <v>3976</v>
      </c>
      <c r="F1653" s="33" t="s">
        <v>1864</v>
      </c>
      <c r="G1653" s="33" t="s">
        <v>45</v>
      </c>
      <c r="H1653" s="33" t="s">
        <v>2420</v>
      </c>
      <c r="I1653" s="33" t="s">
        <v>2420</v>
      </c>
      <c r="J1653" s="33" t="s">
        <v>6668</v>
      </c>
      <c r="K1653" s="33" t="s">
        <v>1791</v>
      </c>
      <c r="L1653" s="33" t="s">
        <v>2521</v>
      </c>
      <c r="M1653" s="33" t="str">
        <f>_xlfn.XLOOKUP(Tabela14[[#This Row],[Responsável]],Organograma!H:H,Organograma!G:G,"")</f>
        <v>SADT - Unidade de Diagnóstico Por Imagem</v>
      </c>
      <c r="O1653" s="33" t="s">
        <v>1764</v>
      </c>
      <c r="Q1653" s="33" t="s">
        <v>6603</v>
      </c>
    </row>
    <row r="1654" spans="1:17">
      <c r="A1654" s="33" t="s">
        <v>6607</v>
      </c>
      <c r="B1654" s="33" t="s">
        <v>6669</v>
      </c>
      <c r="C1654" s="33" t="s">
        <v>6599</v>
      </c>
      <c r="D1654" s="33" t="s">
        <v>45</v>
      </c>
      <c r="E1654" s="33" t="s">
        <v>6658</v>
      </c>
      <c r="F1654" s="33" t="s">
        <v>1815</v>
      </c>
      <c r="G1654" s="33" t="s">
        <v>45</v>
      </c>
      <c r="H1654" s="33" t="s">
        <v>2420</v>
      </c>
      <c r="I1654" s="33" t="s">
        <v>2420</v>
      </c>
      <c r="J1654" s="33" t="s">
        <v>6670</v>
      </c>
      <c r="K1654" s="33" t="s">
        <v>1791</v>
      </c>
      <c r="L1654" s="33" t="s">
        <v>3562</v>
      </c>
      <c r="M1654" s="33" t="str">
        <f>_xlfn.XLOOKUP(Tabela14[[#This Row],[Responsável]],Organograma!H:H,Organograma!G:G,"")</f>
        <v>OUV - Ouvidoria</v>
      </c>
      <c r="O1654" s="33" t="s">
        <v>1764</v>
      </c>
      <c r="Q1654" s="33" t="s">
        <v>6603</v>
      </c>
    </row>
    <row r="1655" spans="1:17">
      <c r="A1655" s="33" t="s">
        <v>6607</v>
      </c>
      <c r="B1655" s="33" t="s">
        <v>6671</v>
      </c>
      <c r="C1655" s="33" t="s">
        <v>6599</v>
      </c>
      <c r="D1655" s="33" t="s">
        <v>45</v>
      </c>
      <c r="E1655" s="33" t="s">
        <v>6658</v>
      </c>
      <c r="F1655" s="33" t="s">
        <v>1815</v>
      </c>
      <c r="G1655" s="33" t="s">
        <v>45</v>
      </c>
      <c r="H1655" s="33" t="s">
        <v>2420</v>
      </c>
      <c r="I1655" s="33" t="s">
        <v>2420</v>
      </c>
      <c r="J1655" s="33" t="s">
        <v>6672</v>
      </c>
      <c r="K1655" s="33" t="s">
        <v>1791</v>
      </c>
      <c r="L1655" s="33" t="s">
        <v>3562</v>
      </c>
      <c r="M1655" s="33" t="str">
        <f>_xlfn.XLOOKUP(Tabela14[[#This Row],[Responsável]],Organograma!H:H,Organograma!G:G,"")</f>
        <v>OUV - Ouvidoria</v>
      </c>
      <c r="O1655" s="33" t="s">
        <v>1764</v>
      </c>
      <c r="Q1655" s="33" t="s">
        <v>6603</v>
      </c>
    </row>
    <row r="1656" spans="1:17">
      <c r="A1656" s="33" t="s">
        <v>6607</v>
      </c>
      <c r="B1656" s="33" t="s">
        <v>6673</v>
      </c>
      <c r="C1656" s="33" t="s">
        <v>6599</v>
      </c>
      <c r="D1656" s="33" t="s">
        <v>68</v>
      </c>
      <c r="E1656" s="33" t="s">
        <v>3976</v>
      </c>
      <c r="F1656" s="33" t="s">
        <v>1815</v>
      </c>
      <c r="G1656" s="33" t="s">
        <v>45</v>
      </c>
      <c r="H1656" s="33" t="s">
        <v>2420</v>
      </c>
      <c r="I1656" s="33" t="s">
        <v>2420</v>
      </c>
      <c r="J1656" s="33" t="s">
        <v>6674</v>
      </c>
      <c r="K1656" s="33" t="s">
        <v>1791</v>
      </c>
      <c r="L1656" s="33" t="s">
        <v>2467</v>
      </c>
      <c r="M1656" s="33" t="str">
        <f>_xlfn.XLOOKUP(Tabela14[[#This Row],[Responsável]],Organograma!H:H,Organograma!G:G,"")</f>
        <v>UICC - Unidade de Internação Cirúrgica</v>
      </c>
      <c r="O1656" s="33" t="s">
        <v>1764</v>
      </c>
      <c r="Q1656" s="33" t="s">
        <v>6603</v>
      </c>
    </row>
    <row r="1657" spans="1:17">
      <c r="A1657" s="33" t="s">
        <v>6604</v>
      </c>
      <c r="B1657" s="33" t="s">
        <v>6675</v>
      </c>
      <c r="C1657" s="33" t="s">
        <v>6599</v>
      </c>
      <c r="D1657" s="33" t="s">
        <v>68</v>
      </c>
      <c r="E1657" s="33" t="s">
        <v>3976</v>
      </c>
      <c r="F1657" s="33" t="s">
        <v>1856</v>
      </c>
      <c r="G1657" s="33" t="s">
        <v>45</v>
      </c>
      <c r="H1657" s="33" t="s">
        <v>2420</v>
      </c>
      <c r="I1657" s="33" t="s">
        <v>2420</v>
      </c>
      <c r="J1657" s="33" t="s">
        <v>6676</v>
      </c>
      <c r="K1657" s="33" t="s">
        <v>1791</v>
      </c>
      <c r="L1657" s="33" t="s">
        <v>2467</v>
      </c>
      <c r="M1657" s="33" t="str">
        <f>_xlfn.XLOOKUP(Tabela14[[#This Row],[Responsável]],Organograma!H:H,Organograma!G:G,"")</f>
        <v>UICC - Unidade de Internação Cirúrgica</v>
      </c>
      <c r="O1657" s="33" t="s">
        <v>1764</v>
      </c>
      <c r="Q1657" s="33" t="s">
        <v>6603</v>
      </c>
    </row>
    <row r="1658" spans="1:17" hidden="1">
      <c r="A1658" s="33" t="s">
        <v>6604</v>
      </c>
      <c r="B1658" s="33" t="s">
        <v>6677</v>
      </c>
      <c r="C1658" s="33" t="s">
        <v>6599</v>
      </c>
      <c r="D1658" s="33" t="s">
        <v>45</v>
      </c>
      <c r="E1658" s="33" t="s">
        <v>6600</v>
      </c>
      <c r="F1658" s="33" t="s">
        <v>1815</v>
      </c>
      <c r="G1658" s="33" t="s">
        <v>45</v>
      </c>
      <c r="H1658" s="33" t="s">
        <v>2420</v>
      </c>
      <c r="I1658" s="33" t="s">
        <v>2420</v>
      </c>
      <c r="J1658" s="33" t="s">
        <v>6678</v>
      </c>
      <c r="K1658" s="33" t="s">
        <v>6602</v>
      </c>
      <c r="L1658" s="33" t="s">
        <v>3175</v>
      </c>
      <c r="M1658" s="33" t="str">
        <f>_xlfn.XLOOKUP(Tabela14[[#This Row],[Responsável]],Organograma!H:H,Organograma!G:G,"")</f>
        <v>OUV - Ouvidoria</v>
      </c>
      <c r="O1658" s="33" t="s">
        <v>1764</v>
      </c>
      <c r="Q1658" s="33" t="s">
        <v>6603</v>
      </c>
    </row>
    <row r="1659" spans="1:17">
      <c r="A1659" s="33" t="s">
        <v>6607</v>
      </c>
      <c r="B1659" s="33" t="s">
        <v>6679</v>
      </c>
      <c r="C1659" s="33" t="s">
        <v>6599</v>
      </c>
      <c r="D1659" s="33" t="s">
        <v>45</v>
      </c>
      <c r="E1659" s="33" t="s">
        <v>6658</v>
      </c>
      <c r="F1659" s="33" t="s">
        <v>1815</v>
      </c>
      <c r="G1659" s="33" t="s">
        <v>45</v>
      </c>
      <c r="H1659" s="33" t="s">
        <v>2420</v>
      </c>
      <c r="I1659" s="33" t="s">
        <v>2420</v>
      </c>
      <c r="J1659" s="33" t="s">
        <v>6680</v>
      </c>
      <c r="K1659" s="33" t="s">
        <v>1791</v>
      </c>
      <c r="L1659" s="33" t="s">
        <v>3562</v>
      </c>
      <c r="M1659" s="33" t="str">
        <f>_xlfn.XLOOKUP(Tabela14[[#This Row],[Responsável]],Organograma!H:H,Organograma!G:G,"")</f>
        <v>OUV - Ouvidoria</v>
      </c>
      <c r="O1659" s="33" t="s">
        <v>1764</v>
      </c>
      <c r="Q1659" s="33" t="s">
        <v>6603</v>
      </c>
    </row>
    <row r="1660" spans="1:17" hidden="1">
      <c r="A1660" s="33" t="s">
        <v>6604</v>
      </c>
      <c r="B1660" s="33" t="s">
        <v>6681</v>
      </c>
      <c r="C1660" s="33" t="s">
        <v>6599</v>
      </c>
      <c r="D1660" s="33" t="s">
        <v>45</v>
      </c>
      <c r="E1660" s="33" t="s">
        <v>6600</v>
      </c>
      <c r="F1660" s="33" t="s">
        <v>1815</v>
      </c>
      <c r="G1660" s="33" t="s">
        <v>45</v>
      </c>
      <c r="H1660" s="33" t="s">
        <v>2420</v>
      </c>
      <c r="I1660" s="33" t="s">
        <v>2420</v>
      </c>
      <c r="J1660" s="33" t="s">
        <v>6682</v>
      </c>
      <c r="K1660" s="33" t="s">
        <v>6602</v>
      </c>
      <c r="L1660" s="33" t="s">
        <v>2589</v>
      </c>
      <c r="M1660" s="33" t="str">
        <f>_xlfn.XLOOKUP(Tabela14[[#This Row],[Responsável]],Organograma!H:H,Organograma!G:G,"")</f>
        <v>OUV - Ouvidoria</v>
      </c>
      <c r="O1660" s="33" t="s">
        <v>1764</v>
      </c>
      <c r="Q1660" s="33" t="s">
        <v>6603</v>
      </c>
    </row>
    <row r="1661" spans="1:17" hidden="1">
      <c r="A1661" s="33" t="s">
        <v>6656</v>
      </c>
      <c r="B1661" s="33" t="s">
        <v>6683</v>
      </c>
      <c r="C1661" s="33" t="s">
        <v>6599</v>
      </c>
      <c r="D1661" s="33" t="s">
        <v>6684</v>
      </c>
      <c r="E1661" s="33" t="s">
        <v>6609</v>
      </c>
      <c r="F1661" s="33" t="s">
        <v>1815</v>
      </c>
      <c r="G1661" s="33" t="s">
        <v>45</v>
      </c>
      <c r="H1661" s="33" t="s">
        <v>2529</v>
      </c>
      <c r="I1661" s="33" t="s">
        <v>2529</v>
      </c>
      <c r="J1661" s="33" t="s">
        <v>6685</v>
      </c>
      <c r="K1661" s="33" t="s">
        <v>6611</v>
      </c>
      <c r="L1661" s="33" t="s">
        <v>2529</v>
      </c>
      <c r="M1661" s="33" t="str">
        <f>_xlfn.XLOOKUP(Tabela14[[#This Row],[Responsável]],Organograma!H:H,Organograma!G:G,"")</f>
        <v/>
      </c>
      <c r="O1661" s="33" t="s">
        <v>1764</v>
      </c>
      <c r="Q1661" s="33" t="s">
        <v>6603</v>
      </c>
    </row>
    <row r="1662" spans="1:17">
      <c r="A1662" s="33" t="s">
        <v>6656</v>
      </c>
      <c r="B1662" s="33" t="s">
        <v>6686</v>
      </c>
      <c r="C1662" s="33" t="s">
        <v>6599</v>
      </c>
      <c r="D1662" s="33" t="s">
        <v>68</v>
      </c>
      <c r="E1662" s="33" t="s">
        <v>3976</v>
      </c>
      <c r="F1662" s="33" t="s">
        <v>1856</v>
      </c>
      <c r="G1662" s="33" t="s">
        <v>45</v>
      </c>
      <c r="H1662" s="33" t="s">
        <v>2529</v>
      </c>
      <c r="I1662" s="33" t="s">
        <v>2529</v>
      </c>
      <c r="J1662" s="33" t="s">
        <v>6687</v>
      </c>
      <c r="K1662" s="33" t="s">
        <v>1791</v>
      </c>
      <c r="L1662" s="33" t="s">
        <v>2541</v>
      </c>
      <c r="M1662" s="33" t="str">
        <f>_xlfn.XLOOKUP(Tabela14[[#This Row],[Responsável]],Organograma!H:H,Organograma!G:G,"")</f>
        <v>UICC - Unidade de Internação Cirúrgica</v>
      </c>
      <c r="O1662" s="33" t="s">
        <v>1764</v>
      </c>
      <c r="Q1662" s="33" t="s">
        <v>6603</v>
      </c>
    </row>
    <row r="1663" spans="1:17">
      <c r="A1663" s="33" t="s">
        <v>6656</v>
      </c>
      <c r="B1663" s="33" t="s">
        <v>6688</v>
      </c>
      <c r="C1663" s="33" t="s">
        <v>6599</v>
      </c>
      <c r="D1663" s="33" t="s">
        <v>45</v>
      </c>
      <c r="E1663" s="33" t="s">
        <v>6689</v>
      </c>
      <c r="F1663" s="33" t="s">
        <v>1856</v>
      </c>
      <c r="G1663" s="33" t="s">
        <v>45</v>
      </c>
      <c r="H1663" s="33" t="s">
        <v>2529</v>
      </c>
      <c r="I1663" s="33" t="s">
        <v>2529</v>
      </c>
      <c r="J1663" s="33" t="s">
        <v>6690</v>
      </c>
      <c r="K1663" s="33" t="s">
        <v>3859</v>
      </c>
      <c r="L1663" s="33" t="s">
        <v>2692</v>
      </c>
      <c r="M1663" s="33" t="str">
        <f>_xlfn.XLOOKUP(Tabela14[[#This Row],[Responsável]],Organograma!H:H,Organograma!G:G,"")</f>
        <v>OUV - Ouvidoria</v>
      </c>
      <c r="O1663" s="33" t="s">
        <v>1764</v>
      </c>
      <c r="Q1663" s="33" t="s">
        <v>6603</v>
      </c>
    </row>
    <row r="1664" spans="1:17" hidden="1">
      <c r="A1664" s="33" t="s">
        <v>6656</v>
      </c>
      <c r="B1664" s="33" t="s">
        <v>6691</v>
      </c>
      <c r="C1664" s="33" t="s">
        <v>6599</v>
      </c>
      <c r="D1664" s="33" t="s">
        <v>81</v>
      </c>
      <c r="E1664" s="33" t="s">
        <v>6609</v>
      </c>
      <c r="F1664" s="33" t="s">
        <v>1815</v>
      </c>
      <c r="G1664" s="33" t="s">
        <v>45</v>
      </c>
      <c r="H1664" s="33" t="s">
        <v>2529</v>
      </c>
      <c r="I1664" s="33" t="s">
        <v>2529</v>
      </c>
      <c r="J1664" s="33" t="s">
        <v>6692</v>
      </c>
      <c r="K1664" s="33" t="s">
        <v>6611</v>
      </c>
      <c r="L1664" s="33" t="s">
        <v>2529</v>
      </c>
      <c r="M1664" s="33" t="str">
        <f>_xlfn.XLOOKUP(Tabela14[[#This Row],[Responsável]],Organograma!H:H,Organograma!G:G,"")</f>
        <v>CPN - Centro de Parto Normal</v>
      </c>
      <c r="O1664" s="33" t="s">
        <v>1764</v>
      </c>
      <c r="Q1664" s="33" t="s">
        <v>6603</v>
      </c>
    </row>
    <row r="1665" spans="1:17" hidden="1">
      <c r="A1665" s="33" t="s">
        <v>6656</v>
      </c>
      <c r="B1665" s="33" t="s">
        <v>6693</v>
      </c>
      <c r="C1665" s="33" t="s">
        <v>6599</v>
      </c>
      <c r="D1665" s="33" t="s">
        <v>45</v>
      </c>
      <c r="E1665" s="33" t="s">
        <v>6600</v>
      </c>
      <c r="F1665" s="33" t="s">
        <v>1856</v>
      </c>
      <c r="G1665" s="33" t="s">
        <v>45</v>
      </c>
      <c r="H1665" s="33" t="s">
        <v>2529</v>
      </c>
      <c r="I1665" s="33" t="s">
        <v>2529</v>
      </c>
      <c r="J1665" s="33" t="s">
        <v>6694</v>
      </c>
      <c r="K1665" s="33" t="s">
        <v>6602</v>
      </c>
      <c r="L1665" s="33" t="s">
        <v>2589</v>
      </c>
      <c r="M1665" s="33" t="str">
        <f>_xlfn.XLOOKUP(Tabela14[[#This Row],[Responsável]],Organograma!H:H,Organograma!G:G,"")</f>
        <v>OUV - Ouvidoria</v>
      </c>
      <c r="O1665" s="33" t="s">
        <v>1764</v>
      </c>
      <c r="Q1665" s="33" t="s">
        <v>6603</v>
      </c>
    </row>
    <row r="1666" spans="1:17">
      <c r="A1666" s="33" t="s">
        <v>6656</v>
      </c>
      <c r="B1666" s="33" t="s">
        <v>6695</v>
      </c>
      <c r="C1666" s="33" t="s">
        <v>6599</v>
      </c>
      <c r="D1666" s="33" t="s">
        <v>45</v>
      </c>
      <c r="E1666" s="33" t="s">
        <v>6658</v>
      </c>
      <c r="F1666" s="33" t="s">
        <v>1856</v>
      </c>
      <c r="G1666" s="33" t="s">
        <v>45</v>
      </c>
      <c r="H1666" s="33" t="s">
        <v>2529</v>
      </c>
      <c r="I1666" s="33" t="s">
        <v>2529</v>
      </c>
      <c r="J1666" s="33" t="s">
        <v>6696</v>
      </c>
      <c r="K1666" s="33" t="s">
        <v>1791</v>
      </c>
      <c r="L1666" s="33" t="s">
        <v>3562</v>
      </c>
      <c r="M1666" s="33" t="str">
        <f>_xlfn.XLOOKUP(Tabela14[[#This Row],[Responsável]],Organograma!H:H,Organograma!G:G,"")</f>
        <v>OUV - Ouvidoria</v>
      </c>
      <c r="O1666" s="33" t="s">
        <v>1764</v>
      </c>
      <c r="Q1666" s="33" t="s">
        <v>6603</v>
      </c>
    </row>
    <row r="1667" spans="1:17">
      <c r="A1667" s="33" t="s">
        <v>6656</v>
      </c>
      <c r="B1667" s="33" t="s">
        <v>6697</v>
      </c>
      <c r="C1667" s="33" t="s">
        <v>6599</v>
      </c>
      <c r="D1667" s="33" t="s">
        <v>45</v>
      </c>
      <c r="E1667" s="33" t="s">
        <v>6658</v>
      </c>
      <c r="F1667" s="33" t="s">
        <v>1815</v>
      </c>
      <c r="G1667" s="33" t="s">
        <v>45</v>
      </c>
      <c r="H1667" s="33" t="s">
        <v>2529</v>
      </c>
      <c r="I1667" s="33" t="s">
        <v>2529</v>
      </c>
      <c r="J1667" s="33" t="s">
        <v>6698</v>
      </c>
      <c r="K1667" s="33" t="s">
        <v>1791</v>
      </c>
      <c r="L1667" s="33" t="s">
        <v>3562</v>
      </c>
      <c r="M1667" s="33" t="str">
        <f>_xlfn.XLOOKUP(Tabela14[[#This Row],[Responsável]],Organograma!H:H,Organograma!G:G,"")</f>
        <v>OUV - Ouvidoria</v>
      </c>
      <c r="O1667" s="33" t="s">
        <v>1764</v>
      </c>
      <c r="Q1667" s="33" t="s">
        <v>6603</v>
      </c>
    </row>
    <row r="1668" spans="1:17" hidden="1">
      <c r="A1668" s="33" t="s">
        <v>6656</v>
      </c>
      <c r="B1668" s="33" t="s">
        <v>6699</v>
      </c>
      <c r="C1668" s="33" t="s">
        <v>6599</v>
      </c>
      <c r="D1668" s="33" t="s">
        <v>45</v>
      </c>
      <c r="E1668" s="33" t="s">
        <v>6600</v>
      </c>
      <c r="F1668" s="33" t="s">
        <v>1815</v>
      </c>
      <c r="G1668" s="33" t="s">
        <v>45</v>
      </c>
      <c r="H1668" s="33" t="s">
        <v>2529</v>
      </c>
      <c r="I1668" s="33" t="s">
        <v>2529</v>
      </c>
      <c r="J1668" s="33" t="s">
        <v>6700</v>
      </c>
      <c r="K1668" s="33" t="s">
        <v>6602</v>
      </c>
      <c r="L1668" s="33" t="s">
        <v>3175</v>
      </c>
      <c r="M1668" s="33" t="str">
        <f>_xlfn.XLOOKUP(Tabela14[[#This Row],[Responsável]],Organograma!H:H,Organograma!G:G,"")</f>
        <v>OUV - Ouvidoria</v>
      </c>
      <c r="O1668" s="33" t="s">
        <v>1764</v>
      </c>
      <c r="Q1668" s="33" t="s">
        <v>6603</v>
      </c>
    </row>
    <row r="1669" spans="1:17" hidden="1">
      <c r="A1669" s="33" t="s">
        <v>6656</v>
      </c>
      <c r="B1669" s="33" t="s">
        <v>6701</v>
      </c>
      <c r="C1669" s="33" t="s">
        <v>6599</v>
      </c>
      <c r="D1669" s="33" t="s">
        <v>6684</v>
      </c>
      <c r="E1669" s="33" t="s">
        <v>6609</v>
      </c>
      <c r="F1669" s="33" t="s">
        <v>1856</v>
      </c>
      <c r="G1669" s="33" t="s">
        <v>45</v>
      </c>
      <c r="H1669" s="33" t="s">
        <v>2541</v>
      </c>
      <c r="I1669" s="33" t="s">
        <v>2541</v>
      </c>
      <c r="J1669" s="33" t="s">
        <v>6702</v>
      </c>
      <c r="K1669" s="33" t="s">
        <v>6611</v>
      </c>
      <c r="L1669" s="33" t="s">
        <v>2541</v>
      </c>
      <c r="M1669" s="33" t="str">
        <f>_xlfn.XLOOKUP(Tabela14[[#This Row],[Responsável]],Organograma!H:H,Organograma!G:G,"")</f>
        <v/>
      </c>
      <c r="O1669" s="33" t="s">
        <v>1764</v>
      </c>
      <c r="Q1669" s="33" t="s">
        <v>6603</v>
      </c>
    </row>
    <row r="1670" spans="1:17" hidden="1">
      <c r="A1670" s="33" t="s">
        <v>6656</v>
      </c>
      <c r="B1670" s="33" t="s">
        <v>6703</v>
      </c>
      <c r="C1670" s="33" t="s">
        <v>6599</v>
      </c>
      <c r="D1670" s="33" t="s">
        <v>45</v>
      </c>
      <c r="E1670" s="33" t="s">
        <v>6600</v>
      </c>
      <c r="F1670" s="33" t="s">
        <v>1815</v>
      </c>
      <c r="G1670" s="33" t="s">
        <v>45</v>
      </c>
      <c r="H1670" s="33" t="s">
        <v>2541</v>
      </c>
      <c r="I1670" s="33" t="s">
        <v>2541</v>
      </c>
      <c r="J1670" s="33" t="s">
        <v>6704</v>
      </c>
      <c r="K1670" s="33" t="s">
        <v>6602</v>
      </c>
      <c r="L1670" s="33" t="s">
        <v>3175</v>
      </c>
      <c r="M1670" s="33" t="str">
        <f>_xlfn.XLOOKUP(Tabela14[[#This Row],[Responsável]],Organograma!H:H,Organograma!G:G,"")</f>
        <v>OUV - Ouvidoria</v>
      </c>
      <c r="O1670" s="33" t="s">
        <v>1764</v>
      </c>
      <c r="Q1670" s="33" t="s">
        <v>6603</v>
      </c>
    </row>
    <row r="1671" spans="1:17" hidden="1">
      <c r="A1671" s="33" t="s">
        <v>6656</v>
      </c>
      <c r="B1671" s="33" t="s">
        <v>6705</v>
      </c>
      <c r="C1671" s="33" t="s">
        <v>6599</v>
      </c>
      <c r="D1671" s="33" t="s">
        <v>45</v>
      </c>
      <c r="E1671" s="33" t="s">
        <v>6600</v>
      </c>
      <c r="F1671" s="33" t="s">
        <v>1815</v>
      </c>
      <c r="G1671" s="33" t="s">
        <v>45</v>
      </c>
      <c r="H1671" s="33" t="s">
        <v>2541</v>
      </c>
      <c r="I1671" s="33" t="s">
        <v>2541</v>
      </c>
      <c r="J1671" s="33" t="s">
        <v>6706</v>
      </c>
      <c r="K1671" s="33" t="s">
        <v>6602</v>
      </c>
      <c r="L1671" s="33" t="s">
        <v>2589</v>
      </c>
      <c r="M1671" s="33" t="str">
        <f>_xlfn.XLOOKUP(Tabela14[[#This Row],[Responsável]],Organograma!H:H,Organograma!G:G,"")</f>
        <v>OUV - Ouvidoria</v>
      </c>
      <c r="O1671" s="33" t="s">
        <v>1764</v>
      </c>
      <c r="Q1671" s="33" t="s">
        <v>6603</v>
      </c>
    </row>
    <row r="1672" spans="1:17" hidden="1">
      <c r="A1672" s="33" t="s">
        <v>6604</v>
      </c>
      <c r="B1672" s="33" t="s">
        <v>6707</v>
      </c>
      <c r="C1672" s="33" t="s">
        <v>6599</v>
      </c>
      <c r="D1672" s="33" t="s">
        <v>45</v>
      </c>
      <c r="E1672" s="33" t="s">
        <v>6600</v>
      </c>
      <c r="F1672" s="33" t="s">
        <v>1815</v>
      </c>
      <c r="G1672" s="33" t="s">
        <v>45</v>
      </c>
      <c r="H1672" s="33" t="s">
        <v>2428</v>
      </c>
      <c r="I1672" s="33" t="s">
        <v>2428</v>
      </c>
      <c r="J1672" s="33" t="s">
        <v>6708</v>
      </c>
      <c r="K1672" s="33" t="s">
        <v>6602</v>
      </c>
      <c r="L1672" s="33" t="s">
        <v>2902</v>
      </c>
      <c r="M1672" s="33" t="str">
        <f>_xlfn.XLOOKUP(Tabela14[[#This Row],[Responsável]],Organograma!H:H,Organograma!G:G,"")</f>
        <v>OUV - Ouvidoria</v>
      </c>
      <c r="O1672" s="33" t="s">
        <v>1764</v>
      </c>
      <c r="Q1672" s="33" t="s">
        <v>6603</v>
      </c>
    </row>
    <row r="1673" spans="1:17" hidden="1">
      <c r="A1673" s="33" t="s">
        <v>6648</v>
      </c>
      <c r="B1673" s="33" t="s">
        <v>6709</v>
      </c>
      <c r="C1673" s="33" t="s">
        <v>6599</v>
      </c>
      <c r="D1673" s="33" t="s">
        <v>45</v>
      </c>
      <c r="E1673" s="33" t="s">
        <v>6600</v>
      </c>
      <c r="F1673" s="33" t="s">
        <v>1815</v>
      </c>
      <c r="G1673" s="33" t="s">
        <v>45</v>
      </c>
      <c r="H1673" s="33" t="s">
        <v>2666</v>
      </c>
      <c r="I1673" s="33" t="s">
        <v>2666</v>
      </c>
      <c r="J1673" s="33" t="s">
        <v>6710</v>
      </c>
      <c r="K1673" s="33" t="s">
        <v>6602</v>
      </c>
      <c r="L1673" s="33" t="s">
        <v>3175</v>
      </c>
      <c r="M1673" s="33" t="str">
        <f>_xlfn.XLOOKUP(Tabela14[[#This Row],[Responsável]],Organograma!H:H,Organograma!G:G,"")</f>
        <v>OUV - Ouvidoria</v>
      </c>
      <c r="O1673" s="33" t="s">
        <v>1764</v>
      </c>
      <c r="Q1673" s="33" t="s">
        <v>6603</v>
      </c>
    </row>
    <row r="1674" spans="1:17">
      <c r="A1674" s="33" t="s">
        <v>6648</v>
      </c>
      <c r="B1674" s="33" t="s">
        <v>6711</v>
      </c>
      <c r="C1674" s="33" t="s">
        <v>6599</v>
      </c>
      <c r="D1674" s="33" t="s">
        <v>45</v>
      </c>
      <c r="E1674" s="33" t="s">
        <v>6658</v>
      </c>
      <c r="F1674" s="33" t="s">
        <v>1815</v>
      </c>
      <c r="G1674" s="33" t="s">
        <v>45</v>
      </c>
      <c r="H1674" s="33" t="s">
        <v>2666</v>
      </c>
      <c r="I1674" s="33" t="s">
        <v>2666</v>
      </c>
      <c r="J1674" s="33" t="s">
        <v>6712</v>
      </c>
      <c r="K1674" s="33" t="s">
        <v>1791</v>
      </c>
      <c r="L1674" s="33" t="s">
        <v>3562</v>
      </c>
      <c r="M1674" s="33" t="str">
        <f>_xlfn.XLOOKUP(Tabela14[[#This Row],[Responsável]],Organograma!H:H,Organograma!G:G,"")</f>
        <v>OUV - Ouvidoria</v>
      </c>
      <c r="O1674" s="33" t="s">
        <v>1764</v>
      </c>
      <c r="Q1674" s="33" t="s">
        <v>6603</v>
      </c>
    </row>
    <row r="1675" spans="1:17" hidden="1">
      <c r="A1675" s="33" t="s">
        <v>6648</v>
      </c>
      <c r="B1675" s="33" t="s">
        <v>6713</v>
      </c>
      <c r="C1675" s="33" t="s">
        <v>6599</v>
      </c>
      <c r="D1675" s="33" t="s">
        <v>45</v>
      </c>
      <c r="E1675" s="33" t="s">
        <v>6600</v>
      </c>
      <c r="F1675" s="33" t="s">
        <v>1856</v>
      </c>
      <c r="G1675" s="33" t="s">
        <v>45</v>
      </c>
      <c r="H1675" s="33" t="s">
        <v>2666</v>
      </c>
      <c r="I1675" s="33" t="s">
        <v>2666</v>
      </c>
      <c r="J1675" s="33" t="s">
        <v>6714</v>
      </c>
      <c r="K1675" s="33" t="s">
        <v>6602</v>
      </c>
      <c r="L1675" s="33" t="s">
        <v>2769</v>
      </c>
      <c r="M1675" s="33" t="str">
        <f>_xlfn.XLOOKUP(Tabela14[[#This Row],[Responsável]],Organograma!H:H,Organograma!G:G,"")</f>
        <v>OUV - Ouvidoria</v>
      </c>
      <c r="O1675" s="33" t="s">
        <v>1764</v>
      </c>
      <c r="Q1675" s="33" t="s">
        <v>6603</v>
      </c>
    </row>
    <row r="1676" spans="1:17" hidden="1">
      <c r="A1676" s="33" t="s">
        <v>6607</v>
      </c>
      <c r="B1676" s="33" t="s">
        <v>6715</v>
      </c>
      <c r="C1676" s="33" t="s">
        <v>6599</v>
      </c>
      <c r="D1676" s="33" t="s">
        <v>81</v>
      </c>
      <c r="E1676" s="33" t="s">
        <v>6609</v>
      </c>
      <c r="F1676" s="33" t="s">
        <v>2011</v>
      </c>
      <c r="G1676" s="33" t="s">
        <v>45</v>
      </c>
      <c r="H1676" s="33" t="s">
        <v>2692</v>
      </c>
      <c r="I1676" s="33" t="s">
        <v>2692</v>
      </c>
      <c r="J1676" s="33" t="s">
        <v>6716</v>
      </c>
      <c r="K1676" s="33" t="s">
        <v>6611</v>
      </c>
      <c r="L1676" s="33" t="s">
        <v>2692</v>
      </c>
      <c r="M1676" s="33" t="str">
        <f>_xlfn.XLOOKUP(Tabela14[[#This Row],[Responsável]],Organograma!H:H,Organograma!G:G,"")</f>
        <v>CPN - Centro de Parto Normal</v>
      </c>
      <c r="O1676" s="33" t="s">
        <v>1764</v>
      </c>
      <c r="Q1676" s="33" t="s">
        <v>6603</v>
      </c>
    </row>
    <row r="1677" spans="1:17">
      <c r="A1677" s="33" t="s">
        <v>6604</v>
      </c>
      <c r="B1677" s="33" t="s">
        <v>6717</v>
      </c>
      <c r="C1677" s="33" t="s">
        <v>6599</v>
      </c>
      <c r="D1677" s="33" t="s">
        <v>68</v>
      </c>
      <c r="E1677" s="33" t="s">
        <v>3976</v>
      </c>
      <c r="F1677" s="33" t="s">
        <v>2069</v>
      </c>
      <c r="G1677" s="33" t="s">
        <v>45</v>
      </c>
      <c r="H1677" s="33" t="s">
        <v>2692</v>
      </c>
      <c r="I1677" s="33" t="s">
        <v>2692</v>
      </c>
      <c r="J1677" s="33" t="s">
        <v>6718</v>
      </c>
      <c r="K1677" s="33" t="s">
        <v>1791</v>
      </c>
      <c r="L1677" s="33" t="s">
        <v>2735</v>
      </c>
      <c r="M1677" s="33" t="str">
        <f>_xlfn.XLOOKUP(Tabela14[[#This Row],[Responsável]],Organograma!H:H,Organograma!G:G,"")</f>
        <v>UICC - Unidade de Internação Cirúrgica</v>
      </c>
      <c r="O1677" s="33" t="s">
        <v>1764</v>
      </c>
      <c r="Q1677" s="33" t="s">
        <v>6603</v>
      </c>
    </row>
    <row r="1678" spans="1:17" hidden="1">
      <c r="A1678" s="33" t="s">
        <v>6604</v>
      </c>
      <c r="B1678" s="33" t="s">
        <v>6719</v>
      </c>
      <c r="C1678" s="33" t="s">
        <v>6599</v>
      </c>
      <c r="D1678" s="33" t="s">
        <v>45</v>
      </c>
      <c r="E1678" s="33" t="s">
        <v>6600</v>
      </c>
      <c r="F1678" s="33" t="s">
        <v>1856</v>
      </c>
      <c r="G1678" s="33" t="s">
        <v>45</v>
      </c>
      <c r="H1678" s="33" t="s">
        <v>2692</v>
      </c>
      <c r="I1678" s="33" t="s">
        <v>2692</v>
      </c>
      <c r="J1678" s="33" t="s">
        <v>6720</v>
      </c>
      <c r="K1678" s="33" t="s">
        <v>6602</v>
      </c>
      <c r="L1678" s="33" t="s">
        <v>2902</v>
      </c>
      <c r="M1678" s="33" t="str">
        <f>_xlfn.XLOOKUP(Tabela14[[#This Row],[Responsável]],Organograma!H:H,Organograma!G:G,"")</f>
        <v>OUV - Ouvidoria</v>
      </c>
      <c r="O1678" s="33" t="s">
        <v>1764</v>
      </c>
      <c r="Q1678" s="33" t="s">
        <v>6603</v>
      </c>
    </row>
    <row r="1679" spans="1:17">
      <c r="A1679" s="33" t="s">
        <v>6607</v>
      </c>
      <c r="B1679" s="33" t="s">
        <v>6721</v>
      </c>
      <c r="C1679" s="33" t="s">
        <v>6599</v>
      </c>
      <c r="D1679" s="33" t="s">
        <v>94</v>
      </c>
      <c r="E1679" s="33" t="s">
        <v>3976</v>
      </c>
      <c r="F1679" s="33" t="s">
        <v>1864</v>
      </c>
      <c r="G1679" s="33" t="s">
        <v>45</v>
      </c>
      <c r="H1679" s="33" t="s">
        <v>2692</v>
      </c>
      <c r="I1679" s="33" t="s">
        <v>2692</v>
      </c>
      <c r="J1679" s="33" t="s">
        <v>6722</v>
      </c>
      <c r="K1679" s="33" t="s">
        <v>1791</v>
      </c>
      <c r="L1679" s="33" t="s">
        <v>2685</v>
      </c>
      <c r="M1679" s="33" t="str">
        <f>_xlfn.XLOOKUP(Tabela14[[#This Row],[Responsável]],Organograma!H:H,Organograma!G:G,"")</f>
        <v>SADT - Unidade de Diagnóstico Por Imagem</v>
      </c>
      <c r="O1679" s="33" t="s">
        <v>1764</v>
      </c>
      <c r="Q1679" s="33" t="s">
        <v>6603</v>
      </c>
    </row>
    <row r="1680" spans="1:17" hidden="1">
      <c r="A1680" s="33" t="s">
        <v>6607</v>
      </c>
      <c r="B1680" s="33" t="s">
        <v>6723</v>
      </c>
      <c r="C1680" s="33" t="s">
        <v>6599</v>
      </c>
      <c r="D1680" s="33" t="s">
        <v>45</v>
      </c>
      <c r="E1680" s="33" t="s">
        <v>3857</v>
      </c>
      <c r="F1680" s="33" t="s">
        <v>1856</v>
      </c>
      <c r="G1680" s="33" t="s">
        <v>45</v>
      </c>
      <c r="H1680" s="33" t="s">
        <v>2735</v>
      </c>
      <c r="I1680" s="33" t="s">
        <v>2735</v>
      </c>
      <c r="J1680" s="33" t="s">
        <v>6724</v>
      </c>
      <c r="K1680" s="33" t="s">
        <v>3859</v>
      </c>
      <c r="L1680" s="33" t="s">
        <v>2735</v>
      </c>
      <c r="M1680" s="33" t="str">
        <f>_xlfn.XLOOKUP(Tabela14[[#This Row],[Responsável]],Organograma!H:H,Organograma!G:G,"")</f>
        <v>OUV - Ouvidoria</v>
      </c>
      <c r="O1680" s="33" t="s">
        <v>1764</v>
      </c>
      <c r="Q1680" s="33" t="s">
        <v>6603</v>
      </c>
    </row>
    <row r="1681" spans="1:17" hidden="1">
      <c r="A1681" s="33" t="s">
        <v>6604</v>
      </c>
      <c r="B1681" s="33" t="s">
        <v>6725</v>
      </c>
      <c r="C1681" s="33" t="s">
        <v>6599</v>
      </c>
      <c r="D1681" s="33" t="s">
        <v>81</v>
      </c>
      <c r="E1681" s="33" t="s">
        <v>6609</v>
      </c>
      <c r="F1681" s="33" t="s">
        <v>1815</v>
      </c>
      <c r="G1681" s="33" t="s">
        <v>45</v>
      </c>
      <c r="H1681" s="33" t="s">
        <v>2735</v>
      </c>
      <c r="I1681" s="33" t="s">
        <v>2735</v>
      </c>
      <c r="J1681" s="33" t="s">
        <v>6716</v>
      </c>
      <c r="K1681" s="33" t="s">
        <v>6611</v>
      </c>
      <c r="L1681" s="33" t="s">
        <v>2735</v>
      </c>
      <c r="M1681" s="33" t="str">
        <f>_xlfn.XLOOKUP(Tabela14[[#This Row],[Responsável]],Organograma!H:H,Organograma!G:G,"")</f>
        <v>CPN - Centro de Parto Normal</v>
      </c>
      <c r="O1681" s="33" t="s">
        <v>1764</v>
      </c>
      <c r="Q1681" s="33" t="s">
        <v>6603</v>
      </c>
    </row>
    <row r="1682" spans="1:17">
      <c r="A1682" s="33" t="s">
        <v>6604</v>
      </c>
      <c r="B1682" s="33" t="s">
        <v>6726</v>
      </c>
      <c r="C1682" s="33" t="s">
        <v>6599</v>
      </c>
      <c r="D1682" s="33" t="s">
        <v>45</v>
      </c>
      <c r="E1682" s="33" t="s">
        <v>6689</v>
      </c>
      <c r="F1682" s="33" t="s">
        <v>1815</v>
      </c>
      <c r="G1682" s="33" t="s">
        <v>45</v>
      </c>
      <c r="H1682" s="33" t="s">
        <v>2735</v>
      </c>
      <c r="I1682" s="33" t="s">
        <v>2735</v>
      </c>
      <c r="J1682" s="33" t="s">
        <v>6727</v>
      </c>
      <c r="K1682" s="33" t="s">
        <v>3859</v>
      </c>
      <c r="L1682" s="33" t="s">
        <v>2473</v>
      </c>
      <c r="M1682" s="33" t="str">
        <f>_xlfn.XLOOKUP(Tabela14[[#This Row],[Responsável]],Organograma!H:H,Organograma!G:G,"")</f>
        <v>OUV - Ouvidoria</v>
      </c>
      <c r="O1682" s="33" t="s">
        <v>1764</v>
      </c>
      <c r="Q1682" s="33" t="s">
        <v>6603</v>
      </c>
    </row>
    <row r="1683" spans="1:17" hidden="1">
      <c r="A1683" s="33" t="s">
        <v>6656</v>
      </c>
      <c r="B1683" s="33" t="s">
        <v>6728</v>
      </c>
      <c r="C1683" s="33" t="s">
        <v>6599</v>
      </c>
      <c r="D1683" s="33" t="s">
        <v>45</v>
      </c>
      <c r="E1683" s="33" t="s">
        <v>6600</v>
      </c>
      <c r="F1683" s="33" t="s">
        <v>1864</v>
      </c>
      <c r="G1683" s="33" t="s">
        <v>45</v>
      </c>
      <c r="H1683" s="33" t="s">
        <v>2473</v>
      </c>
      <c r="I1683" s="33" t="s">
        <v>2473</v>
      </c>
      <c r="J1683" s="33" t="s">
        <v>6729</v>
      </c>
      <c r="K1683" s="33" t="s">
        <v>6602</v>
      </c>
      <c r="L1683" s="33" t="s">
        <v>3175</v>
      </c>
      <c r="M1683" s="33" t="str">
        <f>_xlfn.XLOOKUP(Tabela14[[#This Row],[Responsável]],Organograma!H:H,Organograma!G:G,"")</f>
        <v>OUV - Ouvidoria</v>
      </c>
      <c r="O1683" s="33" t="s">
        <v>1764</v>
      </c>
      <c r="Q1683" s="33" t="s">
        <v>6603</v>
      </c>
    </row>
    <row r="1684" spans="1:17">
      <c r="A1684" s="33" t="s">
        <v>6656</v>
      </c>
      <c r="B1684" s="33" t="s">
        <v>6730</v>
      </c>
      <c r="C1684" s="33" t="s">
        <v>6599</v>
      </c>
      <c r="D1684" s="33" t="s">
        <v>45</v>
      </c>
      <c r="E1684" s="33" t="s">
        <v>6658</v>
      </c>
      <c r="F1684" s="33" t="s">
        <v>1864</v>
      </c>
      <c r="G1684" s="33" t="s">
        <v>45</v>
      </c>
      <c r="H1684" s="33" t="s">
        <v>2503</v>
      </c>
      <c r="I1684" s="33" t="s">
        <v>2503</v>
      </c>
      <c r="J1684" s="33" t="s">
        <v>6731</v>
      </c>
      <c r="K1684" s="33" t="s">
        <v>1791</v>
      </c>
      <c r="L1684" s="33" t="s">
        <v>1206</v>
      </c>
      <c r="M1684" s="33" t="str">
        <f>_xlfn.XLOOKUP(Tabela14[[#This Row],[Responsável]],Organograma!H:H,Organograma!G:G,"")</f>
        <v>OUV - Ouvidoria</v>
      </c>
      <c r="O1684" s="33" t="s">
        <v>1764</v>
      </c>
      <c r="Q1684" s="33" t="s">
        <v>6603</v>
      </c>
    </row>
    <row r="1685" spans="1:17">
      <c r="A1685" s="33" t="s">
        <v>6732</v>
      </c>
      <c r="B1685" s="33" t="s">
        <v>6733</v>
      </c>
      <c r="C1685" s="33" t="s">
        <v>6599</v>
      </c>
      <c r="D1685" s="33" t="s">
        <v>45</v>
      </c>
      <c r="E1685" s="33" t="s">
        <v>6658</v>
      </c>
      <c r="F1685" s="33" t="s">
        <v>2579</v>
      </c>
      <c r="G1685" s="33" t="s">
        <v>45</v>
      </c>
      <c r="H1685" s="33" t="s">
        <v>2695</v>
      </c>
      <c r="I1685" s="33" t="s">
        <v>2695</v>
      </c>
      <c r="J1685" s="33" t="s">
        <v>6734</v>
      </c>
      <c r="K1685" s="33" t="s">
        <v>1791</v>
      </c>
      <c r="L1685" s="33" t="s">
        <v>3318</v>
      </c>
      <c r="M1685" s="33" t="str">
        <f>_xlfn.XLOOKUP(Tabela14[[#This Row],[Responsável]],Organograma!H:H,Organograma!G:G,"")</f>
        <v>OUV - Ouvidoria</v>
      </c>
      <c r="O1685" s="33" t="s">
        <v>1764</v>
      </c>
      <c r="Q1685" s="33" t="s">
        <v>6603</v>
      </c>
    </row>
    <row r="1686" spans="1:17">
      <c r="A1686" s="33" t="s">
        <v>6648</v>
      </c>
      <c r="B1686" s="33" t="s">
        <v>6735</v>
      </c>
      <c r="C1686" s="33" t="s">
        <v>6599</v>
      </c>
      <c r="D1686" s="33" t="s">
        <v>45</v>
      </c>
      <c r="E1686" s="33" t="s">
        <v>936</v>
      </c>
      <c r="F1686" s="33" t="s">
        <v>1815</v>
      </c>
      <c r="G1686" s="33" t="s">
        <v>45</v>
      </c>
      <c r="H1686" s="33" t="s">
        <v>3091</v>
      </c>
      <c r="I1686" s="33" t="s">
        <v>3091</v>
      </c>
      <c r="J1686" s="33" t="s">
        <v>6736</v>
      </c>
      <c r="K1686" s="33" t="s">
        <v>6737</v>
      </c>
      <c r="L1686" s="33" t="s">
        <v>3500</v>
      </c>
      <c r="M1686" s="33" t="str">
        <f>_xlfn.XLOOKUP(Tabela14[[#This Row],[Responsável]],Organograma!H:H,Organograma!G:G,"")</f>
        <v>OUV - Ouvidoria</v>
      </c>
      <c r="O1686" s="33" t="s">
        <v>1764</v>
      </c>
      <c r="Q1686" s="33" t="s">
        <v>6603</v>
      </c>
    </row>
    <row r="1687" spans="1:17" hidden="1">
      <c r="A1687" s="33" t="s">
        <v>6648</v>
      </c>
      <c r="B1687" s="33" t="s">
        <v>6738</v>
      </c>
      <c r="C1687" s="33" t="s">
        <v>6599</v>
      </c>
      <c r="D1687" s="33" t="s">
        <v>45</v>
      </c>
      <c r="E1687" s="33" t="s">
        <v>6600</v>
      </c>
      <c r="F1687" s="33" t="s">
        <v>1815</v>
      </c>
      <c r="G1687" s="33" t="s">
        <v>45</v>
      </c>
      <c r="H1687" s="33" t="s">
        <v>3175</v>
      </c>
      <c r="I1687" s="33" t="s">
        <v>3175</v>
      </c>
      <c r="J1687" s="33" t="s">
        <v>6739</v>
      </c>
      <c r="K1687" s="33" t="s">
        <v>6602</v>
      </c>
      <c r="L1687" s="33" t="s">
        <v>3135</v>
      </c>
      <c r="M1687" s="33" t="str">
        <f>_xlfn.XLOOKUP(Tabela14[[#This Row],[Responsável]],Organograma!H:H,Organograma!G:G,"")</f>
        <v>OUV - Ouvidoria</v>
      </c>
      <c r="O1687" s="33" t="s">
        <v>1764</v>
      </c>
      <c r="Q1687" s="33" t="s">
        <v>6603</v>
      </c>
    </row>
    <row r="1688" spans="1:17" hidden="1">
      <c r="A1688" s="33" t="s">
        <v>6648</v>
      </c>
      <c r="B1688" s="33" t="s">
        <v>6740</v>
      </c>
      <c r="C1688" s="33" t="s">
        <v>6599</v>
      </c>
      <c r="D1688" s="33" t="s">
        <v>45</v>
      </c>
      <c r="E1688" s="33" t="s">
        <v>6600</v>
      </c>
      <c r="F1688" s="33" t="s">
        <v>1815</v>
      </c>
      <c r="G1688" s="33" t="s">
        <v>45</v>
      </c>
      <c r="H1688" s="33" t="s">
        <v>3175</v>
      </c>
      <c r="I1688" s="33" t="s">
        <v>3175</v>
      </c>
      <c r="J1688" s="33" t="s">
        <v>6741</v>
      </c>
      <c r="K1688" s="33" t="s">
        <v>6602</v>
      </c>
      <c r="L1688" s="33" t="s">
        <v>3500</v>
      </c>
      <c r="M1688" s="33" t="str">
        <f>_xlfn.XLOOKUP(Tabela14[[#This Row],[Responsável]],Organograma!H:H,Organograma!G:G,"")</f>
        <v>OUV - Ouvidoria</v>
      </c>
      <c r="O1688" s="33" t="s">
        <v>1764</v>
      </c>
      <c r="Q1688" s="33" t="s">
        <v>6603</v>
      </c>
    </row>
    <row r="1689" spans="1:17">
      <c r="A1689" s="33" t="s">
        <v>6656</v>
      </c>
      <c r="B1689" s="33" t="s">
        <v>6742</v>
      </c>
      <c r="C1689" s="33" t="s">
        <v>6599</v>
      </c>
      <c r="D1689" s="33" t="s">
        <v>68</v>
      </c>
      <c r="E1689" s="33" t="s">
        <v>3976</v>
      </c>
      <c r="F1689" s="33" t="s">
        <v>2330</v>
      </c>
      <c r="G1689" s="33" t="s">
        <v>45</v>
      </c>
      <c r="H1689" s="33" t="s">
        <v>3175</v>
      </c>
      <c r="I1689" s="33" t="s">
        <v>3175</v>
      </c>
      <c r="J1689" s="33" t="s">
        <v>6743</v>
      </c>
      <c r="K1689" s="33" t="s">
        <v>1791</v>
      </c>
      <c r="L1689" s="33" t="s">
        <v>3194</v>
      </c>
      <c r="M1689" s="33" t="str">
        <f>_xlfn.XLOOKUP(Tabela14[[#This Row],[Responsável]],Organograma!H:H,Organograma!G:G,"")</f>
        <v>UICC - Unidade de Internação Cirúrgica</v>
      </c>
      <c r="O1689" s="33" t="s">
        <v>1764</v>
      </c>
      <c r="Q1689" s="33" t="s">
        <v>6603</v>
      </c>
    </row>
    <row r="1690" spans="1:17" hidden="1">
      <c r="A1690" s="33" t="s">
        <v>6656</v>
      </c>
      <c r="B1690" s="33" t="s">
        <v>6744</v>
      </c>
      <c r="C1690" s="33" t="s">
        <v>6599</v>
      </c>
      <c r="D1690" s="33" t="s">
        <v>45</v>
      </c>
      <c r="E1690" s="33" t="s">
        <v>6600</v>
      </c>
      <c r="F1690" s="33" t="s">
        <v>2579</v>
      </c>
      <c r="G1690" s="33" t="s">
        <v>45</v>
      </c>
      <c r="H1690" s="33" t="s">
        <v>3175</v>
      </c>
      <c r="I1690" s="33" t="s">
        <v>3175</v>
      </c>
      <c r="J1690" s="33" t="s">
        <v>6745</v>
      </c>
      <c r="K1690" s="33" t="s">
        <v>6602</v>
      </c>
      <c r="L1690" s="33" t="s">
        <v>3500</v>
      </c>
      <c r="M1690" s="33" t="str">
        <f>_xlfn.XLOOKUP(Tabela14[[#This Row],[Responsável]],Organograma!H:H,Organograma!G:G,"")</f>
        <v>OUV - Ouvidoria</v>
      </c>
      <c r="O1690" s="33" t="s">
        <v>1764</v>
      </c>
      <c r="Q1690" s="33" t="s">
        <v>6603</v>
      </c>
    </row>
    <row r="1691" spans="1:17" hidden="1">
      <c r="A1691" s="33" t="s">
        <v>6656</v>
      </c>
      <c r="B1691" s="33" t="s">
        <v>6746</v>
      </c>
      <c r="C1691" s="33" t="s">
        <v>6599</v>
      </c>
      <c r="D1691" s="33" t="s">
        <v>45</v>
      </c>
      <c r="E1691" s="33" t="s">
        <v>6600</v>
      </c>
      <c r="F1691" s="33" t="s">
        <v>1864</v>
      </c>
      <c r="G1691" s="33" t="s">
        <v>45</v>
      </c>
      <c r="H1691" s="33" t="s">
        <v>3175</v>
      </c>
      <c r="I1691" s="33" t="s">
        <v>3175</v>
      </c>
      <c r="J1691" s="33" t="s">
        <v>6747</v>
      </c>
      <c r="K1691" s="33" t="s">
        <v>6602</v>
      </c>
      <c r="L1691" s="33" t="s">
        <v>3242</v>
      </c>
      <c r="M1691" s="33" t="str">
        <f>_xlfn.XLOOKUP(Tabela14[[#This Row],[Responsável]],Organograma!H:H,Organograma!G:G,"")</f>
        <v>OUV - Ouvidoria</v>
      </c>
      <c r="O1691" s="33" t="s">
        <v>1764</v>
      </c>
      <c r="Q1691" s="33" t="s">
        <v>6603</v>
      </c>
    </row>
    <row r="1692" spans="1:17">
      <c r="A1692" s="33" t="s">
        <v>6656</v>
      </c>
      <c r="B1692" s="33" t="s">
        <v>6748</v>
      </c>
      <c r="C1692" s="33" t="s">
        <v>6599</v>
      </c>
      <c r="D1692" s="33" t="s">
        <v>2274</v>
      </c>
      <c r="E1692" s="33" t="s">
        <v>3976</v>
      </c>
      <c r="F1692" s="33" t="s">
        <v>2022</v>
      </c>
      <c r="G1692" s="33" t="s">
        <v>45</v>
      </c>
      <c r="H1692" s="33" t="s">
        <v>3175</v>
      </c>
      <c r="I1692" s="33" t="s">
        <v>3175</v>
      </c>
      <c r="J1692" s="33" t="s">
        <v>6749</v>
      </c>
      <c r="K1692" s="33" t="s">
        <v>1791</v>
      </c>
      <c r="L1692" s="33" t="s">
        <v>4612</v>
      </c>
      <c r="M1692" s="33" t="str">
        <f>_xlfn.XLOOKUP(Tabela14[[#This Row],[Responsável]],Organograma!H:H,Organograma!G:G,"")</f>
        <v/>
      </c>
      <c r="O1692" s="33" t="s">
        <v>1764</v>
      </c>
      <c r="Q1692" s="33" t="s">
        <v>6603</v>
      </c>
    </row>
    <row r="1693" spans="1:17" hidden="1">
      <c r="A1693" s="33" t="s">
        <v>6656</v>
      </c>
      <c r="B1693" s="33" t="s">
        <v>6750</v>
      </c>
      <c r="C1693" s="33" t="s">
        <v>6599</v>
      </c>
      <c r="D1693" s="33" t="s">
        <v>81</v>
      </c>
      <c r="E1693" s="33" t="s">
        <v>6609</v>
      </c>
      <c r="F1693" s="33" t="s">
        <v>1864</v>
      </c>
      <c r="G1693" s="33" t="s">
        <v>45</v>
      </c>
      <c r="H1693" s="33" t="s">
        <v>3175</v>
      </c>
      <c r="I1693" s="33" t="s">
        <v>3175</v>
      </c>
      <c r="J1693" s="33" t="s">
        <v>6751</v>
      </c>
      <c r="K1693" s="33" t="s">
        <v>6611</v>
      </c>
      <c r="L1693" s="33" t="s">
        <v>3175</v>
      </c>
      <c r="M1693" s="33" t="str">
        <f>_xlfn.XLOOKUP(Tabela14[[#This Row],[Responsável]],Organograma!H:H,Organograma!G:G,"")</f>
        <v>CPN - Centro de Parto Normal</v>
      </c>
      <c r="O1693" s="33" t="s">
        <v>1764</v>
      </c>
      <c r="Q1693" s="33" t="s">
        <v>6603</v>
      </c>
    </row>
    <row r="1694" spans="1:17" hidden="1">
      <c r="A1694" s="33" t="s">
        <v>6648</v>
      </c>
      <c r="B1694" s="33" t="s">
        <v>6752</v>
      </c>
      <c r="C1694" s="33" t="s">
        <v>6599</v>
      </c>
      <c r="D1694" s="33" t="s">
        <v>45</v>
      </c>
      <c r="E1694" s="33" t="s">
        <v>6600</v>
      </c>
      <c r="F1694" s="33" t="s">
        <v>1815</v>
      </c>
      <c r="G1694" s="33" t="s">
        <v>45</v>
      </c>
      <c r="H1694" s="33" t="s">
        <v>3175</v>
      </c>
      <c r="I1694" s="33" t="s">
        <v>3175</v>
      </c>
      <c r="J1694" s="33" t="s">
        <v>6753</v>
      </c>
      <c r="K1694" s="33" t="s">
        <v>6602</v>
      </c>
      <c r="L1694" s="33" t="s">
        <v>3365</v>
      </c>
      <c r="M1694" s="33" t="str">
        <f>_xlfn.XLOOKUP(Tabela14[[#This Row],[Responsável]],Organograma!H:H,Organograma!G:G,"")</f>
        <v>OUV - Ouvidoria</v>
      </c>
      <c r="O1694" s="33" t="s">
        <v>1764</v>
      </c>
      <c r="Q1694" s="33" t="s">
        <v>6603</v>
      </c>
    </row>
    <row r="1695" spans="1:17">
      <c r="A1695" s="33" t="s">
        <v>6656</v>
      </c>
      <c r="B1695" s="33" t="s">
        <v>6754</v>
      </c>
      <c r="C1695" s="33" t="s">
        <v>6599</v>
      </c>
      <c r="D1695" s="33" t="s">
        <v>65</v>
      </c>
      <c r="E1695" s="33" t="s">
        <v>3976</v>
      </c>
      <c r="F1695" s="33" t="s">
        <v>1864</v>
      </c>
      <c r="G1695" s="33" t="s">
        <v>45</v>
      </c>
      <c r="H1695" s="33" t="s">
        <v>3175</v>
      </c>
      <c r="I1695" s="33" t="s">
        <v>3175</v>
      </c>
      <c r="J1695" s="33" t="s">
        <v>6755</v>
      </c>
      <c r="K1695" s="33" t="s">
        <v>1791</v>
      </c>
      <c r="L1695" s="33" t="s">
        <v>3696</v>
      </c>
      <c r="M1695" s="33" t="str">
        <f>_xlfn.XLOOKUP(Tabela14[[#This Row],[Responsável]],Organograma!H:H,Organograma!G:G,"")</f>
        <v>CGO - Unidade de Internação Ginecobstétrica</v>
      </c>
      <c r="O1695" s="33" t="s">
        <v>1764</v>
      </c>
      <c r="Q1695" s="33" t="s">
        <v>6603</v>
      </c>
    </row>
    <row r="1696" spans="1:17" hidden="1">
      <c r="A1696" s="33" t="s">
        <v>6648</v>
      </c>
      <c r="B1696" s="33" t="s">
        <v>6756</v>
      </c>
      <c r="C1696" s="33" t="s">
        <v>6599</v>
      </c>
      <c r="D1696" s="33" t="s">
        <v>45</v>
      </c>
      <c r="E1696" s="33" t="s">
        <v>6600</v>
      </c>
      <c r="F1696" s="33" t="s">
        <v>1815</v>
      </c>
      <c r="G1696" s="33" t="s">
        <v>45</v>
      </c>
      <c r="H1696" s="33" t="s">
        <v>3246</v>
      </c>
      <c r="I1696" s="33" t="s">
        <v>3246</v>
      </c>
      <c r="J1696" s="33" t="s">
        <v>6757</v>
      </c>
      <c r="K1696" s="33" t="s">
        <v>6602</v>
      </c>
      <c r="L1696" s="33" t="s">
        <v>3500</v>
      </c>
      <c r="M1696" s="33" t="str">
        <f>_xlfn.XLOOKUP(Tabela14[[#This Row],[Responsável]],Organograma!H:H,Organograma!G:G,"")</f>
        <v>OUV - Ouvidoria</v>
      </c>
      <c r="O1696" s="33" t="s">
        <v>1764</v>
      </c>
      <c r="Q1696" s="33" t="s">
        <v>6603</v>
      </c>
    </row>
    <row r="1697" spans="1:17">
      <c r="A1697" s="33" t="s">
        <v>6648</v>
      </c>
      <c r="B1697" s="33" t="s">
        <v>6758</v>
      </c>
      <c r="C1697" s="33" t="s">
        <v>6599</v>
      </c>
      <c r="D1697" s="33" t="s">
        <v>68</v>
      </c>
      <c r="E1697" s="33" t="s">
        <v>3976</v>
      </c>
      <c r="F1697" s="33" t="s">
        <v>1815</v>
      </c>
      <c r="G1697" s="33" t="s">
        <v>45</v>
      </c>
      <c r="H1697" s="33" t="s">
        <v>3273</v>
      </c>
      <c r="I1697" s="33" t="s">
        <v>3273</v>
      </c>
      <c r="J1697" s="33" t="s">
        <v>6759</v>
      </c>
      <c r="K1697" s="33" t="s">
        <v>1791</v>
      </c>
      <c r="L1697" s="33" t="s">
        <v>3500</v>
      </c>
      <c r="M1697" s="33" t="str">
        <f>_xlfn.XLOOKUP(Tabela14[[#This Row],[Responsável]],Organograma!H:H,Organograma!G:G,"")</f>
        <v>UICC - Unidade de Internação Cirúrgica</v>
      </c>
      <c r="O1697" s="33" t="s">
        <v>1764</v>
      </c>
      <c r="Q1697" s="33" t="s">
        <v>6603</v>
      </c>
    </row>
    <row r="1698" spans="1:17" hidden="1">
      <c r="A1698" s="33" t="s">
        <v>6607</v>
      </c>
      <c r="B1698" s="33" t="s">
        <v>6760</v>
      </c>
      <c r="C1698" s="33" t="s">
        <v>6599</v>
      </c>
      <c r="D1698" s="33" t="s">
        <v>10</v>
      </c>
      <c r="E1698" s="33" t="s">
        <v>6609</v>
      </c>
      <c r="F1698" s="33" t="s">
        <v>1815</v>
      </c>
      <c r="G1698" s="33" t="s">
        <v>45</v>
      </c>
      <c r="H1698" s="33" t="s">
        <v>4612</v>
      </c>
      <c r="I1698" s="33" t="s">
        <v>4612</v>
      </c>
      <c r="J1698" s="33" t="s">
        <v>6761</v>
      </c>
      <c r="K1698" s="33" t="s">
        <v>6611</v>
      </c>
      <c r="L1698" s="33" t="s">
        <v>4612</v>
      </c>
      <c r="M1698" s="33" t="str">
        <f>_xlfn.XLOOKUP(Tabela14[[#This Row],[Responsável]],Organograma!H:H,Organograma!G:G,"")</f>
        <v>ENG - Núcleo de Engenharia Clínica</v>
      </c>
      <c r="O1698" s="33" t="s">
        <v>1764</v>
      </c>
      <c r="Q1698" s="33" t="s">
        <v>6603</v>
      </c>
    </row>
    <row r="1699" spans="1:17" hidden="1">
      <c r="A1699" s="33" t="s">
        <v>6607</v>
      </c>
      <c r="B1699" s="33" t="s">
        <v>6762</v>
      </c>
      <c r="C1699" s="33" t="s">
        <v>6599</v>
      </c>
      <c r="D1699" s="33" t="s">
        <v>45</v>
      </c>
      <c r="E1699" s="33" t="s">
        <v>6600</v>
      </c>
      <c r="F1699" s="33" t="s">
        <v>1864</v>
      </c>
      <c r="G1699" s="33" t="s">
        <v>45</v>
      </c>
      <c r="H1699" s="33" t="s">
        <v>4612</v>
      </c>
      <c r="I1699" s="33" t="s">
        <v>4612</v>
      </c>
      <c r="J1699" s="33" t="s">
        <v>6763</v>
      </c>
      <c r="K1699" s="33" t="s">
        <v>6602</v>
      </c>
      <c r="L1699" s="33" t="s">
        <v>3358</v>
      </c>
      <c r="M1699" s="33" t="str">
        <f>_xlfn.XLOOKUP(Tabela14[[#This Row],[Responsável]],Organograma!H:H,Organograma!G:G,"")</f>
        <v>OUV - Ouvidoria</v>
      </c>
      <c r="O1699" s="33" t="s">
        <v>1764</v>
      </c>
      <c r="Q1699" s="33" t="s">
        <v>6603</v>
      </c>
    </row>
    <row r="1700" spans="1:17">
      <c r="A1700" s="33" t="s">
        <v>6604</v>
      </c>
      <c r="B1700" s="33" t="s">
        <v>6764</v>
      </c>
      <c r="C1700" s="33" t="s">
        <v>6599</v>
      </c>
      <c r="D1700" s="33" t="s">
        <v>68</v>
      </c>
      <c r="E1700" s="33" t="s">
        <v>3976</v>
      </c>
      <c r="F1700" s="33" t="s">
        <v>1864</v>
      </c>
      <c r="G1700" s="33" t="s">
        <v>45</v>
      </c>
      <c r="H1700" s="33" t="s">
        <v>4612</v>
      </c>
      <c r="I1700" s="33" t="s">
        <v>4612</v>
      </c>
      <c r="J1700" s="33" t="s">
        <v>6765</v>
      </c>
      <c r="K1700" s="33" t="s">
        <v>1791</v>
      </c>
      <c r="L1700" s="33" t="s">
        <v>4612</v>
      </c>
      <c r="M1700" s="33" t="str">
        <f>_xlfn.XLOOKUP(Tabela14[[#This Row],[Responsável]],Organograma!H:H,Organograma!G:G,"")</f>
        <v>UICC - Unidade de Internação Cirúrgica</v>
      </c>
      <c r="O1700" s="33" t="s">
        <v>1764</v>
      </c>
      <c r="Q1700" s="33" t="s">
        <v>6603</v>
      </c>
    </row>
    <row r="1701" spans="1:17" hidden="1">
      <c r="A1701" s="33" t="s">
        <v>6604</v>
      </c>
      <c r="B1701" s="33" t="s">
        <v>6766</v>
      </c>
      <c r="C1701" s="33" t="s">
        <v>6599</v>
      </c>
      <c r="D1701" s="33" t="s">
        <v>45</v>
      </c>
      <c r="E1701" s="33" t="s">
        <v>6600</v>
      </c>
      <c r="F1701" s="33" t="s">
        <v>1856</v>
      </c>
      <c r="G1701" s="33" t="s">
        <v>45</v>
      </c>
      <c r="H1701" s="33" t="s">
        <v>4612</v>
      </c>
      <c r="I1701" s="33" t="s">
        <v>4612</v>
      </c>
      <c r="J1701" s="33" t="s">
        <v>6767</v>
      </c>
      <c r="K1701" s="33" t="s">
        <v>6602</v>
      </c>
      <c r="L1701" s="33" t="s">
        <v>3500</v>
      </c>
      <c r="M1701" s="33" t="str">
        <f>_xlfn.XLOOKUP(Tabela14[[#This Row],[Responsável]],Organograma!H:H,Organograma!G:G,"")</f>
        <v>OUV - Ouvidoria</v>
      </c>
      <c r="O1701" s="33" t="s">
        <v>1764</v>
      </c>
      <c r="Q1701" s="33" t="s">
        <v>6603</v>
      </c>
    </row>
    <row r="1702" spans="1:17" hidden="1">
      <c r="A1702" s="33" t="s">
        <v>6604</v>
      </c>
      <c r="B1702" s="33" t="s">
        <v>6768</v>
      </c>
      <c r="C1702" s="33" t="s">
        <v>6599</v>
      </c>
      <c r="D1702" s="33" t="s">
        <v>81</v>
      </c>
      <c r="E1702" s="33" t="s">
        <v>6609</v>
      </c>
      <c r="F1702" s="33" t="s">
        <v>1864</v>
      </c>
      <c r="G1702" s="33" t="s">
        <v>45</v>
      </c>
      <c r="H1702" s="33" t="s">
        <v>4612</v>
      </c>
      <c r="I1702" s="33" t="s">
        <v>4612</v>
      </c>
      <c r="J1702" s="33" t="s">
        <v>6769</v>
      </c>
      <c r="K1702" s="33" t="s">
        <v>6611</v>
      </c>
      <c r="L1702" s="33" t="s">
        <v>4612</v>
      </c>
      <c r="M1702" s="33" t="str">
        <f>_xlfn.XLOOKUP(Tabela14[[#This Row],[Responsável]],Organograma!H:H,Organograma!G:G,"")</f>
        <v>CPN - Centro de Parto Normal</v>
      </c>
      <c r="O1702" s="33" t="s">
        <v>1764</v>
      </c>
      <c r="Q1702" s="33" t="s">
        <v>6603</v>
      </c>
    </row>
    <row r="1703" spans="1:17" hidden="1">
      <c r="A1703" s="33" t="s">
        <v>6604</v>
      </c>
      <c r="B1703" s="33" t="s">
        <v>6770</v>
      </c>
      <c r="C1703" s="33" t="s">
        <v>6599</v>
      </c>
      <c r="D1703" s="33" t="s">
        <v>2097</v>
      </c>
      <c r="E1703" s="33" t="s">
        <v>6609</v>
      </c>
      <c r="F1703" s="33" t="s">
        <v>1815</v>
      </c>
      <c r="G1703" s="33" t="s">
        <v>45</v>
      </c>
      <c r="H1703" s="33" t="s">
        <v>4612</v>
      </c>
      <c r="I1703" s="33" t="s">
        <v>4612</v>
      </c>
      <c r="J1703" s="33" t="s">
        <v>6771</v>
      </c>
      <c r="K1703" s="33" t="s">
        <v>6611</v>
      </c>
      <c r="L1703" s="33" t="s">
        <v>4612</v>
      </c>
      <c r="M1703" s="33" t="str">
        <f>_xlfn.XLOOKUP(Tabela14[[#This Row],[Responsável]],Organograma!H:H,Organograma!G:G,"")</f>
        <v/>
      </c>
      <c r="O1703" s="33" t="s">
        <v>1764</v>
      </c>
      <c r="Q1703" s="33" t="s">
        <v>6603</v>
      </c>
    </row>
    <row r="1704" spans="1:17">
      <c r="A1704" s="33" t="s">
        <v>6604</v>
      </c>
      <c r="B1704" s="33" t="s">
        <v>6772</v>
      </c>
      <c r="C1704" s="33" t="s">
        <v>6599</v>
      </c>
      <c r="D1704" s="33" t="s">
        <v>94</v>
      </c>
      <c r="E1704" s="33" t="s">
        <v>3976</v>
      </c>
      <c r="F1704" s="33" t="s">
        <v>1856</v>
      </c>
      <c r="G1704" s="33" t="s">
        <v>45</v>
      </c>
      <c r="H1704" s="33" t="s">
        <v>4612</v>
      </c>
      <c r="I1704" s="33" t="s">
        <v>4612</v>
      </c>
      <c r="J1704" s="33" t="s">
        <v>6773</v>
      </c>
      <c r="K1704" s="33" t="s">
        <v>1791</v>
      </c>
      <c r="L1704" s="33" t="s">
        <v>3282</v>
      </c>
      <c r="M1704" s="33" t="str">
        <f>_xlfn.XLOOKUP(Tabela14[[#This Row],[Responsável]],Organograma!H:H,Organograma!G:G,"")</f>
        <v>SADT - Unidade de Diagnóstico Por Imagem</v>
      </c>
      <c r="O1704" s="33" t="s">
        <v>1764</v>
      </c>
      <c r="Q1704" s="33" t="s">
        <v>6603</v>
      </c>
    </row>
    <row r="1705" spans="1:17">
      <c r="A1705" s="33" t="s">
        <v>6648</v>
      </c>
      <c r="B1705" s="33" t="s">
        <v>6774</v>
      </c>
      <c r="C1705" s="33" t="s">
        <v>6599</v>
      </c>
      <c r="D1705" s="33" t="s">
        <v>57</v>
      </c>
      <c r="E1705" s="33" t="s">
        <v>3976</v>
      </c>
      <c r="F1705" s="33" t="s">
        <v>1856</v>
      </c>
      <c r="G1705" s="33" t="s">
        <v>45</v>
      </c>
      <c r="H1705" s="33" t="s">
        <v>3282</v>
      </c>
      <c r="I1705" s="33" t="s">
        <v>3282</v>
      </c>
      <c r="J1705" s="33" t="s">
        <v>6775</v>
      </c>
      <c r="K1705" s="33" t="s">
        <v>1791</v>
      </c>
      <c r="L1705" s="33" t="s">
        <v>3500</v>
      </c>
      <c r="M1705" s="33" t="str">
        <f>_xlfn.XLOOKUP(Tabela14[[#This Row],[Responsável]],Organograma!H:H,Organograma!G:G,"")</f>
        <v>AMB - Unidade Ambulatorial</v>
      </c>
      <c r="O1705" s="33" t="s">
        <v>1764</v>
      </c>
      <c r="Q1705" s="33" t="s">
        <v>6603</v>
      </c>
    </row>
    <row r="1706" spans="1:17">
      <c r="A1706" s="33" t="s">
        <v>6604</v>
      </c>
      <c r="B1706" s="33" t="s">
        <v>6776</v>
      </c>
      <c r="C1706" s="33" t="s">
        <v>6599</v>
      </c>
      <c r="D1706" s="33" t="s">
        <v>68</v>
      </c>
      <c r="E1706" s="33" t="s">
        <v>3976</v>
      </c>
      <c r="F1706" s="33" t="s">
        <v>1815</v>
      </c>
      <c r="G1706" s="33" t="s">
        <v>45</v>
      </c>
      <c r="H1706" s="33" t="s">
        <v>3318</v>
      </c>
      <c r="I1706" s="33" t="s">
        <v>3318</v>
      </c>
      <c r="J1706" s="33" t="s">
        <v>6777</v>
      </c>
      <c r="K1706" s="33" t="s">
        <v>1791</v>
      </c>
      <c r="L1706" s="33" t="s">
        <v>3135</v>
      </c>
      <c r="M1706" s="33" t="str">
        <f>_xlfn.XLOOKUP(Tabela14[[#This Row],[Responsável]],Organograma!H:H,Organograma!G:G,"")</f>
        <v>UICC - Unidade de Internação Cirúrgica</v>
      </c>
      <c r="O1706" s="33" t="s">
        <v>1764</v>
      </c>
      <c r="Q1706" s="33" t="s">
        <v>6603</v>
      </c>
    </row>
    <row r="1707" spans="1:17" hidden="1">
      <c r="A1707" s="33" t="s">
        <v>6607</v>
      </c>
      <c r="B1707" s="33" t="s">
        <v>6778</v>
      </c>
      <c r="C1707" s="33" t="s">
        <v>6599</v>
      </c>
      <c r="D1707" s="33" t="s">
        <v>81</v>
      </c>
      <c r="E1707" s="33" t="s">
        <v>6609</v>
      </c>
      <c r="F1707" s="33" t="s">
        <v>1815</v>
      </c>
      <c r="G1707" s="33" t="s">
        <v>45</v>
      </c>
      <c r="H1707" s="33" t="s">
        <v>3318</v>
      </c>
      <c r="I1707" s="33" t="s">
        <v>3318</v>
      </c>
      <c r="J1707" s="33" t="s">
        <v>6779</v>
      </c>
      <c r="K1707" s="33" t="s">
        <v>6611</v>
      </c>
      <c r="L1707" s="33" t="s">
        <v>3318</v>
      </c>
      <c r="M1707" s="33" t="str">
        <f>_xlfn.XLOOKUP(Tabela14[[#This Row],[Responsável]],Organograma!H:H,Organograma!G:G,"")</f>
        <v>CPN - Centro de Parto Normal</v>
      </c>
      <c r="O1707" s="33" t="s">
        <v>1764</v>
      </c>
      <c r="Q1707" s="33" t="s">
        <v>6603</v>
      </c>
    </row>
    <row r="1708" spans="1:17" hidden="1">
      <c r="A1708" s="33" t="s">
        <v>6604</v>
      </c>
      <c r="B1708" s="33" t="s">
        <v>6780</v>
      </c>
      <c r="C1708" s="33" t="s">
        <v>6599</v>
      </c>
      <c r="D1708" s="33" t="s">
        <v>45</v>
      </c>
      <c r="E1708" s="33" t="s">
        <v>6600</v>
      </c>
      <c r="F1708" s="33" t="s">
        <v>1815</v>
      </c>
      <c r="G1708" s="33" t="s">
        <v>45</v>
      </c>
      <c r="H1708" s="33" t="s">
        <v>3318</v>
      </c>
      <c r="I1708" s="33" t="s">
        <v>3318</v>
      </c>
      <c r="J1708" s="33" t="s">
        <v>6781</v>
      </c>
      <c r="K1708" s="33" t="s">
        <v>6602</v>
      </c>
      <c r="L1708" s="33" t="s">
        <v>3365</v>
      </c>
      <c r="M1708" s="33" t="str">
        <f>_xlfn.XLOOKUP(Tabela14[[#This Row],[Responsável]],Organograma!H:H,Organograma!G:G,"")</f>
        <v>OUV - Ouvidoria</v>
      </c>
      <c r="O1708" s="33" t="s">
        <v>1764</v>
      </c>
      <c r="Q1708" s="33" t="s">
        <v>6603</v>
      </c>
    </row>
    <row r="1709" spans="1:17">
      <c r="A1709" s="33" t="s">
        <v>6604</v>
      </c>
      <c r="B1709" s="33" t="s">
        <v>6782</v>
      </c>
      <c r="C1709" s="33" t="s">
        <v>6599</v>
      </c>
      <c r="D1709" s="33" t="s">
        <v>45</v>
      </c>
      <c r="E1709" s="33" t="s">
        <v>6689</v>
      </c>
      <c r="F1709" s="33" t="s">
        <v>1815</v>
      </c>
      <c r="G1709" s="33" t="s">
        <v>45</v>
      </c>
      <c r="H1709" s="33" t="s">
        <v>3318</v>
      </c>
      <c r="I1709" s="33" t="s">
        <v>3318</v>
      </c>
      <c r="J1709" s="33" t="s">
        <v>6783</v>
      </c>
      <c r="K1709" s="33" t="s">
        <v>3859</v>
      </c>
      <c r="L1709" s="33" t="s">
        <v>3564</v>
      </c>
      <c r="M1709" s="33" t="str">
        <f>_xlfn.XLOOKUP(Tabela14[[#This Row],[Responsável]],Organograma!H:H,Organograma!G:G,"")</f>
        <v>OUV - Ouvidoria</v>
      </c>
      <c r="O1709" s="33" t="s">
        <v>1764</v>
      </c>
      <c r="Q1709" s="33" t="s">
        <v>6603</v>
      </c>
    </row>
    <row r="1710" spans="1:17" hidden="1">
      <c r="A1710" s="33" t="s">
        <v>6607</v>
      </c>
      <c r="B1710" s="33" t="s">
        <v>6784</v>
      </c>
      <c r="C1710" s="33" t="s">
        <v>6599</v>
      </c>
      <c r="D1710" s="33" t="s">
        <v>45</v>
      </c>
      <c r="E1710" s="33" t="s">
        <v>6600</v>
      </c>
      <c r="F1710" s="33" t="s">
        <v>1856</v>
      </c>
      <c r="G1710" s="33" t="s">
        <v>45</v>
      </c>
      <c r="H1710" s="33" t="s">
        <v>3318</v>
      </c>
      <c r="I1710" s="33" t="s">
        <v>3318</v>
      </c>
      <c r="J1710" s="33" t="s">
        <v>6785</v>
      </c>
      <c r="K1710" s="33" t="s">
        <v>6602</v>
      </c>
      <c r="L1710" s="33" t="s">
        <v>945</v>
      </c>
      <c r="M1710" s="33" t="str">
        <f>_xlfn.XLOOKUP(Tabela14[[#This Row],[Responsável]],Organograma!H:H,Organograma!G:G,"")</f>
        <v>OUV - Ouvidoria</v>
      </c>
      <c r="O1710" s="33" t="s">
        <v>1764</v>
      </c>
      <c r="Q1710" s="33" t="s">
        <v>6603</v>
      </c>
    </row>
    <row r="1711" spans="1:17" hidden="1">
      <c r="A1711" s="33" t="s">
        <v>6604</v>
      </c>
      <c r="B1711" s="33" t="s">
        <v>6786</v>
      </c>
      <c r="C1711" s="33" t="s">
        <v>6599</v>
      </c>
      <c r="D1711" s="33" t="s">
        <v>83</v>
      </c>
      <c r="E1711" s="33" t="s">
        <v>6609</v>
      </c>
      <c r="F1711" s="33" t="s">
        <v>1815</v>
      </c>
      <c r="G1711" s="33" t="s">
        <v>45</v>
      </c>
      <c r="H1711" s="33" t="s">
        <v>3072</v>
      </c>
      <c r="I1711" s="33" t="s">
        <v>3072</v>
      </c>
      <c r="J1711" s="33" t="s">
        <v>6787</v>
      </c>
      <c r="K1711" s="33" t="s">
        <v>6611</v>
      </c>
      <c r="L1711" s="33" t="s">
        <v>3072</v>
      </c>
      <c r="M1711" s="33" t="str">
        <f>_xlfn.XLOOKUP(Tabela14[[#This Row],[Responsável]],Organograma!H:H,Organograma!G:G,"")</f>
        <v>SS - Serviço Social</v>
      </c>
      <c r="O1711" s="33" t="s">
        <v>1764</v>
      </c>
      <c r="Q1711" s="33" t="s">
        <v>6603</v>
      </c>
    </row>
    <row r="1712" spans="1:17">
      <c r="A1712" s="33" t="s">
        <v>6648</v>
      </c>
      <c r="B1712" s="33" t="s">
        <v>6788</v>
      </c>
      <c r="C1712" s="33" t="s">
        <v>6599</v>
      </c>
      <c r="D1712" s="33" t="s">
        <v>68</v>
      </c>
      <c r="E1712" s="33" t="s">
        <v>3976</v>
      </c>
      <c r="F1712" s="33" t="s">
        <v>1856</v>
      </c>
      <c r="G1712" s="33" t="s">
        <v>45</v>
      </c>
      <c r="H1712" s="33" t="s">
        <v>3500</v>
      </c>
      <c r="I1712" s="33" t="s">
        <v>3500</v>
      </c>
      <c r="J1712" s="33" t="s">
        <v>6789</v>
      </c>
      <c r="K1712" s="33" t="s">
        <v>1791</v>
      </c>
      <c r="L1712" s="33" t="s">
        <v>1206</v>
      </c>
      <c r="M1712" s="33" t="str">
        <f>_xlfn.XLOOKUP(Tabela14[[#This Row],[Responsável]],Organograma!H:H,Organograma!G:G,"")</f>
        <v>UICC - Unidade de Internação Cirúrgica</v>
      </c>
      <c r="O1712" s="33" t="s">
        <v>1764</v>
      </c>
      <c r="Q1712" s="33" t="s">
        <v>6603</v>
      </c>
    </row>
    <row r="1713" spans="1:17" hidden="1">
      <c r="A1713" s="33" t="s">
        <v>6648</v>
      </c>
      <c r="B1713" s="33" t="s">
        <v>6790</v>
      </c>
      <c r="C1713" s="33" t="s">
        <v>6599</v>
      </c>
      <c r="D1713" s="33" t="s">
        <v>45</v>
      </c>
      <c r="E1713" s="33" t="s">
        <v>6600</v>
      </c>
      <c r="F1713" s="33" t="s">
        <v>1856</v>
      </c>
      <c r="G1713" s="33" t="s">
        <v>45</v>
      </c>
      <c r="H1713" s="33" t="s">
        <v>3544</v>
      </c>
      <c r="I1713" s="33" t="s">
        <v>3544</v>
      </c>
      <c r="J1713" s="33" t="s">
        <v>6791</v>
      </c>
      <c r="K1713" s="33" t="s">
        <v>6602</v>
      </c>
      <c r="L1713" s="33" t="s">
        <v>3633</v>
      </c>
      <c r="M1713" s="33" t="str">
        <f>_xlfn.XLOOKUP(Tabela14[[#This Row],[Responsável]],Organograma!H:H,Organograma!G:G,"")</f>
        <v>OUV - Ouvidoria</v>
      </c>
      <c r="O1713" s="33" t="s">
        <v>1764</v>
      </c>
      <c r="Q1713" s="33" t="s">
        <v>6603</v>
      </c>
    </row>
    <row r="1714" spans="1:17" hidden="1">
      <c r="A1714" s="33" t="s">
        <v>6656</v>
      </c>
      <c r="B1714" s="33" t="s">
        <v>6792</v>
      </c>
      <c r="C1714" s="33" t="s">
        <v>6599</v>
      </c>
      <c r="D1714" s="33" t="s">
        <v>90</v>
      </c>
      <c r="E1714" s="33" t="s">
        <v>6609</v>
      </c>
      <c r="F1714" s="33" t="s">
        <v>1856</v>
      </c>
      <c r="G1714" s="33" t="s">
        <v>45</v>
      </c>
      <c r="H1714" s="33" t="s">
        <v>3551</v>
      </c>
      <c r="I1714" s="33" t="s">
        <v>3551</v>
      </c>
      <c r="J1714" s="33" t="s">
        <v>6793</v>
      </c>
      <c r="K1714" s="33" t="s">
        <v>6611</v>
      </c>
      <c r="L1714" s="33" t="s">
        <v>4039</v>
      </c>
      <c r="M1714" s="33" t="str">
        <f>_xlfn.XLOOKUP(Tabela14[[#This Row],[Responsável]],Organograma!H:H,Organograma!G:G,"")</f>
        <v>PSICO - Unidade de Atendimento a Saúde Mental</v>
      </c>
      <c r="O1714" s="33" t="s">
        <v>1764</v>
      </c>
      <c r="Q1714" s="33" t="s">
        <v>6603</v>
      </c>
    </row>
    <row r="1715" spans="1:17">
      <c r="A1715" s="33" t="s">
        <v>6648</v>
      </c>
      <c r="B1715" s="33" t="s">
        <v>6794</v>
      </c>
      <c r="C1715" s="33" t="s">
        <v>6599</v>
      </c>
      <c r="D1715" s="33" t="s">
        <v>2274</v>
      </c>
      <c r="E1715" s="33" t="s">
        <v>3976</v>
      </c>
      <c r="F1715" s="33" t="s">
        <v>1815</v>
      </c>
      <c r="G1715" s="33" t="s">
        <v>45</v>
      </c>
      <c r="H1715" s="33" t="s">
        <v>3551</v>
      </c>
      <c r="I1715" s="33" t="s">
        <v>3551</v>
      </c>
      <c r="J1715" s="33" t="s">
        <v>6795</v>
      </c>
      <c r="K1715" s="33" t="s">
        <v>1791</v>
      </c>
      <c r="L1715" s="33" t="s">
        <v>1206</v>
      </c>
      <c r="M1715" s="33" t="str">
        <f>_xlfn.XLOOKUP(Tabela14[[#This Row],[Responsável]],Organograma!H:H,Organograma!G:G,"")</f>
        <v/>
      </c>
      <c r="O1715" s="33" t="s">
        <v>1764</v>
      </c>
      <c r="Q1715" s="33" t="s">
        <v>6603</v>
      </c>
    </row>
    <row r="1716" spans="1:17" hidden="1">
      <c r="A1716" s="33" t="s">
        <v>6656</v>
      </c>
      <c r="B1716" s="33" t="s">
        <v>6796</v>
      </c>
      <c r="C1716" s="33" t="s">
        <v>6599</v>
      </c>
      <c r="D1716" s="33" t="s">
        <v>45</v>
      </c>
      <c r="E1716" s="33" t="s">
        <v>6600</v>
      </c>
      <c r="F1716" s="33" t="s">
        <v>1856</v>
      </c>
      <c r="G1716" s="33" t="s">
        <v>45</v>
      </c>
      <c r="H1716" s="33" t="s">
        <v>3551</v>
      </c>
      <c r="I1716" s="33" t="s">
        <v>3551</v>
      </c>
      <c r="J1716" s="33" t="s">
        <v>6797</v>
      </c>
      <c r="K1716" s="33" t="s">
        <v>6602</v>
      </c>
      <c r="L1716" s="33" t="s">
        <v>3616</v>
      </c>
      <c r="M1716" s="33" t="str">
        <f>_xlfn.XLOOKUP(Tabela14[[#This Row],[Responsável]],Organograma!H:H,Organograma!G:G,"")</f>
        <v>OUV - Ouvidoria</v>
      </c>
      <c r="O1716" s="33" t="s">
        <v>1764</v>
      </c>
      <c r="Q1716" s="33" t="s">
        <v>6603</v>
      </c>
    </row>
    <row r="1717" spans="1:17">
      <c r="A1717" s="33" t="s">
        <v>6656</v>
      </c>
      <c r="B1717" s="33" t="s">
        <v>6798</v>
      </c>
      <c r="C1717" s="33" t="s">
        <v>6599</v>
      </c>
      <c r="D1717" s="33" t="s">
        <v>68</v>
      </c>
      <c r="E1717" s="33" t="s">
        <v>3976</v>
      </c>
      <c r="F1717" s="33" t="s">
        <v>2069</v>
      </c>
      <c r="G1717" s="33" t="s">
        <v>45</v>
      </c>
      <c r="H1717" s="33" t="s">
        <v>3672</v>
      </c>
      <c r="I1717" s="33" t="s">
        <v>3672</v>
      </c>
      <c r="J1717" s="33" t="s">
        <v>6799</v>
      </c>
      <c r="K1717" s="33" t="s">
        <v>1791</v>
      </c>
      <c r="L1717" s="33" t="s">
        <v>2647</v>
      </c>
      <c r="M1717" s="33" t="str">
        <f>_xlfn.XLOOKUP(Tabela14[[#This Row],[Responsável]],Organograma!H:H,Organograma!G:G,"")</f>
        <v>UICC - Unidade de Internação Cirúrgica</v>
      </c>
      <c r="O1717" s="33" t="s">
        <v>1764</v>
      </c>
      <c r="Q1717" s="33" t="s">
        <v>6603</v>
      </c>
    </row>
    <row r="1718" spans="1:17">
      <c r="A1718" s="33" t="s">
        <v>6656</v>
      </c>
      <c r="B1718" s="33" t="s">
        <v>6800</v>
      </c>
      <c r="C1718" s="33" t="s">
        <v>6599</v>
      </c>
      <c r="D1718" s="33" t="s">
        <v>68</v>
      </c>
      <c r="E1718" s="33" t="s">
        <v>3976</v>
      </c>
      <c r="F1718" s="33" t="s">
        <v>1864</v>
      </c>
      <c r="G1718" s="33" t="s">
        <v>45</v>
      </c>
      <c r="H1718" s="33" t="s">
        <v>3672</v>
      </c>
      <c r="I1718" s="33" t="s">
        <v>3672</v>
      </c>
      <c r="J1718" s="33" t="s">
        <v>6801</v>
      </c>
      <c r="K1718" s="33" t="s">
        <v>1791</v>
      </c>
      <c r="L1718" s="33" t="s">
        <v>2647</v>
      </c>
      <c r="M1718" s="33" t="str">
        <f>_xlfn.XLOOKUP(Tabela14[[#This Row],[Responsável]],Organograma!H:H,Organograma!G:G,"")</f>
        <v>UICC - Unidade de Internação Cirúrgica</v>
      </c>
      <c r="O1718" s="33" t="s">
        <v>1764</v>
      </c>
      <c r="Q1718" s="33" t="s">
        <v>6603</v>
      </c>
    </row>
    <row r="1719" spans="1:17">
      <c r="A1719" s="33" t="s">
        <v>6648</v>
      </c>
      <c r="B1719" s="33" t="s">
        <v>6802</v>
      </c>
      <c r="C1719" s="33" t="s">
        <v>6599</v>
      </c>
      <c r="D1719" s="33" t="s">
        <v>12</v>
      </c>
      <c r="E1719" s="33" t="s">
        <v>3976</v>
      </c>
      <c r="F1719" s="33" t="s">
        <v>1815</v>
      </c>
      <c r="G1719" s="33" t="s">
        <v>45</v>
      </c>
      <c r="H1719" s="33" t="s">
        <v>3672</v>
      </c>
      <c r="I1719" s="33" t="s">
        <v>3672</v>
      </c>
      <c r="J1719" s="33" t="s">
        <v>6803</v>
      </c>
      <c r="K1719" s="33" t="s">
        <v>1791</v>
      </c>
      <c r="L1719" s="33" t="s">
        <v>3948</v>
      </c>
      <c r="M1719" s="33" t="str">
        <f>_xlfn.XLOOKUP(Tabela14[[#This Row],[Responsável]],Organograma!H:H,Organograma!G:G,"")</f>
        <v>SND - Serviço de Nutrição e Dietética</v>
      </c>
      <c r="O1719" s="33" t="s">
        <v>1764</v>
      </c>
      <c r="Q1719" s="33" t="s">
        <v>6603</v>
      </c>
    </row>
    <row r="1720" spans="1:17" hidden="1">
      <c r="A1720" s="33" t="s">
        <v>6648</v>
      </c>
      <c r="B1720" s="33" t="s">
        <v>6804</v>
      </c>
      <c r="C1720" s="33" t="s">
        <v>6599</v>
      </c>
      <c r="D1720" s="33" t="s">
        <v>45</v>
      </c>
      <c r="E1720" s="33" t="s">
        <v>6600</v>
      </c>
      <c r="F1720" s="33" t="s">
        <v>1815</v>
      </c>
      <c r="G1720" s="33" t="s">
        <v>45</v>
      </c>
      <c r="H1720" s="33" t="s">
        <v>3672</v>
      </c>
      <c r="I1720" s="33" t="s">
        <v>3672</v>
      </c>
      <c r="J1720" s="33" t="s">
        <v>6805</v>
      </c>
      <c r="K1720" s="33" t="s">
        <v>6602</v>
      </c>
      <c r="L1720" s="33" t="s">
        <v>3696</v>
      </c>
      <c r="M1720" s="33" t="str">
        <f>_xlfn.XLOOKUP(Tabela14[[#This Row],[Responsável]],Organograma!H:H,Organograma!G:G,"")</f>
        <v>OUV - Ouvidoria</v>
      </c>
      <c r="O1720" s="33" t="s">
        <v>1764</v>
      </c>
      <c r="Q1720" s="33" t="s">
        <v>6603</v>
      </c>
    </row>
    <row r="1721" spans="1:17" hidden="1">
      <c r="A1721" s="33" t="s">
        <v>6656</v>
      </c>
      <c r="B1721" s="33" t="s">
        <v>6806</v>
      </c>
      <c r="C1721" s="33" t="s">
        <v>6599</v>
      </c>
      <c r="D1721" s="33" t="s">
        <v>45</v>
      </c>
      <c r="E1721" s="33" t="s">
        <v>6600</v>
      </c>
      <c r="F1721" s="33" t="s">
        <v>1856</v>
      </c>
      <c r="G1721" s="33" t="s">
        <v>45</v>
      </c>
      <c r="H1721" s="33" t="s">
        <v>3685</v>
      </c>
      <c r="I1721" s="33" t="s">
        <v>3685</v>
      </c>
      <c r="J1721" s="33" t="s">
        <v>6807</v>
      </c>
      <c r="K1721" s="33" t="s">
        <v>6602</v>
      </c>
      <c r="L1721" s="33" t="s">
        <v>2647</v>
      </c>
      <c r="M1721" s="33" t="str">
        <f>_xlfn.XLOOKUP(Tabela14[[#This Row],[Responsável]],Organograma!H:H,Organograma!G:G,"")</f>
        <v>OUV - Ouvidoria</v>
      </c>
      <c r="O1721" s="33" t="s">
        <v>1764</v>
      </c>
      <c r="Q1721" s="33" t="s">
        <v>6603</v>
      </c>
    </row>
    <row r="1722" spans="1:17" hidden="1">
      <c r="A1722" s="33" t="s">
        <v>6656</v>
      </c>
      <c r="B1722" s="33" t="s">
        <v>6808</v>
      </c>
      <c r="C1722" s="33" t="s">
        <v>6599</v>
      </c>
      <c r="D1722" s="33" t="s">
        <v>51</v>
      </c>
      <c r="E1722" s="33" t="s">
        <v>6609</v>
      </c>
      <c r="F1722" s="33" t="s">
        <v>1815</v>
      </c>
      <c r="G1722" s="33" t="s">
        <v>45</v>
      </c>
      <c r="H1722" s="33" t="s">
        <v>3685</v>
      </c>
      <c r="I1722" s="33" t="s">
        <v>3685</v>
      </c>
      <c r="J1722" s="33" t="s">
        <v>6809</v>
      </c>
      <c r="K1722" s="33" t="s">
        <v>6611</v>
      </c>
      <c r="L1722" s="33" t="s">
        <v>3685</v>
      </c>
      <c r="M1722" s="33" t="str">
        <f>_xlfn.XLOOKUP(Tabela14[[#This Row],[Responsável]],Organograma!H:H,Organograma!G:G,"")</f>
        <v>FIS - Fisioterapia</v>
      </c>
      <c r="O1722" s="33" t="s">
        <v>1764</v>
      </c>
      <c r="Q1722" s="33" t="s">
        <v>6603</v>
      </c>
    </row>
    <row r="1723" spans="1:17" hidden="1">
      <c r="A1723" s="33" t="s">
        <v>6656</v>
      </c>
      <c r="B1723" s="33" t="s">
        <v>6810</v>
      </c>
      <c r="C1723" s="33" t="s">
        <v>6599</v>
      </c>
      <c r="D1723" s="33" t="s">
        <v>89</v>
      </c>
      <c r="E1723" s="33" t="s">
        <v>6609</v>
      </c>
      <c r="F1723" s="33" t="s">
        <v>1815</v>
      </c>
      <c r="G1723" s="33" t="s">
        <v>45</v>
      </c>
      <c r="H1723" s="33" t="s">
        <v>3685</v>
      </c>
      <c r="I1723" s="33" t="s">
        <v>3685</v>
      </c>
      <c r="J1723" s="33" t="s">
        <v>6811</v>
      </c>
      <c r="K1723" s="33" t="s">
        <v>6611</v>
      </c>
      <c r="L1723" s="33" t="s">
        <v>4039</v>
      </c>
      <c r="M1723" s="33" t="str">
        <f>_xlfn.XLOOKUP(Tabela14[[#This Row],[Responsável]],Organograma!H:H,Organograma!G:G,"")</f>
        <v>P.S - Pronto Socorro</v>
      </c>
      <c r="O1723" s="33" t="s">
        <v>1764</v>
      </c>
      <c r="Q1723" s="33" t="s">
        <v>6603</v>
      </c>
    </row>
    <row r="1724" spans="1:17">
      <c r="A1724" s="33" t="s">
        <v>6656</v>
      </c>
      <c r="B1724" s="33" t="s">
        <v>6812</v>
      </c>
      <c r="C1724" s="33" t="s">
        <v>6599</v>
      </c>
      <c r="D1724" s="33" t="s">
        <v>65</v>
      </c>
      <c r="E1724" s="33" t="s">
        <v>3976</v>
      </c>
      <c r="F1724" s="33" t="s">
        <v>1856</v>
      </c>
      <c r="G1724" s="33" t="s">
        <v>45</v>
      </c>
      <c r="H1724" s="33" t="s">
        <v>3685</v>
      </c>
      <c r="I1724" s="33" t="s">
        <v>3685</v>
      </c>
      <c r="J1724" s="33" t="s">
        <v>6813</v>
      </c>
      <c r="K1724" s="33" t="s">
        <v>1791</v>
      </c>
      <c r="L1724" s="33" t="s">
        <v>4039</v>
      </c>
      <c r="M1724" s="33" t="str">
        <f>_xlfn.XLOOKUP(Tabela14[[#This Row],[Responsável]],Organograma!H:H,Organograma!G:G,"")</f>
        <v>CGO - Unidade de Internação Ginecobstétrica</v>
      </c>
      <c r="O1724" s="33" t="s">
        <v>1764</v>
      </c>
      <c r="Q1724" s="33" t="s">
        <v>6603</v>
      </c>
    </row>
    <row r="1725" spans="1:17">
      <c r="A1725" s="33" t="s">
        <v>6656</v>
      </c>
      <c r="B1725" s="33" t="s">
        <v>6814</v>
      </c>
      <c r="C1725" s="33" t="s">
        <v>6599</v>
      </c>
      <c r="D1725" s="33" t="s">
        <v>6665</v>
      </c>
      <c r="E1725" s="33" t="s">
        <v>3976</v>
      </c>
      <c r="F1725" s="33" t="s">
        <v>1815</v>
      </c>
      <c r="G1725" s="33" t="s">
        <v>45</v>
      </c>
      <c r="H1725" s="33" t="s">
        <v>3685</v>
      </c>
      <c r="I1725" s="33" t="s">
        <v>3685</v>
      </c>
      <c r="J1725" s="33" t="s">
        <v>6815</v>
      </c>
      <c r="K1725" s="33" t="s">
        <v>1791</v>
      </c>
      <c r="L1725" s="33" t="s">
        <v>3795</v>
      </c>
      <c r="M1725" s="33" t="str">
        <f>_xlfn.XLOOKUP(Tabela14[[#This Row],[Responsável]],Organograma!H:H,Organograma!G:G,"")</f>
        <v/>
      </c>
      <c r="O1725" s="33" t="s">
        <v>1764</v>
      </c>
      <c r="Q1725" s="33" t="s">
        <v>6603</v>
      </c>
    </row>
    <row r="1726" spans="1:17" hidden="1">
      <c r="A1726" s="33" t="s">
        <v>6656</v>
      </c>
      <c r="B1726" s="33" t="s">
        <v>6816</v>
      </c>
      <c r="C1726" s="33" t="s">
        <v>6599</v>
      </c>
      <c r="D1726" s="33" t="s">
        <v>81</v>
      </c>
      <c r="E1726" s="33" t="s">
        <v>6609</v>
      </c>
      <c r="F1726" s="33" t="s">
        <v>1856</v>
      </c>
      <c r="G1726" s="33" t="s">
        <v>45</v>
      </c>
      <c r="H1726" s="33" t="s">
        <v>3685</v>
      </c>
      <c r="I1726" s="33" t="s">
        <v>3685</v>
      </c>
      <c r="J1726" s="33" t="s">
        <v>6817</v>
      </c>
      <c r="K1726" s="33" t="s">
        <v>6611</v>
      </c>
      <c r="L1726" s="33" t="s">
        <v>3685</v>
      </c>
      <c r="M1726" s="33" t="str">
        <f>_xlfn.XLOOKUP(Tabela14[[#This Row],[Responsável]],Organograma!H:H,Organograma!G:G,"")</f>
        <v>CPN - Centro de Parto Normal</v>
      </c>
      <c r="O1726" s="33" t="s">
        <v>1764</v>
      </c>
      <c r="Q1726" s="33" t="s">
        <v>6603</v>
      </c>
    </row>
    <row r="1727" spans="1:17">
      <c r="A1727" s="33" t="s">
        <v>6656</v>
      </c>
      <c r="B1727" s="33" t="s">
        <v>6818</v>
      </c>
      <c r="C1727" s="33" t="s">
        <v>6599</v>
      </c>
      <c r="D1727" s="33" t="s">
        <v>6819</v>
      </c>
      <c r="E1727" s="33" t="s">
        <v>3976</v>
      </c>
      <c r="F1727" s="33" t="s">
        <v>1815</v>
      </c>
      <c r="G1727" s="33" t="s">
        <v>45</v>
      </c>
      <c r="H1727" s="33" t="s">
        <v>3685</v>
      </c>
      <c r="I1727" s="33" t="s">
        <v>3685</v>
      </c>
      <c r="J1727" s="33" t="s">
        <v>6820</v>
      </c>
      <c r="K1727" s="33" t="s">
        <v>1791</v>
      </c>
      <c r="L1727" s="33" t="s">
        <v>4039</v>
      </c>
      <c r="M1727" s="33" t="str">
        <f>_xlfn.XLOOKUP(Tabela14[[#This Row],[Responsável]],Organograma!H:H,Organograma!G:G,"")</f>
        <v/>
      </c>
      <c r="O1727" s="33" t="s">
        <v>1764</v>
      </c>
      <c r="Q1727" s="33" t="s">
        <v>6603</v>
      </c>
    </row>
    <row r="1728" spans="1:17" hidden="1">
      <c r="A1728" s="33" t="s">
        <v>6656</v>
      </c>
      <c r="B1728" s="33" t="s">
        <v>6821</v>
      </c>
      <c r="C1728" s="33" t="s">
        <v>6599</v>
      </c>
      <c r="D1728" s="33" t="s">
        <v>10</v>
      </c>
      <c r="E1728" s="33" t="s">
        <v>6609</v>
      </c>
      <c r="F1728" s="33" t="s">
        <v>1815</v>
      </c>
      <c r="G1728" s="33" t="s">
        <v>45</v>
      </c>
      <c r="H1728" s="33" t="s">
        <v>2647</v>
      </c>
      <c r="I1728" s="33" t="s">
        <v>2647</v>
      </c>
      <c r="J1728" s="33" t="s">
        <v>6822</v>
      </c>
      <c r="K1728" s="33" t="s">
        <v>6611</v>
      </c>
      <c r="L1728" s="33" t="s">
        <v>2647</v>
      </c>
      <c r="M1728" s="33" t="str">
        <f>_xlfn.XLOOKUP(Tabela14[[#This Row],[Responsável]],Organograma!H:H,Organograma!G:G,"")</f>
        <v>ENG - Núcleo de Engenharia Clínica</v>
      </c>
      <c r="O1728" s="33" t="s">
        <v>1764</v>
      </c>
      <c r="Q1728" s="33" t="s">
        <v>6603</v>
      </c>
    </row>
    <row r="1729" spans="1:17" hidden="1">
      <c r="A1729" s="33" t="s">
        <v>6648</v>
      </c>
      <c r="B1729" s="33" t="s">
        <v>6823</v>
      </c>
      <c r="C1729" s="33" t="s">
        <v>6599</v>
      </c>
      <c r="D1729" s="33" t="s">
        <v>45</v>
      </c>
      <c r="E1729" s="33" t="s">
        <v>6600</v>
      </c>
      <c r="F1729" s="33" t="s">
        <v>2069</v>
      </c>
      <c r="G1729" s="33" t="s">
        <v>45</v>
      </c>
      <c r="H1729" s="33" t="s">
        <v>2647</v>
      </c>
      <c r="I1729" s="33" t="s">
        <v>2647</v>
      </c>
      <c r="J1729" s="33" t="s">
        <v>6824</v>
      </c>
      <c r="K1729" s="33" t="s">
        <v>6602</v>
      </c>
      <c r="L1729" s="33" t="s">
        <v>4039</v>
      </c>
      <c r="M1729" s="33" t="str">
        <f>_xlfn.XLOOKUP(Tabela14[[#This Row],[Responsável]],Organograma!H:H,Organograma!G:G,"")</f>
        <v>OUV - Ouvidoria</v>
      </c>
      <c r="O1729" s="33" t="s">
        <v>1764</v>
      </c>
      <c r="Q1729" s="33" t="s">
        <v>6603</v>
      </c>
    </row>
    <row r="1730" spans="1:17">
      <c r="A1730" s="33" t="s">
        <v>6648</v>
      </c>
      <c r="B1730" s="33" t="s">
        <v>6825</v>
      </c>
      <c r="C1730" s="33" t="s">
        <v>6599</v>
      </c>
      <c r="D1730" s="33" t="s">
        <v>89</v>
      </c>
      <c r="E1730" s="33" t="s">
        <v>3976</v>
      </c>
      <c r="F1730" s="33" t="s">
        <v>1815</v>
      </c>
      <c r="G1730" s="33" t="s">
        <v>45</v>
      </c>
      <c r="H1730" s="33" t="s">
        <v>2647</v>
      </c>
      <c r="I1730" s="33" t="s">
        <v>2647</v>
      </c>
      <c r="J1730" s="33" t="s">
        <v>6826</v>
      </c>
      <c r="K1730" s="33" t="s">
        <v>1791</v>
      </c>
      <c r="L1730" s="33" t="s">
        <v>1206</v>
      </c>
      <c r="M1730" s="33" t="str">
        <f>_xlfn.XLOOKUP(Tabela14[[#This Row],[Responsável]],Organograma!H:H,Organograma!G:G,"")</f>
        <v>P.S - Pronto Socorro</v>
      </c>
      <c r="O1730" s="33" t="s">
        <v>1764</v>
      </c>
      <c r="Q1730" s="33" t="s">
        <v>6603</v>
      </c>
    </row>
    <row r="1731" spans="1:17">
      <c r="A1731" s="33" t="s">
        <v>6648</v>
      </c>
      <c r="B1731" s="33" t="s">
        <v>6827</v>
      </c>
      <c r="C1731" s="33" t="s">
        <v>6599</v>
      </c>
      <c r="D1731" s="33" t="s">
        <v>45</v>
      </c>
      <c r="E1731" s="33" t="s">
        <v>6658</v>
      </c>
      <c r="F1731" s="33" t="s">
        <v>1815</v>
      </c>
      <c r="G1731" s="33" t="s">
        <v>45</v>
      </c>
      <c r="H1731" s="33" t="s">
        <v>2647</v>
      </c>
      <c r="I1731" s="33" t="s">
        <v>2647</v>
      </c>
      <c r="J1731" s="33" t="s">
        <v>6828</v>
      </c>
      <c r="K1731" s="33" t="s">
        <v>1791</v>
      </c>
      <c r="L1731" s="33" t="s">
        <v>1206</v>
      </c>
      <c r="M1731" s="33" t="str">
        <f>_xlfn.XLOOKUP(Tabela14[[#This Row],[Responsável]],Organograma!H:H,Organograma!G:G,"")</f>
        <v>OUV - Ouvidoria</v>
      </c>
      <c r="O1731" s="33" t="s">
        <v>1764</v>
      </c>
      <c r="Q1731" s="33" t="s">
        <v>6603</v>
      </c>
    </row>
    <row r="1732" spans="1:17" hidden="1">
      <c r="A1732" s="33" t="s">
        <v>6648</v>
      </c>
      <c r="B1732" s="33" t="s">
        <v>6829</v>
      </c>
      <c r="C1732" s="33" t="s">
        <v>6599</v>
      </c>
      <c r="D1732" s="33" t="s">
        <v>45</v>
      </c>
      <c r="E1732" s="33" t="s">
        <v>6600</v>
      </c>
      <c r="F1732" s="33" t="s">
        <v>1815</v>
      </c>
      <c r="G1732" s="33" t="s">
        <v>45</v>
      </c>
      <c r="H1732" s="33" t="s">
        <v>2647</v>
      </c>
      <c r="I1732" s="33" t="s">
        <v>2647</v>
      </c>
      <c r="J1732" s="33" t="s">
        <v>6830</v>
      </c>
      <c r="K1732" s="33" t="s">
        <v>6602</v>
      </c>
      <c r="L1732" s="33" t="s">
        <v>4039</v>
      </c>
      <c r="M1732" s="33" t="str">
        <f>_xlfn.XLOOKUP(Tabela14[[#This Row],[Responsável]],Organograma!H:H,Organograma!G:G,"")</f>
        <v>OUV - Ouvidoria</v>
      </c>
      <c r="O1732" s="33" t="s">
        <v>1764</v>
      </c>
      <c r="Q1732" s="33" t="s">
        <v>6603</v>
      </c>
    </row>
    <row r="1733" spans="1:17" hidden="1">
      <c r="A1733" s="33" t="s">
        <v>6656</v>
      </c>
      <c r="B1733" s="33" t="s">
        <v>6831</v>
      </c>
      <c r="C1733" s="33" t="s">
        <v>6599</v>
      </c>
      <c r="D1733" s="33" t="s">
        <v>45</v>
      </c>
      <c r="E1733" s="33" t="s">
        <v>6600</v>
      </c>
      <c r="F1733" s="33" t="s">
        <v>1864</v>
      </c>
      <c r="G1733" s="33" t="s">
        <v>45</v>
      </c>
      <c r="H1733" s="33" t="s">
        <v>2647</v>
      </c>
      <c r="I1733" s="33" t="s">
        <v>2647</v>
      </c>
      <c r="J1733" s="33" t="s">
        <v>6832</v>
      </c>
      <c r="K1733" s="33" t="s">
        <v>6602</v>
      </c>
      <c r="L1733" s="33" t="s">
        <v>3820</v>
      </c>
      <c r="M1733" s="33" t="str">
        <f>_xlfn.XLOOKUP(Tabela14[[#This Row],[Responsável]],Organograma!H:H,Organograma!G:G,"")</f>
        <v>OUV - Ouvidoria</v>
      </c>
      <c r="O1733" s="33" t="s">
        <v>1764</v>
      </c>
      <c r="Q1733" s="33" t="s">
        <v>6603</v>
      </c>
    </row>
    <row r="1734" spans="1:17" hidden="1">
      <c r="A1734" s="33" t="s">
        <v>6656</v>
      </c>
      <c r="B1734" s="33" t="s">
        <v>6833</v>
      </c>
      <c r="C1734" s="33" t="s">
        <v>6599</v>
      </c>
      <c r="D1734" s="33" t="s">
        <v>83</v>
      </c>
      <c r="E1734" s="33" t="s">
        <v>6609</v>
      </c>
      <c r="F1734" s="33" t="s">
        <v>1864</v>
      </c>
      <c r="G1734" s="33" t="s">
        <v>45</v>
      </c>
      <c r="H1734" s="33" t="s">
        <v>2647</v>
      </c>
      <c r="I1734" s="33" t="s">
        <v>2647</v>
      </c>
      <c r="J1734" s="33" t="s">
        <v>6834</v>
      </c>
      <c r="K1734" s="33" t="s">
        <v>6611</v>
      </c>
      <c r="L1734" s="33" t="s">
        <v>2647</v>
      </c>
      <c r="M1734" s="33" t="str">
        <f>_xlfn.XLOOKUP(Tabela14[[#This Row],[Responsável]],Organograma!H:H,Organograma!G:G,"")</f>
        <v>SS - Serviço Social</v>
      </c>
      <c r="O1734" s="33" t="s">
        <v>1764</v>
      </c>
      <c r="Q1734" s="33" t="s">
        <v>6603</v>
      </c>
    </row>
    <row r="1735" spans="1:17" hidden="1">
      <c r="A1735" s="33" t="s">
        <v>6656</v>
      </c>
      <c r="B1735" s="33" t="s">
        <v>6835</v>
      </c>
      <c r="C1735" s="33" t="s">
        <v>6599</v>
      </c>
      <c r="D1735" s="33" t="s">
        <v>45</v>
      </c>
      <c r="E1735" s="33" t="s">
        <v>6600</v>
      </c>
      <c r="F1735" s="33" t="s">
        <v>1856</v>
      </c>
      <c r="G1735" s="33" t="s">
        <v>45</v>
      </c>
      <c r="H1735" s="33" t="s">
        <v>2647</v>
      </c>
      <c r="I1735" s="33" t="s">
        <v>2647</v>
      </c>
      <c r="J1735" s="33" t="s">
        <v>6836</v>
      </c>
      <c r="K1735" s="33" t="s">
        <v>6602</v>
      </c>
      <c r="L1735" s="33" t="s">
        <v>945</v>
      </c>
      <c r="M1735" s="33" t="str">
        <f>_xlfn.XLOOKUP(Tabela14[[#This Row],[Responsável]],Organograma!H:H,Organograma!G:G,"")</f>
        <v>OUV - Ouvidoria</v>
      </c>
      <c r="O1735" s="33" t="s">
        <v>1764</v>
      </c>
      <c r="Q1735" s="33" t="s">
        <v>6603</v>
      </c>
    </row>
    <row r="1736" spans="1:17">
      <c r="A1736" s="33" t="s">
        <v>6648</v>
      </c>
      <c r="B1736" s="33" t="s">
        <v>6837</v>
      </c>
      <c r="C1736" s="33" t="s">
        <v>6599</v>
      </c>
      <c r="D1736" s="33" t="s">
        <v>6819</v>
      </c>
      <c r="E1736" s="33" t="s">
        <v>3976</v>
      </c>
      <c r="F1736" s="33" t="s">
        <v>1815</v>
      </c>
      <c r="G1736" s="33" t="s">
        <v>45</v>
      </c>
      <c r="H1736" s="33" t="s">
        <v>2647</v>
      </c>
      <c r="I1736" s="33" t="s">
        <v>2647</v>
      </c>
      <c r="J1736" s="33" t="s">
        <v>6838</v>
      </c>
      <c r="K1736" s="33" t="s">
        <v>1791</v>
      </c>
      <c r="L1736" s="33" t="s">
        <v>4039</v>
      </c>
      <c r="M1736" s="33" t="str">
        <f>_xlfn.XLOOKUP(Tabela14[[#This Row],[Responsável]],Organograma!H:H,Organograma!G:G,"")</f>
        <v/>
      </c>
      <c r="O1736" s="33" t="s">
        <v>1764</v>
      </c>
      <c r="Q1736" s="33" t="s">
        <v>6603</v>
      </c>
    </row>
    <row r="1737" spans="1:17" hidden="1">
      <c r="A1737" s="33" t="s">
        <v>6648</v>
      </c>
      <c r="B1737" s="33" t="s">
        <v>6839</v>
      </c>
      <c r="C1737" s="33" t="s">
        <v>6599</v>
      </c>
      <c r="D1737" s="33" t="s">
        <v>6840</v>
      </c>
      <c r="E1737" s="33" t="s">
        <v>6609</v>
      </c>
      <c r="F1737" s="33" t="s">
        <v>1856</v>
      </c>
      <c r="G1737" s="33" t="s">
        <v>45</v>
      </c>
      <c r="H1737" s="33" t="s">
        <v>3564</v>
      </c>
      <c r="I1737" s="33" t="s">
        <v>3564</v>
      </c>
      <c r="J1737" s="33" t="s">
        <v>6841</v>
      </c>
      <c r="K1737" s="33" t="s">
        <v>6611</v>
      </c>
      <c r="L1737" s="33" t="s">
        <v>3564</v>
      </c>
      <c r="M1737" s="33" t="str">
        <f>_xlfn.XLOOKUP(Tabela14[[#This Row],[Responsável]],Organograma!H:H,Organograma!G:G,"")</f>
        <v/>
      </c>
      <c r="O1737" s="33" t="s">
        <v>1764</v>
      </c>
      <c r="Q1737" s="33" t="s">
        <v>6603</v>
      </c>
    </row>
    <row r="1738" spans="1:17" hidden="1">
      <c r="A1738" s="33" t="s">
        <v>6648</v>
      </c>
      <c r="B1738" s="33" t="s">
        <v>6842</v>
      </c>
      <c r="C1738" s="33" t="s">
        <v>6599</v>
      </c>
      <c r="D1738" s="33" t="s">
        <v>6840</v>
      </c>
      <c r="E1738" s="33" t="s">
        <v>6609</v>
      </c>
      <c r="F1738" s="33" t="s">
        <v>1815</v>
      </c>
      <c r="G1738" s="33" t="s">
        <v>45</v>
      </c>
      <c r="H1738" s="33" t="s">
        <v>3564</v>
      </c>
      <c r="I1738" s="33" t="s">
        <v>3564</v>
      </c>
      <c r="J1738" s="33" t="s">
        <v>6843</v>
      </c>
      <c r="K1738" s="33" t="s">
        <v>6611</v>
      </c>
      <c r="L1738" s="33" t="s">
        <v>3564</v>
      </c>
      <c r="M1738" s="33" t="str">
        <f>_xlfn.XLOOKUP(Tabela14[[#This Row],[Responsável]],Organograma!H:H,Organograma!G:G,"")</f>
        <v/>
      </c>
      <c r="O1738" s="33" t="s">
        <v>1764</v>
      </c>
      <c r="Q1738" s="33" t="s">
        <v>6603</v>
      </c>
    </row>
    <row r="1739" spans="1:17" hidden="1">
      <c r="A1739" s="33" t="s">
        <v>6648</v>
      </c>
      <c r="B1739" s="33" t="s">
        <v>6844</v>
      </c>
      <c r="C1739" s="33" t="s">
        <v>6599</v>
      </c>
      <c r="D1739" s="33" t="s">
        <v>10</v>
      </c>
      <c r="E1739" s="33" t="s">
        <v>6609</v>
      </c>
      <c r="F1739" s="33" t="s">
        <v>1815</v>
      </c>
      <c r="G1739" s="33" t="s">
        <v>45</v>
      </c>
      <c r="H1739" s="33" t="s">
        <v>3564</v>
      </c>
      <c r="I1739" s="33" t="s">
        <v>3564</v>
      </c>
      <c r="J1739" s="33" t="s">
        <v>6845</v>
      </c>
      <c r="K1739" s="33" t="s">
        <v>6611</v>
      </c>
      <c r="L1739" s="33" t="s">
        <v>3564</v>
      </c>
      <c r="M1739" s="33" t="str">
        <f>_xlfn.XLOOKUP(Tabela14[[#This Row],[Responsável]],Organograma!H:H,Organograma!G:G,"")</f>
        <v>ENG - Núcleo de Engenharia Clínica</v>
      </c>
      <c r="O1739" s="33" t="s">
        <v>1764</v>
      </c>
      <c r="Q1739" s="33" t="s">
        <v>6603</v>
      </c>
    </row>
    <row r="1740" spans="1:17" hidden="1">
      <c r="A1740" s="33" t="s">
        <v>6656</v>
      </c>
      <c r="B1740" s="33" t="s">
        <v>6846</v>
      </c>
      <c r="C1740" s="33" t="s">
        <v>6599</v>
      </c>
      <c r="D1740" s="33" t="s">
        <v>10</v>
      </c>
      <c r="E1740" s="33" t="s">
        <v>6609</v>
      </c>
      <c r="F1740" s="33" t="s">
        <v>1856</v>
      </c>
      <c r="G1740" s="33" t="s">
        <v>45</v>
      </c>
      <c r="H1740" s="33" t="s">
        <v>3564</v>
      </c>
      <c r="I1740" s="33" t="s">
        <v>3564</v>
      </c>
      <c r="J1740" s="33" t="s">
        <v>6847</v>
      </c>
      <c r="K1740" s="33" t="s">
        <v>6611</v>
      </c>
      <c r="L1740" s="33" t="s">
        <v>3564</v>
      </c>
      <c r="M1740" s="33" t="str">
        <f>_xlfn.XLOOKUP(Tabela14[[#This Row],[Responsável]],Organograma!H:H,Organograma!G:G,"")</f>
        <v>ENG - Núcleo de Engenharia Clínica</v>
      </c>
      <c r="O1740" s="33" t="s">
        <v>1764</v>
      </c>
      <c r="Q1740" s="33" t="s">
        <v>6603</v>
      </c>
    </row>
    <row r="1741" spans="1:17" hidden="1">
      <c r="A1741" s="33" t="s">
        <v>6656</v>
      </c>
      <c r="B1741" s="33" t="s">
        <v>6848</v>
      </c>
      <c r="C1741" s="33" t="s">
        <v>6599</v>
      </c>
      <c r="D1741" s="33" t="s">
        <v>44</v>
      </c>
      <c r="E1741" s="33" t="s">
        <v>6609</v>
      </c>
      <c r="F1741" s="33" t="s">
        <v>1864</v>
      </c>
      <c r="G1741" s="33" t="s">
        <v>45</v>
      </c>
      <c r="H1741" s="33" t="s">
        <v>3820</v>
      </c>
      <c r="I1741" s="33" t="s">
        <v>3820</v>
      </c>
      <c r="J1741" s="33" t="s">
        <v>6849</v>
      </c>
      <c r="K1741" s="33" t="s">
        <v>6611</v>
      </c>
      <c r="L1741" s="33" t="s">
        <v>3820</v>
      </c>
      <c r="M1741" s="33" t="str">
        <f>_xlfn.XLOOKUP(Tabela14[[#This Row],[Responsável]],Organograma!H:H,Organograma!G:G,"")</f>
        <v>NGAH - Núcleo de Gestão de Atendimento e Humanização</v>
      </c>
      <c r="O1741" s="33" t="s">
        <v>1764</v>
      </c>
      <c r="Q1741" s="33" t="s">
        <v>6603</v>
      </c>
    </row>
    <row r="1742" spans="1:17">
      <c r="A1742" s="33" t="s">
        <v>6850</v>
      </c>
      <c r="B1742" s="33" t="s">
        <v>6851</v>
      </c>
      <c r="C1742" s="33" t="s">
        <v>6599</v>
      </c>
      <c r="D1742" s="33" t="s">
        <v>2274</v>
      </c>
      <c r="E1742" s="33" t="s">
        <v>3976</v>
      </c>
      <c r="F1742" s="33" t="s">
        <v>1815</v>
      </c>
      <c r="G1742" s="33" t="s">
        <v>45</v>
      </c>
      <c r="H1742" s="33" t="s">
        <v>3820</v>
      </c>
      <c r="I1742" s="33" t="s">
        <v>3820</v>
      </c>
      <c r="J1742" s="33" t="s">
        <v>6852</v>
      </c>
      <c r="K1742" s="33" t="s">
        <v>1791</v>
      </c>
      <c r="L1742" s="33" t="s">
        <v>3820</v>
      </c>
      <c r="M1742" s="33" t="str">
        <f>_xlfn.XLOOKUP(Tabela14[[#This Row],[Responsável]],Organograma!H:H,Organograma!G:G,"")</f>
        <v/>
      </c>
      <c r="O1742" s="33" t="s">
        <v>1764</v>
      </c>
      <c r="Q1742" s="33" t="s">
        <v>6603</v>
      </c>
    </row>
    <row r="1743" spans="1:17">
      <c r="A1743" s="33" t="s">
        <v>6850</v>
      </c>
      <c r="B1743" s="33" t="s">
        <v>6853</v>
      </c>
      <c r="C1743" s="33" t="s">
        <v>6599</v>
      </c>
      <c r="D1743" s="33" t="s">
        <v>65</v>
      </c>
      <c r="E1743" s="33" t="s">
        <v>3976</v>
      </c>
      <c r="F1743" s="33" t="s">
        <v>1856</v>
      </c>
      <c r="G1743" s="33" t="s">
        <v>45</v>
      </c>
      <c r="H1743" s="33" t="s">
        <v>3820</v>
      </c>
      <c r="I1743" s="33" t="s">
        <v>3820</v>
      </c>
      <c r="J1743" s="33" t="s">
        <v>6854</v>
      </c>
      <c r="K1743" s="33" t="s">
        <v>1791</v>
      </c>
      <c r="L1743" s="33" t="s">
        <v>3696</v>
      </c>
      <c r="M1743" s="33" t="str">
        <f>_xlfn.XLOOKUP(Tabela14[[#This Row],[Responsável]],Organograma!H:H,Organograma!G:G,"")</f>
        <v>CGO - Unidade de Internação Ginecobstétrica</v>
      </c>
      <c r="O1743" s="33" t="s">
        <v>1764</v>
      </c>
      <c r="Q1743" s="33" t="s">
        <v>6603</v>
      </c>
    </row>
    <row r="1744" spans="1:17">
      <c r="A1744" s="33" t="s">
        <v>6850</v>
      </c>
      <c r="B1744" s="33" t="s">
        <v>6855</v>
      </c>
      <c r="C1744" s="33" t="s">
        <v>6599</v>
      </c>
      <c r="D1744" s="33" t="s">
        <v>68</v>
      </c>
      <c r="E1744" s="33" t="s">
        <v>3976</v>
      </c>
      <c r="F1744" s="33" t="s">
        <v>1856</v>
      </c>
      <c r="G1744" s="33" t="s">
        <v>45</v>
      </c>
      <c r="H1744" s="33" t="s">
        <v>3820</v>
      </c>
      <c r="I1744" s="33" t="s">
        <v>3820</v>
      </c>
      <c r="J1744" s="33" t="s">
        <v>6856</v>
      </c>
      <c r="K1744" s="33" t="s">
        <v>1791</v>
      </c>
      <c r="L1744" s="33" t="s">
        <v>1206</v>
      </c>
      <c r="M1744" s="33" t="str">
        <f>_xlfn.XLOOKUP(Tabela14[[#This Row],[Responsável]],Organograma!H:H,Organograma!G:G,"")</f>
        <v>UICC - Unidade de Internação Cirúrgica</v>
      </c>
      <c r="O1744" s="33" t="s">
        <v>1764</v>
      </c>
      <c r="Q1744" s="33" t="s">
        <v>6603</v>
      </c>
    </row>
    <row r="1745" spans="1:17" hidden="1">
      <c r="A1745" s="33" t="s">
        <v>6656</v>
      </c>
      <c r="B1745" s="33" t="s">
        <v>6857</v>
      </c>
      <c r="C1745" s="33" t="s">
        <v>6599</v>
      </c>
      <c r="D1745" s="33" t="s">
        <v>45</v>
      </c>
      <c r="E1745" s="33" t="s">
        <v>6600</v>
      </c>
      <c r="F1745" s="33" t="s">
        <v>1856</v>
      </c>
      <c r="G1745" s="33" t="s">
        <v>45</v>
      </c>
      <c r="H1745" s="33" t="s">
        <v>3820</v>
      </c>
      <c r="I1745" s="33" t="s">
        <v>3820</v>
      </c>
      <c r="J1745" s="33" t="s">
        <v>6858</v>
      </c>
      <c r="K1745" s="33" t="s">
        <v>6602</v>
      </c>
      <c r="L1745" s="33" t="s">
        <v>945</v>
      </c>
      <c r="M1745" s="33" t="str">
        <f>_xlfn.XLOOKUP(Tabela14[[#This Row],[Responsável]],Organograma!H:H,Organograma!G:G,"")</f>
        <v>OUV - Ouvidoria</v>
      </c>
      <c r="O1745" s="33" t="s">
        <v>1764</v>
      </c>
      <c r="Q1745" s="33" t="s">
        <v>6603</v>
      </c>
    </row>
    <row r="1746" spans="1:17" hidden="1">
      <c r="A1746" s="33" t="s">
        <v>6656</v>
      </c>
      <c r="B1746" s="33" t="s">
        <v>6859</v>
      </c>
      <c r="C1746" s="33" t="s">
        <v>6599</v>
      </c>
      <c r="D1746" s="33" t="s">
        <v>81</v>
      </c>
      <c r="E1746" s="33" t="s">
        <v>6609</v>
      </c>
      <c r="F1746" s="33" t="s">
        <v>1864</v>
      </c>
      <c r="G1746" s="33" t="s">
        <v>45</v>
      </c>
      <c r="H1746" s="33" t="s">
        <v>3820</v>
      </c>
      <c r="I1746" s="33" t="s">
        <v>3820</v>
      </c>
      <c r="J1746" s="33" t="s">
        <v>6860</v>
      </c>
      <c r="K1746" s="33" t="s">
        <v>6611</v>
      </c>
      <c r="L1746" s="33" t="s">
        <v>3820</v>
      </c>
      <c r="M1746" s="33" t="str">
        <f>_xlfn.XLOOKUP(Tabela14[[#This Row],[Responsável]],Organograma!H:H,Organograma!G:G,"")</f>
        <v>CPN - Centro de Parto Normal</v>
      </c>
      <c r="O1746" s="33" t="s">
        <v>1764</v>
      </c>
      <c r="Q1746" s="33" t="s">
        <v>6603</v>
      </c>
    </row>
    <row r="1747" spans="1:17">
      <c r="A1747" s="33" t="s">
        <v>6656</v>
      </c>
      <c r="B1747" s="33" t="s">
        <v>6861</v>
      </c>
      <c r="C1747" s="33" t="s">
        <v>6599</v>
      </c>
      <c r="D1747" s="33" t="s">
        <v>2274</v>
      </c>
      <c r="E1747" s="33" t="s">
        <v>3976</v>
      </c>
      <c r="F1747" s="33" t="s">
        <v>1815</v>
      </c>
      <c r="G1747" s="33" t="s">
        <v>45</v>
      </c>
      <c r="H1747" s="33" t="s">
        <v>945</v>
      </c>
      <c r="I1747" s="33" t="s">
        <v>945</v>
      </c>
      <c r="J1747" s="33" t="s">
        <v>6862</v>
      </c>
      <c r="K1747" s="33" t="s">
        <v>1791</v>
      </c>
      <c r="L1747" s="33" t="s">
        <v>1386</v>
      </c>
      <c r="M1747" s="33" t="str">
        <f>_xlfn.XLOOKUP(Tabela14[[#This Row],[Responsável]],Organograma!H:H,Organograma!G:G,"")</f>
        <v/>
      </c>
      <c r="O1747" s="33" t="s">
        <v>1764</v>
      </c>
      <c r="Q1747" s="33" t="s">
        <v>6603</v>
      </c>
    </row>
    <row r="1748" spans="1:17">
      <c r="A1748" s="33" t="s">
        <v>6656</v>
      </c>
      <c r="B1748" s="33" t="s">
        <v>6863</v>
      </c>
      <c r="C1748" s="33" t="s">
        <v>6599</v>
      </c>
      <c r="D1748" s="33" t="s">
        <v>68</v>
      </c>
      <c r="E1748" s="33" t="s">
        <v>3976</v>
      </c>
      <c r="F1748" s="33" t="s">
        <v>1815</v>
      </c>
      <c r="G1748" s="33" t="s">
        <v>45</v>
      </c>
      <c r="H1748" s="33" t="s">
        <v>1152</v>
      </c>
      <c r="I1748" s="33" t="s">
        <v>1152</v>
      </c>
      <c r="J1748" s="33" t="s">
        <v>6864</v>
      </c>
      <c r="K1748" s="33" t="s">
        <v>1791</v>
      </c>
      <c r="L1748" s="33" t="s">
        <v>1206</v>
      </c>
      <c r="M1748" s="33" t="str">
        <f>_xlfn.XLOOKUP(Tabela14[[#This Row],[Responsável]],Organograma!H:H,Organograma!G:G,"")</f>
        <v>UICC - Unidade de Internação Cirúrgica</v>
      </c>
      <c r="O1748" s="33" t="s">
        <v>1764</v>
      </c>
      <c r="Q1748" s="33" t="s">
        <v>6603</v>
      </c>
    </row>
    <row r="1749" spans="1:17" hidden="1">
      <c r="A1749" s="33" t="s">
        <v>6656</v>
      </c>
      <c r="B1749" s="33" t="s">
        <v>6865</v>
      </c>
      <c r="C1749" s="33" t="s">
        <v>6599</v>
      </c>
      <c r="D1749" s="33" t="s">
        <v>81</v>
      </c>
      <c r="E1749" s="33" t="s">
        <v>6609</v>
      </c>
      <c r="F1749" s="33" t="s">
        <v>1815</v>
      </c>
      <c r="G1749" s="33" t="s">
        <v>45</v>
      </c>
      <c r="H1749" s="33" t="s">
        <v>1152</v>
      </c>
      <c r="I1749" s="33" t="s">
        <v>1152</v>
      </c>
      <c r="J1749" s="33" t="s">
        <v>6866</v>
      </c>
      <c r="K1749" s="33" t="s">
        <v>6611</v>
      </c>
      <c r="L1749" s="33" t="s">
        <v>1152</v>
      </c>
      <c r="M1749" s="33" t="str">
        <f>_xlfn.XLOOKUP(Tabela14[[#This Row],[Responsável]],Organograma!H:H,Organograma!G:G,"")</f>
        <v>CPN - Centro de Parto Normal</v>
      </c>
      <c r="O1749" s="33" t="s">
        <v>1764</v>
      </c>
      <c r="Q1749" s="33" t="s">
        <v>6603</v>
      </c>
    </row>
    <row r="1750" spans="1:17">
      <c r="A1750" s="33" t="s">
        <v>6867</v>
      </c>
      <c r="B1750" s="33" t="s">
        <v>6868</v>
      </c>
      <c r="C1750" s="33" t="s">
        <v>6599</v>
      </c>
      <c r="D1750" s="33" t="s">
        <v>68</v>
      </c>
      <c r="E1750" s="33" t="s">
        <v>3976</v>
      </c>
      <c r="F1750" s="33" t="s">
        <v>1815</v>
      </c>
      <c r="G1750" s="33" t="s">
        <v>45</v>
      </c>
      <c r="H1750" s="33" t="s">
        <v>1152</v>
      </c>
      <c r="I1750" s="33" t="s">
        <v>1152</v>
      </c>
      <c r="J1750" s="33" t="s">
        <v>6869</v>
      </c>
      <c r="K1750" s="33" t="s">
        <v>1791</v>
      </c>
      <c r="L1750" s="33" t="s">
        <v>1206</v>
      </c>
      <c r="M1750" s="33" t="str">
        <f>_xlfn.XLOOKUP(Tabela14[[#This Row],[Responsável]],Organograma!H:H,Organograma!G:G,"")</f>
        <v>UICC - Unidade de Internação Cirúrgica</v>
      </c>
      <c r="O1750" s="33" t="s">
        <v>1764</v>
      </c>
      <c r="Q1750" s="33" t="s">
        <v>6603</v>
      </c>
    </row>
    <row r="1751" spans="1:17" hidden="1">
      <c r="A1751" s="33" t="s">
        <v>6648</v>
      </c>
      <c r="B1751" s="33" t="s">
        <v>6870</v>
      </c>
      <c r="C1751" s="33" t="s">
        <v>6599</v>
      </c>
      <c r="D1751" s="33" t="s">
        <v>57</v>
      </c>
      <c r="E1751" s="33" t="s">
        <v>6609</v>
      </c>
      <c r="F1751" s="33" t="s">
        <v>1815</v>
      </c>
      <c r="G1751" s="33" t="s">
        <v>45</v>
      </c>
      <c r="H1751" s="33" t="s">
        <v>1152</v>
      </c>
      <c r="I1751" s="33" t="s">
        <v>1152</v>
      </c>
      <c r="J1751" s="33" t="s">
        <v>6871</v>
      </c>
      <c r="K1751" s="33" t="s">
        <v>6611</v>
      </c>
      <c r="L1751" s="33" t="s">
        <v>1152</v>
      </c>
      <c r="M1751" s="33" t="str">
        <f>_xlfn.XLOOKUP(Tabela14[[#This Row],[Responsável]],Organograma!H:H,Organograma!G:G,"")</f>
        <v>AMB - Unidade Ambulatorial</v>
      </c>
      <c r="O1751" s="33" t="s">
        <v>1764</v>
      </c>
      <c r="Q1751" s="33" t="s">
        <v>6603</v>
      </c>
    </row>
    <row r="1752" spans="1:17" hidden="1">
      <c r="A1752" s="33" t="s">
        <v>6656</v>
      </c>
      <c r="B1752" s="33" t="s">
        <v>6872</v>
      </c>
      <c r="C1752" s="33" t="s">
        <v>6599</v>
      </c>
      <c r="D1752" s="33" t="s">
        <v>83</v>
      </c>
      <c r="E1752" s="33" t="s">
        <v>6609</v>
      </c>
      <c r="F1752" s="33" t="s">
        <v>1815</v>
      </c>
      <c r="G1752" s="33" t="s">
        <v>45</v>
      </c>
      <c r="H1752" s="33" t="s">
        <v>1152</v>
      </c>
      <c r="I1752" s="33" t="s">
        <v>1152</v>
      </c>
      <c r="J1752" s="33" t="s">
        <v>6873</v>
      </c>
      <c r="K1752" s="33" t="s">
        <v>6611</v>
      </c>
      <c r="L1752" s="33" t="s">
        <v>1152</v>
      </c>
      <c r="M1752" s="33" t="str">
        <f>_xlfn.XLOOKUP(Tabela14[[#This Row],[Responsável]],Organograma!H:H,Organograma!G:G,"")</f>
        <v>SS - Serviço Social</v>
      </c>
      <c r="O1752" s="33" t="s">
        <v>1764</v>
      </c>
      <c r="Q1752" s="33" t="s">
        <v>6603</v>
      </c>
    </row>
    <row r="1753" spans="1:17">
      <c r="A1753" s="33" t="s">
        <v>6656</v>
      </c>
      <c r="B1753" s="33" t="s">
        <v>6874</v>
      </c>
      <c r="C1753" s="33" t="s">
        <v>6599</v>
      </c>
      <c r="D1753" s="33" t="s">
        <v>65</v>
      </c>
      <c r="E1753" s="33" t="s">
        <v>3976</v>
      </c>
      <c r="F1753" s="33" t="s">
        <v>1856</v>
      </c>
      <c r="G1753" s="33" t="s">
        <v>45</v>
      </c>
      <c r="H1753" s="33" t="s">
        <v>1152</v>
      </c>
      <c r="I1753" s="33" t="s">
        <v>1152</v>
      </c>
      <c r="J1753" s="33" t="s">
        <v>6875</v>
      </c>
      <c r="K1753" s="33" t="s">
        <v>1791</v>
      </c>
      <c r="L1753" s="33" t="s">
        <v>3696</v>
      </c>
      <c r="M1753" s="33" t="str">
        <f>_xlfn.XLOOKUP(Tabela14[[#This Row],[Responsável]],Organograma!H:H,Organograma!G:G,"")</f>
        <v>CGO - Unidade de Internação Ginecobstétrica</v>
      </c>
      <c r="O1753" s="33" t="s">
        <v>1764</v>
      </c>
      <c r="Q1753" s="33" t="s">
        <v>6603</v>
      </c>
    </row>
    <row r="1754" spans="1:17" hidden="1">
      <c r="A1754" s="33" t="s">
        <v>6648</v>
      </c>
      <c r="B1754" s="33" t="s">
        <v>6876</v>
      </c>
      <c r="C1754" s="33" t="s">
        <v>6599</v>
      </c>
      <c r="D1754" s="33" t="s">
        <v>10</v>
      </c>
      <c r="E1754" s="33" t="s">
        <v>6609</v>
      </c>
      <c r="F1754" s="33" t="s">
        <v>1815</v>
      </c>
      <c r="G1754" s="33" t="s">
        <v>45</v>
      </c>
      <c r="H1754" s="33" t="s">
        <v>1206</v>
      </c>
      <c r="I1754" s="33" t="s">
        <v>1206</v>
      </c>
      <c r="J1754" s="33" t="s">
        <v>6877</v>
      </c>
      <c r="K1754" s="33" t="s">
        <v>6611</v>
      </c>
      <c r="L1754" s="33" t="s">
        <v>1206</v>
      </c>
      <c r="M1754" s="33" t="str">
        <f>_xlfn.XLOOKUP(Tabela14[[#This Row],[Responsável]],Organograma!H:H,Organograma!G:G,"")</f>
        <v>ENG - Núcleo de Engenharia Clínica</v>
      </c>
      <c r="O1754" s="33" t="s">
        <v>1764</v>
      </c>
      <c r="Q1754" s="33" t="s">
        <v>6603</v>
      </c>
    </row>
    <row r="1755" spans="1:17">
      <c r="A1755" s="33" t="s">
        <v>6656</v>
      </c>
      <c r="B1755" s="33" t="s">
        <v>6878</v>
      </c>
      <c r="C1755" s="33" t="s">
        <v>6599</v>
      </c>
      <c r="D1755" s="33" t="s">
        <v>79</v>
      </c>
      <c r="E1755" s="33" t="s">
        <v>3976</v>
      </c>
      <c r="F1755" s="33" t="s">
        <v>1815</v>
      </c>
      <c r="G1755" s="33" t="s">
        <v>45</v>
      </c>
      <c r="H1755" s="33" t="s">
        <v>1206</v>
      </c>
      <c r="I1755" s="33" t="s">
        <v>1206</v>
      </c>
      <c r="J1755" s="33" t="s">
        <v>6879</v>
      </c>
      <c r="K1755" s="33" t="s">
        <v>1791</v>
      </c>
      <c r="L1755" s="33" t="s">
        <v>3696</v>
      </c>
      <c r="M1755" s="33" t="str">
        <f>_xlfn.XLOOKUP(Tabela14[[#This Row],[Responsável]],Organograma!H:H,Organograma!G:G,"")</f>
        <v>PED - Unidade de Internação Pediátrica</v>
      </c>
      <c r="O1755" s="33" t="s">
        <v>1764</v>
      </c>
      <c r="Q1755" s="33" t="s">
        <v>6603</v>
      </c>
    </row>
    <row r="1756" spans="1:17" hidden="1">
      <c r="A1756" s="33" t="s">
        <v>6648</v>
      </c>
      <c r="B1756" s="33" t="s">
        <v>6880</v>
      </c>
      <c r="C1756" s="33" t="s">
        <v>6599</v>
      </c>
      <c r="D1756" s="33" t="s">
        <v>2274</v>
      </c>
      <c r="E1756" s="33" t="s">
        <v>6609</v>
      </c>
      <c r="F1756" s="33" t="s">
        <v>1815</v>
      </c>
      <c r="G1756" s="33" t="s">
        <v>45</v>
      </c>
      <c r="H1756" s="33" t="s">
        <v>1206</v>
      </c>
      <c r="I1756" s="33" t="s">
        <v>1206</v>
      </c>
      <c r="J1756" s="33" t="s">
        <v>6881</v>
      </c>
      <c r="K1756" s="33" t="s">
        <v>6611</v>
      </c>
      <c r="L1756" s="33" t="s">
        <v>1206</v>
      </c>
      <c r="M1756" s="33" t="str">
        <f>_xlfn.XLOOKUP(Tabela14[[#This Row],[Responsável]],Organograma!H:H,Organograma!G:G,"")</f>
        <v/>
      </c>
      <c r="O1756" s="33" t="s">
        <v>1764</v>
      </c>
      <c r="Q1756" s="33" t="s">
        <v>6603</v>
      </c>
    </row>
    <row r="1757" spans="1:17" hidden="1">
      <c r="A1757" s="33" t="s">
        <v>6656</v>
      </c>
      <c r="B1757" s="33" t="s">
        <v>6882</v>
      </c>
      <c r="C1757" s="33" t="s">
        <v>6599</v>
      </c>
      <c r="D1757" s="33" t="s">
        <v>44</v>
      </c>
      <c r="E1757" s="33" t="s">
        <v>6609</v>
      </c>
      <c r="F1757" s="33" t="s">
        <v>1815</v>
      </c>
      <c r="G1757" s="33" t="s">
        <v>45</v>
      </c>
      <c r="H1757" s="33" t="s">
        <v>3948</v>
      </c>
      <c r="I1757" s="33" t="s">
        <v>3948</v>
      </c>
      <c r="J1757" s="33" t="s">
        <v>6883</v>
      </c>
      <c r="K1757" s="33" t="s">
        <v>6611</v>
      </c>
      <c r="L1757" s="33" t="s">
        <v>3948</v>
      </c>
      <c r="M1757" s="33" t="str">
        <f>_xlfn.XLOOKUP(Tabela14[[#This Row],[Responsável]],Organograma!H:H,Organograma!G:G,"")</f>
        <v>NGAH - Núcleo de Gestão de Atendimento e Humanização</v>
      </c>
      <c r="O1757" s="33" t="s">
        <v>1764</v>
      </c>
      <c r="Q1757" s="33" t="s">
        <v>6603</v>
      </c>
    </row>
    <row r="1758" spans="1:17" hidden="1">
      <c r="A1758" s="33" t="s">
        <v>6656</v>
      </c>
      <c r="B1758" s="33" t="s">
        <v>6884</v>
      </c>
      <c r="C1758" s="33" t="s">
        <v>6599</v>
      </c>
      <c r="D1758" s="33" t="s">
        <v>6840</v>
      </c>
      <c r="E1758" s="33" t="s">
        <v>6609</v>
      </c>
      <c r="F1758" s="33" t="s">
        <v>1815</v>
      </c>
      <c r="G1758" s="33" t="s">
        <v>45</v>
      </c>
      <c r="H1758" s="33" t="s">
        <v>3948</v>
      </c>
      <c r="I1758" s="33" t="s">
        <v>3948</v>
      </c>
      <c r="J1758" s="33" t="s">
        <v>6885</v>
      </c>
      <c r="K1758" s="33" t="s">
        <v>6611</v>
      </c>
      <c r="L1758" s="33" t="s">
        <v>3948</v>
      </c>
      <c r="M1758" s="33" t="str">
        <f>_xlfn.XLOOKUP(Tabela14[[#This Row],[Responsável]],Organograma!H:H,Organograma!G:G,"")</f>
        <v/>
      </c>
      <c r="O1758" s="33" t="s">
        <v>1764</v>
      </c>
      <c r="Q1758" s="33" t="s">
        <v>6603</v>
      </c>
    </row>
    <row r="1759" spans="1:17" hidden="1">
      <c r="A1759" s="33" t="s">
        <v>2168</v>
      </c>
      <c r="B1759" s="33" t="s">
        <v>6886</v>
      </c>
      <c r="C1759" s="33" t="s">
        <v>1819</v>
      </c>
      <c r="D1759" s="33" t="s">
        <v>85</v>
      </c>
      <c r="E1759" s="33" t="s">
        <v>6600</v>
      </c>
      <c r="F1759" s="33" t="s">
        <v>1815</v>
      </c>
      <c r="G1759" s="33" t="s">
        <v>1986</v>
      </c>
      <c r="H1759" s="33" t="s">
        <v>1881</v>
      </c>
      <c r="I1759" s="33" t="s">
        <v>1881</v>
      </c>
      <c r="J1759" s="33" t="s">
        <v>2170</v>
      </c>
      <c r="K1759" s="33" t="s">
        <v>6602</v>
      </c>
      <c r="L1759" s="33" t="s">
        <v>2521</v>
      </c>
      <c r="M1759" s="33" t="s">
        <v>1811</v>
      </c>
      <c r="N1759" s="33" t="s">
        <v>1078</v>
      </c>
      <c r="Q1759" s="33" t="s">
        <v>6887</v>
      </c>
    </row>
    <row r="1760" spans="1:17" hidden="1">
      <c r="A1760" s="33" t="s">
        <v>2383</v>
      </c>
      <c r="B1760" s="33" t="s">
        <v>6888</v>
      </c>
      <c r="C1760" s="33" t="s">
        <v>1819</v>
      </c>
      <c r="D1760" s="33" t="s">
        <v>85</v>
      </c>
      <c r="E1760" s="33" t="s">
        <v>6600</v>
      </c>
      <c r="F1760" s="33" t="s">
        <v>1815</v>
      </c>
      <c r="G1760" s="33" t="s">
        <v>1986</v>
      </c>
      <c r="H1760" s="33" t="s">
        <v>2000</v>
      </c>
      <c r="I1760" s="33" t="s">
        <v>2000</v>
      </c>
      <c r="J1760" s="33" t="s">
        <v>2385</v>
      </c>
      <c r="K1760" s="33" t="s">
        <v>6602</v>
      </c>
      <c r="L1760" s="33" t="s">
        <v>3633</v>
      </c>
      <c r="M1760" s="33" t="s">
        <v>1838</v>
      </c>
      <c r="N1760" s="33" t="s">
        <v>1078</v>
      </c>
      <c r="Q1760" s="33" t="s">
        <v>6887</v>
      </c>
    </row>
    <row r="1761" spans="1:17" hidden="1">
      <c r="A1761" s="33" t="s">
        <v>6889</v>
      </c>
      <c r="B1761" s="33" t="s">
        <v>6890</v>
      </c>
      <c r="C1761" s="33" t="s">
        <v>6891</v>
      </c>
      <c r="D1761" s="33" t="s">
        <v>85</v>
      </c>
      <c r="E1761" s="33" t="s">
        <v>6600</v>
      </c>
      <c r="F1761" s="33" t="s">
        <v>1815</v>
      </c>
      <c r="G1761" s="33" t="s">
        <v>6892</v>
      </c>
      <c r="H1761" s="33" t="s">
        <v>2420</v>
      </c>
      <c r="I1761" s="33" t="s">
        <v>2420</v>
      </c>
      <c r="J1761" s="33" t="s">
        <v>6893</v>
      </c>
      <c r="K1761" s="33" t="s">
        <v>6602</v>
      </c>
      <c r="L1761" s="33" t="s">
        <v>2529</v>
      </c>
      <c r="M1761" s="33" t="s">
        <v>1811</v>
      </c>
      <c r="N1761" s="33" t="s">
        <v>54</v>
      </c>
      <c r="Q1761" s="33" t="s">
        <v>6887</v>
      </c>
    </row>
    <row r="1762" spans="1:17" hidden="1">
      <c r="A1762" s="33" t="s">
        <v>4383</v>
      </c>
      <c r="B1762" s="33" t="s">
        <v>6894</v>
      </c>
      <c r="C1762" s="33" t="s">
        <v>4116</v>
      </c>
      <c r="D1762" s="33" t="s">
        <v>4385</v>
      </c>
      <c r="E1762" s="33" t="s">
        <v>1808</v>
      </c>
      <c r="F1762" s="33" t="s">
        <v>1787</v>
      </c>
      <c r="G1762" s="33" t="s">
        <v>4385</v>
      </c>
      <c r="H1762" s="33" t="s">
        <v>2467</v>
      </c>
      <c r="I1762" s="33" t="s">
        <v>2467</v>
      </c>
      <c r="J1762" s="33" t="s">
        <v>4386</v>
      </c>
      <c r="K1762" s="33" t="s">
        <v>1791</v>
      </c>
      <c r="L1762" s="33" t="s">
        <v>2467</v>
      </c>
      <c r="M1762" s="33" t="s">
        <v>1827</v>
      </c>
      <c r="N1762" s="33" t="s">
        <v>4119</v>
      </c>
      <c r="Q1762" s="33" t="s">
        <v>6887</v>
      </c>
    </row>
    <row r="1763" spans="1:17">
      <c r="A1763" s="33" t="s">
        <v>6895</v>
      </c>
      <c r="B1763" s="33" t="s">
        <v>6896</v>
      </c>
      <c r="C1763" s="33" t="s">
        <v>6891</v>
      </c>
      <c r="D1763" s="33" t="s">
        <v>4419</v>
      </c>
      <c r="E1763" s="33" t="s">
        <v>935</v>
      </c>
      <c r="F1763" s="33" t="s">
        <v>1815</v>
      </c>
      <c r="G1763" s="33" t="s">
        <v>6892</v>
      </c>
      <c r="H1763" s="33" t="s">
        <v>2569</v>
      </c>
      <c r="I1763" s="33" t="s">
        <v>2569</v>
      </c>
      <c r="J1763" s="33" t="s">
        <v>6897</v>
      </c>
      <c r="K1763" s="33" t="s">
        <v>6898</v>
      </c>
      <c r="L1763" s="33" t="s">
        <v>3436</v>
      </c>
      <c r="M1763" s="33" t="s">
        <v>1844</v>
      </c>
      <c r="N1763" s="33" t="s">
        <v>54</v>
      </c>
      <c r="Q1763" s="33" t="s">
        <v>6887</v>
      </c>
    </row>
    <row r="1764" spans="1:17">
      <c r="A1764" s="33" t="s">
        <v>2492</v>
      </c>
      <c r="B1764" s="33" t="s">
        <v>6899</v>
      </c>
      <c r="C1764" s="33" t="s">
        <v>1819</v>
      </c>
      <c r="D1764" s="33" t="s">
        <v>4419</v>
      </c>
      <c r="E1764" s="33" t="s">
        <v>935</v>
      </c>
      <c r="F1764" s="33" t="s">
        <v>1815</v>
      </c>
      <c r="G1764" s="33" t="s">
        <v>1986</v>
      </c>
      <c r="H1764" s="33" t="s">
        <v>2428</v>
      </c>
      <c r="I1764" s="33" t="s">
        <v>2467</v>
      </c>
      <c r="J1764" s="33" t="s">
        <v>2494</v>
      </c>
      <c r="K1764" s="33" t="s">
        <v>6898</v>
      </c>
      <c r="L1764" s="33" t="s">
        <v>3318</v>
      </c>
      <c r="M1764" s="33" t="s">
        <v>1811</v>
      </c>
      <c r="N1764" s="33" t="s">
        <v>1078</v>
      </c>
      <c r="Q1764" s="33" t="s">
        <v>6887</v>
      </c>
    </row>
    <row r="1765" spans="1:17" hidden="1">
      <c r="A1765" s="33" t="s">
        <v>6900</v>
      </c>
      <c r="B1765" s="33" t="s">
        <v>6901</v>
      </c>
      <c r="C1765" s="33" t="s">
        <v>1980</v>
      </c>
      <c r="D1765" s="33" t="s">
        <v>4068</v>
      </c>
      <c r="E1765" s="33" t="s">
        <v>1808</v>
      </c>
      <c r="F1765" s="33" t="s">
        <v>1787</v>
      </c>
      <c r="G1765" s="33" t="s">
        <v>6902</v>
      </c>
      <c r="H1765" s="33" t="s">
        <v>3211</v>
      </c>
      <c r="I1765" s="33" t="s">
        <v>3211</v>
      </c>
      <c r="J1765" s="33" t="s">
        <v>6903</v>
      </c>
      <c r="K1765" s="33" t="s">
        <v>1791</v>
      </c>
      <c r="L1765" s="33" t="s">
        <v>3211</v>
      </c>
      <c r="M1765" s="33" t="s">
        <v>1827</v>
      </c>
      <c r="N1765" s="33" t="s">
        <v>1827</v>
      </c>
      <c r="Q1765" s="33" t="s">
        <v>6887</v>
      </c>
    </row>
    <row r="1766" spans="1:17">
      <c r="A1766" s="33" t="s">
        <v>6904</v>
      </c>
      <c r="B1766" s="33" t="s">
        <v>6905</v>
      </c>
      <c r="C1766" s="33" t="s">
        <v>6891</v>
      </c>
      <c r="D1766" s="33" t="s">
        <v>4419</v>
      </c>
      <c r="E1766" s="33" t="s">
        <v>935</v>
      </c>
      <c r="F1766" s="33" t="s">
        <v>1815</v>
      </c>
      <c r="G1766" s="33" t="s">
        <v>6892</v>
      </c>
      <c r="H1766" s="33" t="s">
        <v>3365</v>
      </c>
      <c r="I1766" s="33" t="s">
        <v>3365</v>
      </c>
      <c r="J1766" s="33" t="s">
        <v>6906</v>
      </c>
      <c r="K1766" s="33" t="s">
        <v>6898</v>
      </c>
      <c r="L1766" s="33" t="s">
        <v>3135</v>
      </c>
      <c r="M1766" s="33" t="s">
        <v>3284</v>
      </c>
      <c r="N1766" s="33" t="s">
        <v>1064</v>
      </c>
      <c r="Q1766" s="33" t="s">
        <v>6887</v>
      </c>
    </row>
    <row r="1767" spans="1:17" hidden="1">
      <c r="A1767" s="33" t="s">
        <v>6907</v>
      </c>
      <c r="B1767" s="33" t="s">
        <v>6908</v>
      </c>
      <c r="C1767" s="33" t="s">
        <v>6891</v>
      </c>
      <c r="D1767" s="33" t="s">
        <v>57</v>
      </c>
      <c r="E1767" s="33" t="s">
        <v>6609</v>
      </c>
      <c r="F1767" s="33" t="s">
        <v>1856</v>
      </c>
      <c r="G1767" s="33" t="s">
        <v>6892</v>
      </c>
      <c r="H1767" s="33" t="s">
        <v>3365</v>
      </c>
      <c r="I1767" s="33" t="s">
        <v>3365</v>
      </c>
      <c r="J1767" s="33" t="s">
        <v>6909</v>
      </c>
      <c r="K1767" s="33" t="s">
        <v>6611</v>
      </c>
      <c r="L1767" s="33" t="s">
        <v>3228</v>
      </c>
      <c r="M1767" s="33" t="s">
        <v>61</v>
      </c>
      <c r="N1767" s="33" t="s">
        <v>1064</v>
      </c>
      <c r="Q1767" s="33" t="s">
        <v>6887</v>
      </c>
    </row>
    <row r="1768" spans="1:17" hidden="1">
      <c r="A1768" s="33" t="s">
        <v>3830</v>
      </c>
      <c r="B1768" s="33" t="s">
        <v>6910</v>
      </c>
      <c r="C1768" s="33" t="s">
        <v>1980</v>
      </c>
      <c r="D1768" s="33" t="s">
        <v>4068</v>
      </c>
      <c r="E1768" s="33" t="s">
        <v>1808</v>
      </c>
      <c r="F1768" s="33" t="s">
        <v>1787</v>
      </c>
      <c r="G1768" s="33" t="s">
        <v>5483</v>
      </c>
      <c r="H1768" s="33" t="s">
        <v>5484</v>
      </c>
      <c r="I1768" s="33" t="s">
        <v>5484</v>
      </c>
      <c r="J1768" s="33" t="s">
        <v>5485</v>
      </c>
      <c r="K1768" s="33" t="s">
        <v>1791</v>
      </c>
      <c r="L1768" s="33" t="s">
        <v>5484</v>
      </c>
      <c r="M1768" s="33" t="s">
        <v>69</v>
      </c>
      <c r="N1768" s="33" t="s">
        <v>69</v>
      </c>
      <c r="Q1768" s="33" t="s">
        <v>6887</v>
      </c>
    </row>
    <row r="1769" spans="1:17" hidden="1">
      <c r="A1769" s="33" t="s">
        <v>5486</v>
      </c>
      <c r="B1769" s="33" t="s">
        <v>6911</v>
      </c>
      <c r="C1769" s="33" t="s">
        <v>2514</v>
      </c>
      <c r="D1769" s="33" t="s">
        <v>4068</v>
      </c>
      <c r="E1769" s="33" t="s">
        <v>1808</v>
      </c>
      <c r="F1769" s="33" t="s">
        <v>1787</v>
      </c>
      <c r="G1769" s="33" t="s">
        <v>3680</v>
      </c>
      <c r="H1769" s="33" t="s">
        <v>3597</v>
      </c>
      <c r="I1769" s="33" t="s">
        <v>3597</v>
      </c>
      <c r="J1769" s="33" t="s">
        <v>5488</v>
      </c>
      <c r="K1769" s="33" t="s">
        <v>1791</v>
      </c>
      <c r="L1769" s="33" t="s">
        <v>3597</v>
      </c>
      <c r="M1769" s="33" t="s">
        <v>82</v>
      </c>
      <c r="N1769" s="33" t="s">
        <v>82</v>
      </c>
      <c r="Q1769" s="33" t="s">
        <v>6887</v>
      </c>
    </row>
    <row r="1770" spans="1:17" hidden="1">
      <c r="A1770" s="33" t="s">
        <v>5489</v>
      </c>
      <c r="B1770" s="33" t="s">
        <v>6912</v>
      </c>
      <c r="C1770" s="33" t="s">
        <v>1980</v>
      </c>
      <c r="D1770" s="33" t="s">
        <v>4068</v>
      </c>
      <c r="E1770" s="33" t="s">
        <v>1808</v>
      </c>
      <c r="F1770" s="33" t="s">
        <v>1787</v>
      </c>
      <c r="G1770" s="33" t="s">
        <v>3832</v>
      </c>
      <c r="H1770" s="33" t="s">
        <v>3597</v>
      </c>
      <c r="I1770" s="33" t="s">
        <v>3597</v>
      </c>
      <c r="J1770" s="33" t="s">
        <v>5491</v>
      </c>
      <c r="K1770" s="33" t="s">
        <v>1791</v>
      </c>
      <c r="L1770" s="33" t="s">
        <v>3597</v>
      </c>
      <c r="M1770" s="33" t="s">
        <v>1083</v>
      </c>
      <c r="N1770" s="33" t="s">
        <v>69</v>
      </c>
      <c r="Q1770" s="33" t="s">
        <v>6887</v>
      </c>
    </row>
    <row r="1771" spans="1:17" hidden="1">
      <c r="A1771" s="33" t="s">
        <v>6913</v>
      </c>
      <c r="B1771" s="33" t="s">
        <v>6914</v>
      </c>
      <c r="C1771" s="33" t="s">
        <v>3205</v>
      </c>
      <c r="D1771" s="33" t="s">
        <v>4419</v>
      </c>
      <c r="E1771" s="33" t="s">
        <v>1836</v>
      </c>
      <c r="F1771" s="33" t="s">
        <v>1787</v>
      </c>
      <c r="G1771" s="33" t="s">
        <v>96</v>
      </c>
      <c r="H1771" s="33" t="s">
        <v>5779</v>
      </c>
      <c r="I1771" s="33" t="s">
        <v>5779</v>
      </c>
      <c r="J1771" s="33" t="s">
        <v>6915</v>
      </c>
      <c r="K1771" s="33" t="s">
        <v>6898</v>
      </c>
      <c r="L1771" s="33" t="s">
        <v>1152</v>
      </c>
      <c r="M1771" s="33" t="s">
        <v>107</v>
      </c>
      <c r="N1771" s="33" t="s">
        <v>95</v>
      </c>
      <c r="Q1771" s="33" t="s">
        <v>6887</v>
      </c>
    </row>
    <row r="1772" spans="1:17" hidden="1">
      <c r="A1772" s="33" t="s">
        <v>5734</v>
      </c>
      <c r="B1772" s="33" t="s">
        <v>6916</v>
      </c>
      <c r="C1772" s="33" t="s">
        <v>1831</v>
      </c>
      <c r="D1772" s="33" t="s">
        <v>1872</v>
      </c>
      <c r="E1772" s="33" t="s">
        <v>2471</v>
      </c>
      <c r="F1772" s="33" t="s">
        <v>1815</v>
      </c>
      <c r="G1772" s="33" t="s">
        <v>1872</v>
      </c>
      <c r="H1772" s="33" t="s">
        <v>945</v>
      </c>
      <c r="I1772" s="33" t="s">
        <v>2647</v>
      </c>
      <c r="J1772" s="33" t="s">
        <v>5736</v>
      </c>
      <c r="K1772" s="33" t="s">
        <v>2471</v>
      </c>
      <c r="L1772" s="33" t="s">
        <v>1206</v>
      </c>
      <c r="M1772" s="33" t="s">
        <v>23</v>
      </c>
      <c r="N1772" s="33" t="s">
        <v>197</v>
      </c>
      <c r="Q1772" s="33" t="s">
        <v>6887</v>
      </c>
    </row>
    <row r="1773" spans="1:17" hidden="1">
      <c r="A1773" s="33" t="s">
        <v>5737</v>
      </c>
      <c r="B1773" s="33" t="s">
        <v>6917</v>
      </c>
      <c r="C1773" s="33" t="s">
        <v>1831</v>
      </c>
      <c r="D1773" s="33" t="s">
        <v>1872</v>
      </c>
      <c r="E1773" s="33" t="s">
        <v>2471</v>
      </c>
      <c r="F1773" s="33" t="s">
        <v>1815</v>
      </c>
      <c r="G1773" s="33" t="s">
        <v>1872</v>
      </c>
      <c r="H1773" s="33" t="s">
        <v>945</v>
      </c>
      <c r="I1773" s="33" t="s">
        <v>2647</v>
      </c>
      <c r="J1773" s="33" t="s">
        <v>5739</v>
      </c>
      <c r="K1773" s="33" t="s">
        <v>2471</v>
      </c>
      <c r="L1773" s="33" t="s">
        <v>1206</v>
      </c>
      <c r="M1773" s="33" t="s">
        <v>23</v>
      </c>
      <c r="N1773" s="33" t="s">
        <v>197</v>
      </c>
      <c r="Q1773" s="33" t="s">
        <v>6887</v>
      </c>
    </row>
    <row r="1774" spans="1:17">
      <c r="A1774" s="33" t="s">
        <v>6918</v>
      </c>
      <c r="B1774" s="33" t="s">
        <v>6919</v>
      </c>
      <c r="C1774" s="33" t="s">
        <v>6891</v>
      </c>
      <c r="D1774" s="33" t="s">
        <v>6892</v>
      </c>
      <c r="E1774" s="33" t="s">
        <v>6689</v>
      </c>
      <c r="F1774" s="33" t="s">
        <v>1856</v>
      </c>
      <c r="G1774" s="33" t="s">
        <v>6892</v>
      </c>
      <c r="H1774" s="33" t="s">
        <v>945</v>
      </c>
      <c r="I1774" s="33" t="s">
        <v>945</v>
      </c>
      <c r="J1774" s="33" t="s">
        <v>6920</v>
      </c>
      <c r="K1774" s="33" t="s">
        <v>3859</v>
      </c>
      <c r="L1774" s="33" t="s">
        <v>3696</v>
      </c>
      <c r="M1774" s="33" t="s">
        <v>1402</v>
      </c>
      <c r="N1774" s="33" t="s">
        <v>1064</v>
      </c>
      <c r="Q1774" s="33" t="s">
        <v>6887</v>
      </c>
    </row>
    <row r="1775" spans="1:17" hidden="1">
      <c r="A1775" s="33" t="s">
        <v>6921</v>
      </c>
      <c r="B1775" s="33" t="s">
        <v>6922</v>
      </c>
      <c r="C1775" s="33" t="s">
        <v>2026</v>
      </c>
      <c r="D1775" s="33" t="s">
        <v>14</v>
      </c>
      <c r="E1775" s="33" t="s">
        <v>6609</v>
      </c>
      <c r="F1775" s="33" t="s">
        <v>2069</v>
      </c>
      <c r="G1775" s="33" t="s">
        <v>90</v>
      </c>
      <c r="H1775" s="33" t="s">
        <v>2428</v>
      </c>
      <c r="I1775" s="33" t="s">
        <v>2428</v>
      </c>
      <c r="J1775" s="33" t="s">
        <v>6923</v>
      </c>
      <c r="K1775" s="33" t="s">
        <v>6611</v>
      </c>
      <c r="L1775" s="33" t="s">
        <v>3067</v>
      </c>
      <c r="M1775" s="33" t="s">
        <v>1838</v>
      </c>
      <c r="N1775" s="33" t="s">
        <v>1838</v>
      </c>
      <c r="Q1775" s="33" t="s">
        <v>6924</v>
      </c>
    </row>
    <row r="1776" spans="1:17" hidden="1">
      <c r="A1776" s="33" t="s">
        <v>6925</v>
      </c>
      <c r="B1776" s="33" t="s">
        <v>6926</v>
      </c>
      <c r="C1776" s="33" t="s">
        <v>2096</v>
      </c>
      <c r="D1776" s="33" t="s">
        <v>14</v>
      </c>
      <c r="E1776" s="33" t="s">
        <v>6609</v>
      </c>
      <c r="F1776" s="33" t="s">
        <v>1787</v>
      </c>
      <c r="G1776" s="33" t="s">
        <v>2097</v>
      </c>
      <c r="H1776" s="33" t="s">
        <v>2692</v>
      </c>
      <c r="I1776" s="33" t="s">
        <v>2692</v>
      </c>
      <c r="J1776" s="33" t="s">
        <v>6927</v>
      </c>
      <c r="K1776" s="33" t="s">
        <v>6611</v>
      </c>
      <c r="L1776" s="33" t="s">
        <v>3067</v>
      </c>
      <c r="M1776" s="33" t="s">
        <v>1863</v>
      </c>
      <c r="N1776" s="33" t="s">
        <v>1863</v>
      </c>
      <c r="Q1776" s="33" t="s">
        <v>6924</v>
      </c>
    </row>
    <row r="1777" spans="1:17" hidden="1">
      <c r="A1777" s="33" t="s">
        <v>6928</v>
      </c>
      <c r="B1777" s="33" t="s">
        <v>6929</v>
      </c>
      <c r="C1777" s="33" t="s">
        <v>2096</v>
      </c>
      <c r="D1777" s="33" t="s">
        <v>14</v>
      </c>
      <c r="E1777" s="33" t="s">
        <v>6609</v>
      </c>
      <c r="F1777" s="33" t="s">
        <v>1787</v>
      </c>
      <c r="G1777" s="33" t="s">
        <v>2097</v>
      </c>
      <c r="H1777" s="33" t="s">
        <v>3091</v>
      </c>
      <c r="I1777" s="33" t="s">
        <v>3091</v>
      </c>
      <c r="J1777" s="33" t="s">
        <v>6930</v>
      </c>
      <c r="K1777" s="33" t="s">
        <v>6611</v>
      </c>
      <c r="L1777" s="33" t="s">
        <v>3194</v>
      </c>
      <c r="M1777" s="33" t="s">
        <v>1863</v>
      </c>
      <c r="N1777" s="33" t="s">
        <v>1863</v>
      </c>
      <c r="Q1777" s="33" t="s">
        <v>6924</v>
      </c>
    </row>
    <row r="1778" spans="1:17" hidden="1">
      <c r="A1778" s="33" t="s">
        <v>6931</v>
      </c>
      <c r="B1778" s="33" t="s">
        <v>6932</v>
      </c>
      <c r="C1778" s="33" t="s">
        <v>1831</v>
      </c>
      <c r="D1778" s="33" t="s">
        <v>14</v>
      </c>
      <c r="E1778" s="33" t="s">
        <v>6609</v>
      </c>
      <c r="F1778" s="33" t="s">
        <v>1815</v>
      </c>
      <c r="G1778" s="33" t="s">
        <v>68</v>
      </c>
      <c r="H1778" s="33" t="s">
        <v>3194</v>
      </c>
      <c r="I1778" s="33" t="s">
        <v>3194</v>
      </c>
      <c r="J1778" s="33" t="s">
        <v>6933</v>
      </c>
      <c r="K1778" s="33" t="s">
        <v>6611</v>
      </c>
      <c r="L1778" s="33" t="s">
        <v>3194</v>
      </c>
      <c r="M1778" s="33" t="s">
        <v>1827</v>
      </c>
      <c r="N1778" s="33" t="s">
        <v>1827</v>
      </c>
      <c r="Q1778" s="33" t="s">
        <v>6924</v>
      </c>
    </row>
    <row r="1779" spans="1:17" hidden="1">
      <c r="A1779" s="33" t="s">
        <v>6934</v>
      </c>
      <c r="B1779" s="33" t="s">
        <v>6935</v>
      </c>
      <c r="C1779" s="33" t="s">
        <v>1785</v>
      </c>
      <c r="D1779" s="33" t="s">
        <v>4419</v>
      </c>
      <c r="E1779" s="33" t="s">
        <v>3857</v>
      </c>
      <c r="F1779" s="33" t="s">
        <v>1856</v>
      </c>
      <c r="G1779" s="33" t="s">
        <v>1788</v>
      </c>
      <c r="H1779" s="33" t="s">
        <v>1802</v>
      </c>
      <c r="I1779" s="33" t="s">
        <v>1802</v>
      </c>
      <c r="J1779" s="33" t="s">
        <v>6936</v>
      </c>
      <c r="K1779" s="33" t="s">
        <v>3859</v>
      </c>
      <c r="L1779" s="33" t="s">
        <v>1802</v>
      </c>
      <c r="M1779" s="33" t="s">
        <v>6937</v>
      </c>
      <c r="N1779" s="33" t="s">
        <v>1793</v>
      </c>
      <c r="Q1779" s="33" t="s">
        <v>6938</v>
      </c>
    </row>
    <row r="1780" spans="1:17" hidden="1">
      <c r="A1780" s="33" t="s">
        <v>6939</v>
      </c>
      <c r="B1780" s="33" t="s">
        <v>6940</v>
      </c>
      <c r="C1780" s="33" t="s">
        <v>1785</v>
      </c>
      <c r="D1780" s="33" t="s">
        <v>6941</v>
      </c>
      <c r="E1780" s="33" t="s">
        <v>6609</v>
      </c>
      <c r="F1780" s="33" t="s">
        <v>2330</v>
      </c>
      <c r="G1780" s="33" t="s">
        <v>1788</v>
      </c>
      <c r="H1780" s="33" t="s">
        <v>2541</v>
      </c>
      <c r="I1780" s="33" t="s">
        <v>2541</v>
      </c>
      <c r="J1780" s="33" t="s">
        <v>6942</v>
      </c>
      <c r="K1780" s="33" t="s">
        <v>6611</v>
      </c>
      <c r="L1780" s="33" t="s">
        <v>3067</v>
      </c>
      <c r="M1780" s="33" t="s">
        <v>6937</v>
      </c>
      <c r="N1780" s="33" t="s">
        <v>1793</v>
      </c>
      <c r="Q1780" s="33" t="s">
        <v>6938</v>
      </c>
    </row>
    <row r="1781" spans="1:17">
      <c r="A1781" s="33" t="s">
        <v>6943</v>
      </c>
      <c r="B1781" s="33" t="s">
        <v>6944</v>
      </c>
      <c r="C1781" s="33" t="s">
        <v>1980</v>
      </c>
      <c r="D1781" s="33" t="s">
        <v>4419</v>
      </c>
      <c r="E1781" s="33" t="s">
        <v>3976</v>
      </c>
      <c r="F1781" s="33" t="s">
        <v>1787</v>
      </c>
      <c r="G1781" s="33" t="s">
        <v>6945</v>
      </c>
      <c r="H1781" s="33" t="s">
        <v>2902</v>
      </c>
      <c r="I1781" s="33" t="s">
        <v>2902</v>
      </c>
      <c r="J1781" s="33" t="s">
        <v>6946</v>
      </c>
      <c r="K1781" s="33" t="s">
        <v>6898</v>
      </c>
      <c r="L1781" s="33" t="s">
        <v>2902</v>
      </c>
      <c r="M1781" s="33" t="s">
        <v>6947</v>
      </c>
      <c r="N1781" s="33" t="s">
        <v>6947</v>
      </c>
      <c r="Q1781" s="33" t="s">
        <v>6938</v>
      </c>
    </row>
    <row r="1782" spans="1:17" hidden="1">
      <c r="A1782" s="33" t="s">
        <v>6948</v>
      </c>
      <c r="B1782" s="33" t="s">
        <v>6949</v>
      </c>
      <c r="C1782" s="33" t="s">
        <v>1785</v>
      </c>
      <c r="D1782" s="33" t="s">
        <v>4419</v>
      </c>
      <c r="E1782" s="33" t="s">
        <v>3857</v>
      </c>
      <c r="F1782" s="33" t="s">
        <v>2069</v>
      </c>
      <c r="G1782" s="33" t="s">
        <v>1788</v>
      </c>
      <c r="H1782" s="33" t="s">
        <v>3628</v>
      </c>
      <c r="I1782" s="33" t="s">
        <v>3628</v>
      </c>
      <c r="J1782" s="33" t="s">
        <v>6950</v>
      </c>
      <c r="K1782" s="33" t="s">
        <v>3859</v>
      </c>
      <c r="L1782" s="33" t="s">
        <v>3628</v>
      </c>
      <c r="M1782" s="33" t="s">
        <v>6937</v>
      </c>
      <c r="N1782" s="33" t="s">
        <v>1083</v>
      </c>
      <c r="Q1782" s="33" t="s">
        <v>6938</v>
      </c>
    </row>
    <row r="1783" spans="1:17">
      <c r="A1783" s="33" t="s">
        <v>6951</v>
      </c>
      <c r="B1783" s="33" t="s">
        <v>6952</v>
      </c>
      <c r="C1783" s="33" t="s">
        <v>1785</v>
      </c>
      <c r="D1783" s="33" t="s">
        <v>1788</v>
      </c>
      <c r="E1783" s="33" t="s">
        <v>3976</v>
      </c>
      <c r="G1783" s="33" t="s">
        <v>1788</v>
      </c>
      <c r="H1783" s="33" t="s">
        <v>3628</v>
      </c>
      <c r="I1783" s="33" t="s">
        <v>3628</v>
      </c>
      <c r="J1783" s="33" t="s">
        <v>6950</v>
      </c>
      <c r="K1783" s="33" t="s">
        <v>1791</v>
      </c>
      <c r="L1783" s="33" t="s">
        <v>3628</v>
      </c>
      <c r="M1783" s="47" t="s">
        <v>6947</v>
      </c>
      <c r="N1783" s="33" t="s">
        <v>1083</v>
      </c>
      <c r="Q1783" s="47" t="s">
        <v>6938</v>
      </c>
    </row>
    <row r="1784" spans="1:17" hidden="1">
      <c r="A1784" s="33" t="s">
        <v>6953</v>
      </c>
      <c r="B1784" s="33" t="s">
        <v>6954</v>
      </c>
      <c r="C1784" s="33" t="s">
        <v>2147</v>
      </c>
      <c r="D1784" s="33" t="s">
        <v>6955</v>
      </c>
      <c r="E1784" s="33" t="s">
        <v>2471</v>
      </c>
      <c r="G1784" s="33" t="s">
        <v>6955</v>
      </c>
      <c r="H1784" s="33" t="s">
        <v>2027</v>
      </c>
      <c r="I1784" s="33" t="s">
        <v>2027</v>
      </c>
      <c r="J1784" s="33" t="s">
        <v>6956</v>
      </c>
      <c r="K1784" s="33" t="s">
        <v>2471</v>
      </c>
      <c r="L1784" s="33" t="s">
        <v>2027</v>
      </c>
      <c r="M1784" s="47" t="s">
        <v>6947</v>
      </c>
      <c r="N1784" s="47" t="s">
        <v>6947</v>
      </c>
      <c r="Q1784" s="47" t="s">
        <v>6938</v>
      </c>
    </row>
    <row r="1785" spans="1:17">
      <c r="A1785" s="33" t="s">
        <v>6957</v>
      </c>
      <c r="B1785" s="33" t="s">
        <v>6958</v>
      </c>
      <c r="C1785" s="33" t="s">
        <v>2443</v>
      </c>
      <c r="D1785" s="33" t="s">
        <v>6941</v>
      </c>
      <c r="E1785" s="33" t="s">
        <v>3976</v>
      </c>
      <c r="G1785" s="33" t="s">
        <v>2580</v>
      </c>
      <c r="H1785" s="33" t="s">
        <v>2569</v>
      </c>
      <c r="I1785" s="33" t="s">
        <v>2569</v>
      </c>
      <c r="J1785" s="33" t="s">
        <v>6959</v>
      </c>
      <c r="K1785" s="33" t="s">
        <v>1791</v>
      </c>
      <c r="L1785" s="33" t="s">
        <v>3365</v>
      </c>
      <c r="M1785" s="47" t="s">
        <v>6947</v>
      </c>
      <c r="N1785" s="33" t="s">
        <v>4119</v>
      </c>
      <c r="Q1785" s="47" t="s">
        <v>6938</v>
      </c>
    </row>
    <row r="1786" spans="1:17" hidden="1">
      <c r="A1786" s="33" t="s">
        <v>6960</v>
      </c>
      <c r="B1786" s="33" t="s">
        <v>6961</v>
      </c>
      <c r="C1786" s="33" t="s">
        <v>1831</v>
      </c>
      <c r="D1786" s="33" t="s">
        <v>85</v>
      </c>
      <c r="E1786" s="33" t="s">
        <v>6609</v>
      </c>
      <c r="F1786" s="33" t="s">
        <v>1787</v>
      </c>
      <c r="G1786" s="33" t="s">
        <v>68</v>
      </c>
      <c r="H1786" s="33" t="s">
        <v>1809</v>
      </c>
      <c r="I1786" s="33" t="s">
        <v>1809</v>
      </c>
      <c r="J1786" s="33" t="s">
        <v>6962</v>
      </c>
      <c r="K1786" s="33" t="s">
        <v>6611</v>
      </c>
      <c r="L1786" s="33" t="s">
        <v>5544</v>
      </c>
      <c r="M1786" s="33" t="s">
        <v>49</v>
      </c>
      <c r="N1786" s="33" t="s">
        <v>1827</v>
      </c>
      <c r="O1786" s="33" t="s">
        <v>6963</v>
      </c>
      <c r="Q1786" s="33" t="s">
        <v>6964</v>
      </c>
    </row>
    <row r="1787" spans="1:17" hidden="1">
      <c r="A1787" s="33" t="s">
        <v>6965</v>
      </c>
      <c r="B1787" s="33" t="s">
        <v>6966</v>
      </c>
      <c r="C1787" s="33" t="s">
        <v>1831</v>
      </c>
      <c r="D1787" s="33" t="s">
        <v>3608</v>
      </c>
      <c r="E1787" s="33" t="s">
        <v>2471</v>
      </c>
      <c r="F1787" s="33" t="s">
        <v>1787</v>
      </c>
      <c r="G1787" s="33" t="s">
        <v>3608</v>
      </c>
      <c r="H1787" s="33" t="s">
        <v>1809</v>
      </c>
      <c r="I1787" s="33" t="s">
        <v>1809</v>
      </c>
      <c r="J1787" s="33" t="s">
        <v>6967</v>
      </c>
      <c r="K1787" s="33" t="s">
        <v>2471</v>
      </c>
      <c r="L1787" s="33" t="s">
        <v>1809</v>
      </c>
      <c r="M1787" s="33" t="s">
        <v>1827</v>
      </c>
      <c r="N1787" s="33" t="s">
        <v>1827</v>
      </c>
      <c r="O1787" s="33" t="s">
        <v>6968</v>
      </c>
      <c r="Q1787" s="33" t="s">
        <v>6964</v>
      </c>
    </row>
    <row r="1788" spans="1:17" hidden="1">
      <c r="A1788" s="33" t="s">
        <v>6969</v>
      </c>
      <c r="B1788" s="33" t="s">
        <v>6970</v>
      </c>
      <c r="C1788" s="33" t="s">
        <v>1980</v>
      </c>
      <c r="D1788" s="33" t="s">
        <v>4419</v>
      </c>
      <c r="E1788" s="33" t="s">
        <v>1836</v>
      </c>
      <c r="F1788" s="33" t="s">
        <v>1787</v>
      </c>
      <c r="G1788" s="33" t="s">
        <v>3323</v>
      </c>
      <c r="H1788" s="33" t="s">
        <v>1792</v>
      </c>
      <c r="I1788" s="33" t="s">
        <v>1792</v>
      </c>
      <c r="J1788" s="33" t="s">
        <v>6971</v>
      </c>
      <c r="K1788" s="33" t="s">
        <v>6898</v>
      </c>
      <c r="L1788" s="33" t="s">
        <v>3273</v>
      </c>
      <c r="M1788" s="33" t="s">
        <v>1827</v>
      </c>
      <c r="N1788" s="33" t="s">
        <v>1827</v>
      </c>
      <c r="O1788" s="33" t="s">
        <v>3191</v>
      </c>
      <c r="Q1788" s="33" t="s">
        <v>6964</v>
      </c>
    </row>
    <row r="1789" spans="1:17">
      <c r="A1789" s="33" t="s">
        <v>6972</v>
      </c>
      <c r="B1789" s="33" t="s">
        <v>6973</v>
      </c>
      <c r="C1789" s="33" t="s">
        <v>1980</v>
      </c>
      <c r="D1789" s="33" t="s">
        <v>4419</v>
      </c>
      <c r="E1789" s="33" t="s">
        <v>3976</v>
      </c>
      <c r="F1789" s="33" t="s">
        <v>1787</v>
      </c>
      <c r="G1789" s="33" t="s">
        <v>2155</v>
      </c>
      <c r="H1789" s="33" t="s">
        <v>2149</v>
      </c>
      <c r="I1789" s="33" t="s">
        <v>2149</v>
      </c>
      <c r="J1789" s="33" t="s">
        <v>6974</v>
      </c>
      <c r="K1789" s="33" t="s">
        <v>6898</v>
      </c>
      <c r="L1789" s="33" t="s">
        <v>5544</v>
      </c>
      <c r="M1789" s="33" t="s">
        <v>4794</v>
      </c>
      <c r="N1789" s="33" t="s">
        <v>1849</v>
      </c>
      <c r="O1789" s="33" t="s">
        <v>3553</v>
      </c>
      <c r="Q1789" s="33" t="s">
        <v>6964</v>
      </c>
    </row>
    <row r="1790" spans="1:17" hidden="1">
      <c r="A1790" s="33" t="s">
        <v>6975</v>
      </c>
      <c r="B1790" s="33" t="s">
        <v>6976</v>
      </c>
      <c r="C1790" s="33" t="s">
        <v>1831</v>
      </c>
      <c r="D1790" s="33" t="s">
        <v>6819</v>
      </c>
      <c r="E1790" s="33" t="s">
        <v>6609</v>
      </c>
      <c r="F1790" s="33" t="s">
        <v>1787</v>
      </c>
      <c r="G1790" s="33" t="s">
        <v>68</v>
      </c>
      <c r="H1790" s="33" t="s">
        <v>2027</v>
      </c>
      <c r="I1790" s="33" t="s">
        <v>2027</v>
      </c>
      <c r="J1790" s="33" t="s">
        <v>6977</v>
      </c>
      <c r="K1790" s="33" t="s">
        <v>6611</v>
      </c>
      <c r="L1790" s="33" t="s">
        <v>1386</v>
      </c>
      <c r="M1790" s="33" t="s">
        <v>6978</v>
      </c>
      <c r="N1790" s="33" t="s">
        <v>1827</v>
      </c>
      <c r="O1790" s="33" t="s">
        <v>6979</v>
      </c>
      <c r="Q1790" s="33" t="s">
        <v>6964</v>
      </c>
    </row>
    <row r="1791" spans="1:17">
      <c r="A1791" s="33" t="s">
        <v>6980</v>
      </c>
      <c r="B1791" s="33" t="s">
        <v>6981</v>
      </c>
      <c r="C1791" s="33" t="s">
        <v>1831</v>
      </c>
      <c r="D1791" s="33" t="s">
        <v>4419</v>
      </c>
      <c r="E1791" s="33" t="s">
        <v>3976</v>
      </c>
      <c r="F1791" s="33" t="s">
        <v>1787</v>
      </c>
      <c r="G1791" s="33" t="s">
        <v>3608</v>
      </c>
      <c r="H1791" s="33" t="s">
        <v>6982</v>
      </c>
      <c r="I1791" s="33" t="s">
        <v>6982</v>
      </c>
      <c r="J1791" s="33" t="s">
        <v>6983</v>
      </c>
      <c r="K1791" s="33" t="s">
        <v>6898</v>
      </c>
      <c r="L1791" s="33" t="s">
        <v>5544</v>
      </c>
      <c r="M1791" s="33" t="s">
        <v>1827</v>
      </c>
      <c r="N1791" s="33" t="s">
        <v>1827</v>
      </c>
      <c r="O1791" s="33" t="s">
        <v>3606</v>
      </c>
      <c r="Q1791" s="33" t="s">
        <v>6964</v>
      </c>
    </row>
    <row r="1792" spans="1:17" hidden="1">
      <c r="A1792" s="33" t="s">
        <v>6984</v>
      </c>
      <c r="B1792" s="33" t="s">
        <v>6985</v>
      </c>
      <c r="C1792" s="33" t="s">
        <v>3508</v>
      </c>
      <c r="D1792" s="33" t="s">
        <v>85</v>
      </c>
      <c r="E1792" s="33" t="s">
        <v>6609</v>
      </c>
      <c r="F1792" s="33" t="s">
        <v>1787</v>
      </c>
      <c r="G1792" s="33" t="s">
        <v>4677</v>
      </c>
      <c r="H1792" s="33" t="s">
        <v>2000</v>
      </c>
      <c r="I1792" s="33" t="s">
        <v>2000</v>
      </c>
      <c r="J1792" s="33" t="s">
        <v>6986</v>
      </c>
      <c r="K1792" s="33" t="s">
        <v>6611</v>
      </c>
      <c r="L1792" s="33" t="s">
        <v>5544</v>
      </c>
      <c r="M1792" s="33" t="s">
        <v>196</v>
      </c>
      <c r="N1792" s="33" t="s">
        <v>80</v>
      </c>
      <c r="O1792" s="33" t="s">
        <v>6987</v>
      </c>
      <c r="Q1792" s="33" t="s">
        <v>6964</v>
      </c>
    </row>
    <row r="1793" spans="1:17" hidden="1">
      <c r="A1793" s="33" t="s">
        <v>4410</v>
      </c>
      <c r="B1793" s="33" t="s">
        <v>6988</v>
      </c>
      <c r="C1793" s="33" t="s">
        <v>2273</v>
      </c>
      <c r="D1793" s="33" t="s">
        <v>62</v>
      </c>
      <c r="E1793" s="33" t="s">
        <v>6609</v>
      </c>
      <c r="F1793" s="33" t="s">
        <v>1787</v>
      </c>
      <c r="G1793" s="33" t="s">
        <v>4412</v>
      </c>
      <c r="H1793" s="33" t="s">
        <v>2529</v>
      </c>
      <c r="I1793" s="33" t="s">
        <v>2521</v>
      </c>
      <c r="J1793" s="33" t="s">
        <v>4413</v>
      </c>
      <c r="K1793" s="33" t="s">
        <v>6611</v>
      </c>
      <c r="L1793" s="33" t="s">
        <v>5544</v>
      </c>
      <c r="M1793" s="33" t="s">
        <v>2041</v>
      </c>
      <c r="N1793" s="33" t="s">
        <v>4214</v>
      </c>
      <c r="O1793" s="33" t="s">
        <v>6989</v>
      </c>
      <c r="Q1793" s="33" t="s">
        <v>6964</v>
      </c>
    </row>
    <row r="1794" spans="1:17" hidden="1">
      <c r="A1794" s="33" t="s">
        <v>6990</v>
      </c>
      <c r="B1794" s="33" t="s">
        <v>6991</v>
      </c>
      <c r="C1794" s="33" t="s">
        <v>2026</v>
      </c>
      <c r="D1794" s="33" t="s">
        <v>3467</v>
      </c>
      <c r="E1794" s="33" t="s">
        <v>6609</v>
      </c>
      <c r="F1794" s="33" t="s">
        <v>1787</v>
      </c>
      <c r="G1794" s="33" t="s">
        <v>6992</v>
      </c>
      <c r="H1794" s="33" t="s">
        <v>4496</v>
      </c>
      <c r="I1794" s="33" t="s">
        <v>4496</v>
      </c>
      <c r="J1794" s="33" t="s">
        <v>6993</v>
      </c>
      <c r="K1794" s="33" t="s">
        <v>6611</v>
      </c>
      <c r="L1794" s="33" t="s">
        <v>1386</v>
      </c>
      <c r="M1794" s="33" t="s">
        <v>2041</v>
      </c>
      <c r="N1794" s="33" t="s">
        <v>1838</v>
      </c>
      <c r="O1794" s="33" t="s">
        <v>6994</v>
      </c>
      <c r="Q1794" s="33" t="s">
        <v>6964</v>
      </c>
    </row>
    <row r="1795" spans="1:17" hidden="1">
      <c r="A1795" s="33" t="s">
        <v>6995</v>
      </c>
      <c r="B1795" s="33" t="s">
        <v>6996</v>
      </c>
      <c r="C1795" s="33" t="s">
        <v>2020</v>
      </c>
      <c r="D1795" s="33" t="s">
        <v>4419</v>
      </c>
      <c r="E1795" s="33" t="s">
        <v>1836</v>
      </c>
      <c r="F1795" s="33" t="s">
        <v>1787</v>
      </c>
      <c r="G1795" s="33" t="s">
        <v>3085</v>
      </c>
      <c r="H1795" s="33" t="s">
        <v>4496</v>
      </c>
      <c r="I1795" s="33" t="s">
        <v>4496</v>
      </c>
      <c r="J1795" s="33" t="s">
        <v>6997</v>
      </c>
      <c r="K1795" s="33" t="s">
        <v>6898</v>
      </c>
      <c r="L1795" s="33" t="s">
        <v>3067</v>
      </c>
      <c r="M1795" s="33" t="s">
        <v>2050</v>
      </c>
      <c r="N1795" s="33" t="s">
        <v>196</v>
      </c>
      <c r="O1795" s="33" t="s">
        <v>6998</v>
      </c>
      <c r="Q1795" s="33" t="s">
        <v>6964</v>
      </c>
    </row>
    <row r="1796" spans="1:17" hidden="1">
      <c r="A1796" s="33" t="s">
        <v>6999</v>
      </c>
      <c r="B1796" s="33" t="s">
        <v>7000</v>
      </c>
      <c r="C1796" s="33" t="s">
        <v>2020</v>
      </c>
      <c r="D1796" s="33" t="s">
        <v>4068</v>
      </c>
      <c r="E1796" s="33" t="s">
        <v>1808</v>
      </c>
      <c r="F1796" s="33" t="s">
        <v>1787</v>
      </c>
      <c r="G1796" s="33" t="s">
        <v>3085</v>
      </c>
      <c r="H1796" s="33" t="s">
        <v>2428</v>
      </c>
      <c r="I1796" s="33" t="s">
        <v>2428</v>
      </c>
      <c r="J1796" s="33" t="s">
        <v>7001</v>
      </c>
      <c r="K1796" s="33" t="s">
        <v>1791</v>
      </c>
      <c r="L1796" s="33" t="s">
        <v>2428</v>
      </c>
      <c r="M1796" s="33" t="s">
        <v>1849</v>
      </c>
      <c r="N1796" s="33" t="s">
        <v>196</v>
      </c>
      <c r="O1796" s="33" t="s">
        <v>1938</v>
      </c>
      <c r="Q1796" s="33" t="s">
        <v>6964</v>
      </c>
    </row>
    <row r="1797" spans="1:17" hidden="1">
      <c r="A1797" s="33" t="s">
        <v>7002</v>
      </c>
      <c r="B1797" s="33" t="s">
        <v>7003</v>
      </c>
      <c r="C1797" s="33" t="s">
        <v>3205</v>
      </c>
      <c r="D1797" s="33" t="s">
        <v>2274</v>
      </c>
      <c r="E1797" s="33" t="s">
        <v>6609</v>
      </c>
      <c r="F1797" s="33" t="s">
        <v>1864</v>
      </c>
      <c r="G1797" s="33" t="s">
        <v>4056</v>
      </c>
      <c r="H1797" s="33" t="s">
        <v>2473</v>
      </c>
      <c r="I1797" s="33" t="s">
        <v>2473</v>
      </c>
      <c r="J1797" s="33" t="s">
        <v>7004</v>
      </c>
      <c r="K1797" s="33" t="s">
        <v>6611</v>
      </c>
      <c r="L1797" s="33" t="s">
        <v>1206</v>
      </c>
      <c r="M1797" s="33" t="s">
        <v>1811</v>
      </c>
      <c r="N1797" s="33" t="s">
        <v>95</v>
      </c>
      <c r="O1797" s="33" t="s">
        <v>7005</v>
      </c>
      <c r="Q1797" s="33" t="s">
        <v>6964</v>
      </c>
    </row>
    <row r="1798" spans="1:17" hidden="1">
      <c r="A1798" s="33" t="s">
        <v>4742</v>
      </c>
      <c r="B1798" s="33" t="s">
        <v>7006</v>
      </c>
      <c r="C1798" s="33" t="s">
        <v>2147</v>
      </c>
      <c r="D1798" s="33" t="s">
        <v>4068</v>
      </c>
      <c r="E1798" s="33" t="s">
        <v>1808</v>
      </c>
      <c r="F1798" s="33" t="s">
        <v>1787</v>
      </c>
      <c r="G1798" s="33" t="s">
        <v>4744</v>
      </c>
      <c r="H1798" s="33" t="s">
        <v>3006</v>
      </c>
      <c r="I1798" s="33" t="s">
        <v>3006</v>
      </c>
      <c r="J1798" s="33" t="s">
        <v>4745</v>
      </c>
      <c r="K1798" s="33" t="s">
        <v>1791</v>
      </c>
      <c r="L1798" s="33" t="s">
        <v>3006</v>
      </c>
      <c r="M1798" s="33" t="s">
        <v>1995</v>
      </c>
      <c r="N1798" s="33" t="s">
        <v>1811</v>
      </c>
      <c r="O1798" s="33" t="s">
        <v>7007</v>
      </c>
      <c r="Q1798" s="33" t="s">
        <v>6964</v>
      </c>
    </row>
    <row r="1799" spans="1:17">
      <c r="A1799" s="33" t="s">
        <v>7008</v>
      </c>
      <c r="B1799" s="33" t="s">
        <v>7009</v>
      </c>
      <c r="C1799" s="33" t="s">
        <v>1785</v>
      </c>
      <c r="D1799" s="33" t="s">
        <v>4419</v>
      </c>
      <c r="E1799" s="33" t="s">
        <v>3976</v>
      </c>
      <c r="F1799" s="33" t="s">
        <v>1787</v>
      </c>
      <c r="G1799" s="33" t="s">
        <v>3836</v>
      </c>
      <c r="H1799" s="33" t="s">
        <v>3067</v>
      </c>
      <c r="I1799" s="33" t="s">
        <v>2473</v>
      </c>
      <c r="J1799" s="33" t="s">
        <v>7010</v>
      </c>
      <c r="K1799" s="33" t="s">
        <v>6898</v>
      </c>
      <c r="L1799" s="33" t="s">
        <v>5544</v>
      </c>
      <c r="M1799" s="33" t="s">
        <v>1793</v>
      </c>
      <c r="N1799" s="33" t="s">
        <v>1793</v>
      </c>
      <c r="O1799" s="33" t="s">
        <v>7011</v>
      </c>
      <c r="Q1799" s="33" t="s">
        <v>6964</v>
      </c>
    </row>
    <row r="1800" spans="1:17">
      <c r="A1800" s="33" t="s">
        <v>7012</v>
      </c>
      <c r="B1800" s="33" t="s">
        <v>7013</v>
      </c>
      <c r="C1800" s="33" t="s">
        <v>1785</v>
      </c>
      <c r="D1800" s="33" t="s">
        <v>4419</v>
      </c>
      <c r="E1800" s="33" t="s">
        <v>3976</v>
      </c>
      <c r="F1800" s="33" t="s">
        <v>1787</v>
      </c>
      <c r="G1800" s="33" t="s">
        <v>7014</v>
      </c>
      <c r="H1800" s="33" t="s">
        <v>3067</v>
      </c>
      <c r="I1800" s="33" t="s">
        <v>2981</v>
      </c>
      <c r="J1800" s="33" t="s">
        <v>7015</v>
      </c>
      <c r="K1800" s="33" t="s">
        <v>6898</v>
      </c>
      <c r="L1800" s="33" t="s">
        <v>5544</v>
      </c>
      <c r="M1800" s="33" t="s">
        <v>1793</v>
      </c>
      <c r="N1800" s="33" t="s">
        <v>1793</v>
      </c>
      <c r="O1800" s="33" t="s">
        <v>3533</v>
      </c>
      <c r="Q1800" s="33" t="s">
        <v>6964</v>
      </c>
    </row>
    <row r="1801" spans="1:17">
      <c r="A1801" s="33" t="s">
        <v>7016</v>
      </c>
      <c r="B1801" s="33" t="s">
        <v>7017</v>
      </c>
      <c r="C1801" s="33" t="s">
        <v>1785</v>
      </c>
      <c r="D1801" s="33" t="s">
        <v>64</v>
      </c>
      <c r="E1801" s="33" t="s">
        <v>7018</v>
      </c>
      <c r="F1801" s="33" t="s">
        <v>1787</v>
      </c>
      <c r="G1801" s="33" t="s">
        <v>3836</v>
      </c>
      <c r="H1801" s="33" t="s">
        <v>3067</v>
      </c>
      <c r="I1801" s="33" t="s">
        <v>2964</v>
      </c>
      <c r="J1801" s="33" t="s">
        <v>7019</v>
      </c>
      <c r="K1801" s="33" t="s">
        <v>6737</v>
      </c>
      <c r="L1801" s="33" t="s">
        <v>1206</v>
      </c>
      <c r="M1801" s="33" t="s">
        <v>82</v>
      </c>
      <c r="N1801" s="33" t="s">
        <v>1793</v>
      </c>
      <c r="O1801" s="33" t="s">
        <v>3533</v>
      </c>
      <c r="Q1801" s="33" t="s">
        <v>6964</v>
      </c>
    </row>
    <row r="1802" spans="1:17">
      <c r="A1802" s="33" t="s">
        <v>7020</v>
      </c>
      <c r="B1802" s="33" t="s">
        <v>7021</v>
      </c>
      <c r="C1802" s="33" t="s">
        <v>2020</v>
      </c>
      <c r="D1802" s="33" t="s">
        <v>64</v>
      </c>
      <c r="E1802" s="33" t="s">
        <v>7018</v>
      </c>
      <c r="F1802" s="33" t="s">
        <v>1815</v>
      </c>
      <c r="G1802" s="33" t="s">
        <v>7022</v>
      </c>
      <c r="H1802" s="33" t="s">
        <v>4816</v>
      </c>
      <c r="I1802" s="33" t="s">
        <v>4816</v>
      </c>
      <c r="J1802" s="33" t="s">
        <v>7023</v>
      </c>
      <c r="K1802" s="33" t="s">
        <v>6737</v>
      </c>
      <c r="L1802" s="33" t="s">
        <v>1206</v>
      </c>
      <c r="M1802" s="33" t="s">
        <v>196</v>
      </c>
      <c r="N1802" s="33" t="s">
        <v>196</v>
      </c>
      <c r="O1802" s="33" t="s">
        <v>7024</v>
      </c>
      <c r="Q1802" s="33" t="s">
        <v>6964</v>
      </c>
    </row>
    <row r="1803" spans="1:17" hidden="1">
      <c r="A1803" s="33" t="s">
        <v>7025</v>
      </c>
      <c r="B1803" s="33" t="s">
        <v>7026</v>
      </c>
      <c r="C1803" s="33" t="s">
        <v>1831</v>
      </c>
      <c r="D1803" s="33" t="s">
        <v>3467</v>
      </c>
      <c r="E1803" s="33" t="s">
        <v>6609</v>
      </c>
      <c r="F1803" s="33" t="s">
        <v>1787</v>
      </c>
      <c r="G1803" s="33" t="s">
        <v>7027</v>
      </c>
      <c r="H1803" s="33" t="s">
        <v>2838</v>
      </c>
      <c r="I1803" s="33" t="s">
        <v>2838</v>
      </c>
      <c r="J1803" s="33" t="s">
        <v>7028</v>
      </c>
      <c r="K1803" s="33" t="s">
        <v>6611</v>
      </c>
      <c r="L1803" s="33" t="s">
        <v>1386</v>
      </c>
      <c r="M1803" s="33" t="s">
        <v>4794</v>
      </c>
      <c r="N1803" s="33" t="s">
        <v>1827</v>
      </c>
      <c r="O1803" s="33" t="s">
        <v>7029</v>
      </c>
      <c r="Q1803" s="33" t="s">
        <v>6964</v>
      </c>
    </row>
    <row r="1804" spans="1:17" hidden="1">
      <c r="A1804" s="33" t="s">
        <v>7030</v>
      </c>
      <c r="B1804" s="33" t="s">
        <v>7031</v>
      </c>
      <c r="C1804" s="33" t="s">
        <v>3549</v>
      </c>
      <c r="D1804" s="33" t="s">
        <v>74</v>
      </c>
      <c r="E1804" s="33" t="s">
        <v>6609</v>
      </c>
      <c r="F1804" s="33" t="s">
        <v>1787</v>
      </c>
      <c r="G1804" s="33" t="s">
        <v>3550</v>
      </c>
      <c r="H1804" s="33" t="s">
        <v>2685</v>
      </c>
      <c r="I1804" s="33" t="s">
        <v>2685</v>
      </c>
      <c r="J1804" s="33" t="s">
        <v>7032</v>
      </c>
      <c r="K1804" s="33" t="s">
        <v>6611</v>
      </c>
      <c r="L1804" s="33" t="s">
        <v>3633</v>
      </c>
      <c r="M1804" s="33" t="s">
        <v>73</v>
      </c>
      <c r="N1804" s="33" t="s">
        <v>1822</v>
      </c>
      <c r="O1804" s="33" t="s">
        <v>7033</v>
      </c>
      <c r="Q1804" s="33" t="s">
        <v>6964</v>
      </c>
    </row>
    <row r="1805" spans="1:17" hidden="1">
      <c r="A1805" s="33" t="s">
        <v>6900</v>
      </c>
      <c r="B1805" s="33" t="s">
        <v>7034</v>
      </c>
      <c r="C1805" s="33" t="s">
        <v>1980</v>
      </c>
      <c r="D1805" s="33" t="s">
        <v>67</v>
      </c>
      <c r="E1805" s="33" t="s">
        <v>6600</v>
      </c>
      <c r="F1805" s="33" t="s">
        <v>1787</v>
      </c>
      <c r="G1805" s="33" t="s">
        <v>6902</v>
      </c>
      <c r="H1805" s="33" t="s">
        <v>3242</v>
      </c>
      <c r="I1805" s="33" t="s">
        <v>3211</v>
      </c>
      <c r="J1805" s="33" t="s">
        <v>6903</v>
      </c>
      <c r="K1805" s="33" t="s">
        <v>6602</v>
      </c>
      <c r="L1805" s="33" t="s">
        <v>2647</v>
      </c>
      <c r="M1805" s="33" t="s">
        <v>1827</v>
      </c>
      <c r="N1805" s="33" t="s">
        <v>1827</v>
      </c>
      <c r="O1805" s="33" t="s">
        <v>7035</v>
      </c>
      <c r="Q1805" s="33" t="s">
        <v>6964</v>
      </c>
    </row>
    <row r="1806" spans="1:17" hidden="1">
      <c r="A1806" s="33" t="s">
        <v>7036</v>
      </c>
      <c r="B1806" s="33" t="s">
        <v>7037</v>
      </c>
      <c r="C1806" s="33" t="s">
        <v>2147</v>
      </c>
      <c r="D1806" s="33" t="s">
        <v>57</v>
      </c>
      <c r="E1806" s="33" t="s">
        <v>6609</v>
      </c>
      <c r="F1806" s="33" t="s">
        <v>1787</v>
      </c>
      <c r="G1806" s="33" t="s">
        <v>4744</v>
      </c>
      <c r="H1806" s="33" t="s">
        <v>4612</v>
      </c>
      <c r="I1806" s="33" t="s">
        <v>4612</v>
      </c>
      <c r="J1806" s="33" t="s">
        <v>7038</v>
      </c>
      <c r="K1806" s="33" t="s">
        <v>6611</v>
      </c>
      <c r="L1806" s="33" t="s">
        <v>3633</v>
      </c>
      <c r="M1806" s="33" t="s">
        <v>1355</v>
      </c>
      <c r="N1806" s="33" t="s">
        <v>3284</v>
      </c>
      <c r="O1806" s="33" t="s">
        <v>2008</v>
      </c>
      <c r="Q1806" s="33" t="s">
        <v>6964</v>
      </c>
    </row>
    <row r="1807" spans="1:17">
      <c r="A1807" s="33" t="s">
        <v>7039</v>
      </c>
      <c r="B1807" s="33" t="s">
        <v>7040</v>
      </c>
      <c r="C1807" s="33" t="s">
        <v>1785</v>
      </c>
      <c r="D1807" s="33" t="s">
        <v>4419</v>
      </c>
      <c r="E1807" s="33" t="s">
        <v>3976</v>
      </c>
      <c r="F1807" s="33" t="s">
        <v>1787</v>
      </c>
      <c r="G1807" s="33" t="s">
        <v>3836</v>
      </c>
      <c r="H1807" s="33" t="s">
        <v>3308</v>
      </c>
      <c r="I1807" s="33" t="s">
        <v>2695</v>
      </c>
      <c r="J1807" s="33" t="s">
        <v>7041</v>
      </c>
      <c r="K1807" s="33" t="s">
        <v>6898</v>
      </c>
      <c r="L1807" s="33" t="s">
        <v>3820</v>
      </c>
      <c r="M1807" s="33" t="s">
        <v>970</v>
      </c>
      <c r="N1807" s="33" t="s">
        <v>970</v>
      </c>
      <c r="O1807" s="33" t="s">
        <v>7042</v>
      </c>
      <c r="Q1807" s="33" t="s">
        <v>6964</v>
      </c>
    </row>
    <row r="1808" spans="1:17" hidden="1">
      <c r="A1808" s="33" t="s">
        <v>5282</v>
      </c>
      <c r="B1808" s="33" t="s">
        <v>7043</v>
      </c>
      <c r="C1808" s="33" t="s">
        <v>2020</v>
      </c>
      <c r="D1808" s="33" t="s">
        <v>4068</v>
      </c>
      <c r="E1808" s="33" t="s">
        <v>1808</v>
      </c>
      <c r="F1808" s="33" t="s">
        <v>1787</v>
      </c>
      <c r="G1808" s="33" t="s">
        <v>3085</v>
      </c>
      <c r="H1808" s="33" t="s">
        <v>5184</v>
      </c>
      <c r="I1808" s="33" t="s">
        <v>5184</v>
      </c>
      <c r="J1808" s="33" t="s">
        <v>5284</v>
      </c>
      <c r="K1808" s="33" t="s">
        <v>1791</v>
      </c>
      <c r="L1808" s="33" t="s">
        <v>5184</v>
      </c>
      <c r="M1808" s="33" t="s">
        <v>1083</v>
      </c>
      <c r="N1808" s="33" t="s">
        <v>196</v>
      </c>
      <c r="O1808" s="33" t="s">
        <v>2771</v>
      </c>
      <c r="Q1808" s="33" t="s">
        <v>6964</v>
      </c>
    </row>
    <row r="1809" spans="1:17" hidden="1">
      <c r="A1809" s="33" t="s">
        <v>7044</v>
      </c>
      <c r="B1809" s="33" t="s">
        <v>7045</v>
      </c>
      <c r="C1809" s="33" t="s">
        <v>2147</v>
      </c>
      <c r="D1809" s="33" t="s">
        <v>67</v>
      </c>
      <c r="E1809" s="33" t="s">
        <v>6600</v>
      </c>
      <c r="F1809" s="33" t="s">
        <v>1787</v>
      </c>
      <c r="G1809" s="33" t="s">
        <v>2333</v>
      </c>
      <c r="H1809" s="33" t="s">
        <v>3500</v>
      </c>
      <c r="I1809" s="33" t="s">
        <v>3500</v>
      </c>
      <c r="J1809" s="33" t="s">
        <v>7046</v>
      </c>
      <c r="K1809" s="33" t="s">
        <v>6602</v>
      </c>
      <c r="L1809" s="33" t="s">
        <v>2647</v>
      </c>
      <c r="M1809" s="33" t="s">
        <v>197</v>
      </c>
      <c r="N1809" s="33" t="s">
        <v>69</v>
      </c>
      <c r="O1809" s="33" t="s">
        <v>7047</v>
      </c>
      <c r="Q1809" s="33" t="s">
        <v>6964</v>
      </c>
    </row>
    <row r="1810" spans="1:17" hidden="1">
      <c r="A1810" s="33" t="s">
        <v>7048</v>
      </c>
      <c r="B1810" s="33" t="s">
        <v>7049</v>
      </c>
      <c r="C1810" s="33" t="s">
        <v>4748</v>
      </c>
      <c r="D1810" s="33" t="s">
        <v>81</v>
      </c>
      <c r="E1810" s="33" t="s">
        <v>6609</v>
      </c>
      <c r="F1810" s="33" t="s">
        <v>1787</v>
      </c>
      <c r="G1810" s="33" t="s">
        <v>3467</v>
      </c>
      <c r="H1810" s="33" t="s">
        <v>3135</v>
      </c>
      <c r="I1810" s="33" t="s">
        <v>3135</v>
      </c>
      <c r="J1810" s="33" t="s">
        <v>7050</v>
      </c>
      <c r="K1810" s="33" t="s">
        <v>6611</v>
      </c>
      <c r="L1810" s="33" t="s">
        <v>3633</v>
      </c>
      <c r="M1810" s="33" t="s">
        <v>82</v>
      </c>
      <c r="N1810" s="33" t="s">
        <v>193</v>
      </c>
      <c r="O1810" s="33" t="s">
        <v>7051</v>
      </c>
      <c r="Q1810" s="33" t="s">
        <v>6964</v>
      </c>
    </row>
    <row r="1811" spans="1:17" hidden="1">
      <c r="A1811" s="33" t="s">
        <v>3606</v>
      </c>
      <c r="B1811" s="33" t="s">
        <v>7052</v>
      </c>
      <c r="C1811" s="33" t="s">
        <v>1831</v>
      </c>
      <c r="D1811" s="33" t="s">
        <v>4068</v>
      </c>
      <c r="E1811" s="33" t="s">
        <v>1808</v>
      </c>
      <c r="F1811" s="33" t="s">
        <v>1787</v>
      </c>
      <c r="G1811" s="33" t="s">
        <v>3608</v>
      </c>
      <c r="H1811" s="33" t="s">
        <v>3551</v>
      </c>
      <c r="I1811" s="33" t="s">
        <v>3551</v>
      </c>
      <c r="J1811" s="33" t="s">
        <v>5481</v>
      </c>
      <c r="K1811" s="33" t="s">
        <v>1791</v>
      </c>
      <c r="L1811" s="33" t="s">
        <v>3551</v>
      </c>
      <c r="M1811" s="33" t="s">
        <v>69</v>
      </c>
      <c r="N1811" s="33" t="s">
        <v>69</v>
      </c>
      <c r="O1811" s="33" t="s">
        <v>3606</v>
      </c>
      <c r="Q1811" s="33" t="s">
        <v>6964</v>
      </c>
    </row>
    <row r="1812" spans="1:17" hidden="1">
      <c r="A1812" s="33" t="s">
        <v>3606</v>
      </c>
      <c r="B1812" s="33" t="s">
        <v>7053</v>
      </c>
      <c r="C1812" s="33" t="s">
        <v>1831</v>
      </c>
      <c r="D1812" s="33" t="s">
        <v>4068</v>
      </c>
      <c r="E1812" s="33" t="s">
        <v>1808</v>
      </c>
      <c r="F1812" s="33" t="s">
        <v>1787</v>
      </c>
      <c r="G1812" s="33" t="s">
        <v>3608</v>
      </c>
      <c r="H1812" s="33" t="s">
        <v>3551</v>
      </c>
      <c r="I1812" s="33" t="s">
        <v>3551</v>
      </c>
      <c r="J1812" s="33" t="s">
        <v>3609</v>
      </c>
      <c r="K1812" s="33" t="s">
        <v>1791</v>
      </c>
      <c r="L1812" s="33" t="s">
        <v>3551</v>
      </c>
      <c r="M1812" s="33" t="s">
        <v>3284</v>
      </c>
      <c r="N1812" s="33" t="s">
        <v>3284</v>
      </c>
      <c r="O1812" s="33" t="s">
        <v>3606</v>
      </c>
      <c r="Q1812" s="33" t="s">
        <v>6964</v>
      </c>
    </row>
    <row r="1813" spans="1:17" hidden="1">
      <c r="A1813" s="33" t="s">
        <v>5065</v>
      </c>
      <c r="B1813" s="33" t="s">
        <v>7054</v>
      </c>
      <c r="C1813" s="33" t="s">
        <v>2147</v>
      </c>
      <c r="D1813" s="33" t="s">
        <v>85</v>
      </c>
      <c r="E1813" s="33" t="s">
        <v>3857</v>
      </c>
      <c r="F1813" s="33" t="s">
        <v>1787</v>
      </c>
      <c r="G1813" s="33" t="s">
        <v>83</v>
      </c>
      <c r="H1813" s="33" t="s">
        <v>3562</v>
      </c>
      <c r="I1813" s="33" t="s">
        <v>4612</v>
      </c>
      <c r="J1813" s="33" t="s">
        <v>5067</v>
      </c>
      <c r="K1813" s="33" t="s">
        <v>3859</v>
      </c>
      <c r="L1813" s="33" t="s">
        <v>3633</v>
      </c>
      <c r="M1813" s="33" t="s">
        <v>196</v>
      </c>
      <c r="N1813" s="33" t="s">
        <v>84</v>
      </c>
      <c r="O1813" s="33" t="s">
        <v>2771</v>
      </c>
      <c r="Q1813" s="33" t="s">
        <v>6964</v>
      </c>
    </row>
    <row r="1814" spans="1:17" hidden="1">
      <c r="A1814" s="33" t="s">
        <v>7055</v>
      </c>
      <c r="B1814" s="33" t="s">
        <v>7056</v>
      </c>
      <c r="C1814" s="33" t="s">
        <v>3549</v>
      </c>
      <c r="D1814" s="33" t="s">
        <v>18</v>
      </c>
      <c r="E1814" s="33" t="s">
        <v>6609</v>
      </c>
      <c r="F1814" s="33" t="s">
        <v>1787</v>
      </c>
      <c r="G1814" s="33" t="s">
        <v>3550</v>
      </c>
      <c r="H1814" s="33" t="s">
        <v>3597</v>
      </c>
      <c r="I1814" s="33" t="s">
        <v>3597</v>
      </c>
      <c r="J1814" s="33" t="s">
        <v>7057</v>
      </c>
      <c r="K1814" s="33" t="s">
        <v>6611</v>
      </c>
      <c r="L1814" s="33" t="s">
        <v>3597</v>
      </c>
      <c r="M1814" s="33" t="s">
        <v>107</v>
      </c>
      <c r="N1814" s="33" t="s">
        <v>107</v>
      </c>
      <c r="O1814" s="33" t="s">
        <v>7058</v>
      </c>
      <c r="Q1814" s="33" t="s">
        <v>6964</v>
      </c>
    </row>
    <row r="1815" spans="1:17" hidden="1">
      <c r="A1815" s="33" t="s">
        <v>7059</v>
      </c>
      <c r="B1815" s="33" t="s">
        <v>7060</v>
      </c>
      <c r="C1815" s="33" t="s">
        <v>2205</v>
      </c>
      <c r="D1815" s="33" t="s">
        <v>18</v>
      </c>
      <c r="E1815" s="33" t="s">
        <v>3857</v>
      </c>
      <c r="F1815" s="33" t="s">
        <v>1787</v>
      </c>
      <c r="G1815" s="33" t="s">
        <v>74</v>
      </c>
      <c r="H1815" s="33" t="s">
        <v>3847</v>
      </c>
      <c r="I1815" s="33" t="s">
        <v>3847</v>
      </c>
      <c r="J1815" s="33" t="s">
        <v>7061</v>
      </c>
      <c r="K1815" s="33" t="s">
        <v>3859</v>
      </c>
      <c r="L1815" s="33" t="s">
        <v>3847</v>
      </c>
      <c r="M1815" s="33" t="s">
        <v>3284</v>
      </c>
      <c r="N1815" s="33" t="s">
        <v>193</v>
      </c>
      <c r="O1815" s="33" t="s">
        <v>7062</v>
      </c>
      <c r="Q1815" s="33" t="s">
        <v>6964</v>
      </c>
    </row>
    <row r="1816" spans="1:17" hidden="1">
      <c r="A1816" s="33" t="s">
        <v>7063</v>
      </c>
      <c r="B1816" s="33" t="s">
        <v>7064</v>
      </c>
      <c r="C1816" s="33" t="s">
        <v>1831</v>
      </c>
      <c r="D1816" s="33" t="s">
        <v>18</v>
      </c>
      <c r="E1816" s="33" t="s">
        <v>3857</v>
      </c>
      <c r="F1816" s="33" t="s">
        <v>1787</v>
      </c>
      <c r="G1816" s="33" t="s">
        <v>7065</v>
      </c>
      <c r="H1816" s="33" t="s">
        <v>3847</v>
      </c>
      <c r="I1816" s="33" t="s">
        <v>3847</v>
      </c>
      <c r="J1816" s="33" t="s">
        <v>7066</v>
      </c>
      <c r="K1816" s="33" t="s">
        <v>3859</v>
      </c>
      <c r="L1816" s="33" t="s">
        <v>3847</v>
      </c>
      <c r="M1816" s="33" t="s">
        <v>1142</v>
      </c>
      <c r="N1816" s="33" t="s">
        <v>197</v>
      </c>
      <c r="O1816" s="33" t="s">
        <v>7067</v>
      </c>
      <c r="Q1816" s="33" t="s">
        <v>6964</v>
      </c>
    </row>
    <row r="1817" spans="1:17" hidden="1">
      <c r="A1817" s="33" t="s">
        <v>7068</v>
      </c>
      <c r="B1817" s="33" t="s">
        <v>7069</v>
      </c>
      <c r="C1817" s="33" t="s">
        <v>3549</v>
      </c>
      <c r="D1817" s="33" t="s">
        <v>18</v>
      </c>
      <c r="E1817" s="33" t="s">
        <v>3857</v>
      </c>
      <c r="F1817" s="33" t="s">
        <v>1787</v>
      </c>
      <c r="G1817" s="33" t="s">
        <v>3550</v>
      </c>
      <c r="H1817" s="33" t="s">
        <v>5622</v>
      </c>
      <c r="I1817" s="33" t="s">
        <v>3551</v>
      </c>
      <c r="J1817" s="33" t="s">
        <v>3552</v>
      </c>
      <c r="K1817" s="33" t="s">
        <v>3859</v>
      </c>
      <c r="L1817" s="33" t="s">
        <v>5622</v>
      </c>
      <c r="M1817" s="33" t="s">
        <v>43</v>
      </c>
      <c r="N1817" s="33" t="s">
        <v>69</v>
      </c>
      <c r="O1817" s="33" t="s">
        <v>3505</v>
      </c>
      <c r="Q1817" s="33" t="s">
        <v>6964</v>
      </c>
    </row>
    <row r="1818" spans="1:17" hidden="1">
      <c r="A1818" s="33" t="s">
        <v>7070</v>
      </c>
      <c r="B1818" s="33" t="s">
        <v>7071</v>
      </c>
      <c r="C1818" s="33" t="s">
        <v>1831</v>
      </c>
      <c r="D1818" s="33" t="s">
        <v>18</v>
      </c>
      <c r="E1818" s="33" t="s">
        <v>3857</v>
      </c>
      <c r="F1818" s="33" t="s">
        <v>1787</v>
      </c>
      <c r="G1818" s="33" t="s">
        <v>68</v>
      </c>
      <c r="H1818" s="33" t="s">
        <v>5779</v>
      </c>
      <c r="I1818" s="33" t="s">
        <v>5779</v>
      </c>
      <c r="J1818" s="33" t="s">
        <v>7072</v>
      </c>
      <c r="K1818" s="33" t="s">
        <v>3859</v>
      </c>
      <c r="L1818" s="33" t="s">
        <v>5779</v>
      </c>
      <c r="M1818" s="33" t="s">
        <v>1142</v>
      </c>
      <c r="N1818" s="33" t="s">
        <v>197</v>
      </c>
      <c r="O1818" s="33" t="s">
        <v>2709</v>
      </c>
      <c r="Q1818" s="33" t="s">
        <v>6964</v>
      </c>
    </row>
    <row r="1819" spans="1:17" hidden="1">
      <c r="A1819" s="33" t="s">
        <v>5375</v>
      </c>
      <c r="B1819" s="33" t="s">
        <v>7073</v>
      </c>
      <c r="C1819" s="33" t="s">
        <v>1831</v>
      </c>
      <c r="D1819" s="33" t="s">
        <v>14</v>
      </c>
      <c r="E1819" s="33" t="s">
        <v>3857</v>
      </c>
      <c r="F1819" s="33" t="s">
        <v>1787</v>
      </c>
      <c r="G1819" s="33" t="s">
        <v>1998</v>
      </c>
      <c r="H1819" s="33" t="s">
        <v>3820</v>
      </c>
      <c r="I1819" s="33" t="s">
        <v>3544</v>
      </c>
      <c r="J1819" s="33" t="s">
        <v>5377</v>
      </c>
      <c r="K1819" s="33" t="s">
        <v>3859</v>
      </c>
      <c r="L1819" s="33" t="s">
        <v>3820</v>
      </c>
      <c r="M1819" s="33" t="s">
        <v>107</v>
      </c>
      <c r="N1819" s="33" t="s">
        <v>69</v>
      </c>
      <c r="O1819" s="33" t="s">
        <v>7058</v>
      </c>
      <c r="Q1819" s="33" t="s">
        <v>6964</v>
      </c>
    </row>
    <row r="1820" spans="1:17" hidden="1">
      <c r="A1820" s="33" t="s">
        <v>5390</v>
      </c>
      <c r="B1820" s="33" t="s">
        <v>7074</v>
      </c>
      <c r="C1820" s="33" t="s">
        <v>2147</v>
      </c>
      <c r="D1820" s="33" t="s">
        <v>18</v>
      </c>
      <c r="E1820" s="33" t="s">
        <v>3857</v>
      </c>
      <c r="F1820" s="33" t="s">
        <v>1787</v>
      </c>
      <c r="G1820" s="33" t="s">
        <v>86</v>
      </c>
      <c r="H1820" s="33" t="s">
        <v>3820</v>
      </c>
      <c r="I1820" s="33" t="s">
        <v>3544</v>
      </c>
      <c r="J1820" s="33" t="s">
        <v>5392</v>
      </c>
      <c r="K1820" s="33" t="s">
        <v>3859</v>
      </c>
      <c r="L1820" s="33" t="s">
        <v>3820</v>
      </c>
      <c r="M1820" s="33" t="s">
        <v>1763</v>
      </c>
      <c r="N1820" s="33" t="s">
        <v>23</v>
      </c>
      <c r="O1820" s="33" t="s">
        <v>7075</v>
      </c>
      <c r="Q1820" s="33" t="s">
        <v>6964</v>
      </c>
    </row>
    <row r="1821" spans="1:17" hidden="1">
      <c r="A1821" s="33" t="s">
        <v>5497</v>
      </c>
      <c r="B1821" s="33" t="s">
        <v>7076</v>
      </c>
      <c r="C1821" s="33" t="s">
        <v>5499</v>
      </c>
      <c r="D1821" s="33" t="s">
        <v>14</v>
      </c>
      <c r="E1821" s="33" t="s">
        <v>3857</v>
      </c>
      <c r="F1821" s="33" t="s">
        <v>1787</v>
      </c>
      <c r="G1821" s="33" t="s">
        <v>5500</v>
      </c>
      <c r="H1821" s="33" t="s">
        <v>3820</v>
      </c>
      <c r="I1821" s="33" t="s">
        <v>3544</v>
      </c>
      <c r="J1821" s="33" t="s">
        <v>5501</v>
      </c>
      <c r="K1821" s="33" t="s">
        <v>3859</v>
      </c>
      <c r="L1821" s="33" t="s">
        <v>3820</v>
      </c>
      <c r="M1821" s="33" t="s">
        <v>107</v>
      </c>
      <c r="N1821" s="33" t="s">
        <v>1142</v>
      </c>
      <c r="O1821" s="33" t="s">
        <v>7077</v>
      </c>
      <c r="Q1821" s="33" t="s">
        <v>6964</v>
      </c>
    </row>
    <row r="1822" spans="1:17" hidden="1">
      <c r="A1822" s="33" t="s">
        <v>5591</v>
      </c>
      <c r="B1822" s="33" t="s">
        <v>7078</v>
      </c>
      <c r="C1822" s="33" t="s">
        <v>2205</v>
      </c>
      <c r="D1822" s="33" t="s">
        <v>18</v>
      </c>
      <c r="E1822" s="33" t="s">
        <v>3857</v>
      </c>
      <c r="F1822" s="33" t="s">
        <v>1787</v>
      </c>
      <c r="G1822" s="33" t="s">
        <v>3289</v>
      </c>
      <c r="H1822" s="33" t="s">
        <v>3820</v>
      </c>
      <c r="I1822" s="33" t="s">
        <v>3633</v>
      </c>
      <c r="J1822" s="33" t="s">
        <v>5593</v>
      </c>
      <c r="K1822" s="33" t="s">
        <v>3859</v>
      </c>
      <c r="L1822" s="33" t="s">
        <v>3820</v>
      </c>
      <c r="M1822" s="33" t="s">
        <v>77</v>
      </c>
      <c r="N1822" s="33" t="s">
        <v>77</v>
      </c>
      <c r="O1822" s="33" t="s">
        <v>1951</v>
      </c>
      <c r="Q1822" s="33" t="s">
        <v>6964</v>
      </c>
    </row>
    <row r="1823" spans="1:17" hidden="1">
      <c r="A1823" s="33" t="s">
        <v>5745</v>
      </c>
      <c r="B1823" s="33" t="s">
        <v>7079</v>
      </c>
      <c r="C1823" s="33" t="s">
        <v>1785</v>
      </c>
      <c r="D1823" s="33" t="s">
        <v>18</v>
      </c>
      <c r="E1823" s="33" t="s">
        <v>3857</v>
      </c>
      <c r="F1823" s="33" t="s">
        <v>1856</v>
      </c>
      <c r="G1823" s="33" t="s">
        <v>3836</v>
      </c>
      <c r="H1823" s="33" t="s">
        <v>945</v>
      </c>
      <c r="I1823" s="33" t="s">
        <v>2647</v>
      </c>
      <c r="J1823" s="33" t="s">
        <v>5747</v>
      </c>
      <c r="K1823" s="33" t="s">
        <v>3859</v>
      </c>
      <c r="L1823" s="33" t="s">
        <v>945</v>
      </c>
      <c r="M1823" s="33" t="s">
        <v>82</v>
      </c>
      <c r="N1823" s="33" t="s">
        <v>1083</v>
      </c>
      <c r="O1823" s="33" t="s">
        <v>7080</v>
      </c>
      <c r="Q1823" s="33" t="s">
        <v>6964</v>
      </c>
    </row>
    <row r="1824" spans="1:17" hidden="1">
      <c r="A1824" s="33" t="s">
        <v>7081</v>
      </c>
      <c r="B1824" s="33" t="s">
        <v>7082</v>
      </c>
      <c r="C1824" s="33" t="s">
        <v>1831</v>
      </c>
      <c r="D1824" s="33" t="s">
        <v>18</v>
      </c>
      <c r="E1824" s="33" t="s">
        <v>3857</v>
      </c>
      <c r="F1824" s="33" t="s">
        <v>1787</v>
      </c>
      <c r="G1824" s="33" t="s">
        <v>7083</v>
      </c>
      <c r="H1824" s="33" t="s">
        <v>945</v>
      </c>
      <c r="I1824" s="33" t="s">
        <v>945</v>
      </c>
      <c r="J1824" s="33" t="s">
        <v>7084</v>
      </c>
      <c r="K1824" s="33" t="s">
        <v>3859</v>
      </c>
      <c r="L1824" s="33" t="s">
        <v>945</v>
      </c>
      <c r="M1824" s="33" t="s">
        <v>84</v>
      </c>
      <c r="N1824" s="33" t="s">
        <v>197</v>
      </c>
      <c r="O1824" s="33" t="s">
        <v>7085</v>
      </c>
      <c r="Q1824" s="33" t="s">
        <v>6964</v>
      </c>
    </row>
    <row r="1825" spans="1:17" hidden="1">
      <c r="A1825" s="33" t="s">
        <v>7086</v>
      </c>
      <c r="B1825" s="33" t="s">
        <v>7087</v>
      </c>
      <c r="C1825" s="33" t="s">
        <v>1831</v>
      </c>
      <c r="D1825" s="33" t="s">
        <v>18</v>
      </c>
      <c r="E1825" s="33" t="s">
        <v>3857</v>
      </c>
      <c r="F1825" s="33" t="s">
        <v>1787</v>
      </c>
      <c r="G1825" s="33" t="s">
        <v>1872</v>
      </c>
      <c r="H1825" s="33" t="s">
        <v>945</v>
      </c>
      <c r="I1825" s="33" t="s">
        <v>945</v>
      </c>
      <c r="J1825" s="33" t="s">
        <v>7088</v>
      </c>
      <c r="K1825" s="33" t="s">
        <v>3859</v>
      </c>
      <c r="L1825" s="33" t="s">
        <v>945</v>
      </c>
      <c r="M1825" s="33" t="s">
        <v>3310</v>
      </c>
      <c r="N1825" s="33" t="s">
        <v>197</v>
      </c>
      <c r="O1825" s="33" t="s">
        <v>1951</v>
      </c>
      <c r="Q1825" s="33" t="s">
        <v>6964</v>
      </c>
    </row>
    <row r="1826" spans="1:17" hidden="1">
      <c r="A1826" s="33" t="s">
        <v>6025</v>
      </c>
      <c r="B1826" s="33" t="s">
        <v>7089</v>
      </c>
      <c r="C1826" s="33" t="s">
        <v>1785</v>
      </c>
      <c r="D1826" s="33" t="s">
        <v>18</v>
      </c>
      <c r="E1826" s="33" t="s">
        <v>3857</v>
      </c>
      <c r="F1826" s="33" t="s">
        <v>1787</v>
      </c>
      <c r="G1826" s="33" t="s">
        <v>1788</v>
      </c>
      <c r="H1826" s="33" t="s">
        <v>1206</v>
      </c>
      <c r="I1826" s="33" t="s">
        <v>945</v>
      </c>
      <c r="J1826" s="33" t="s">
        <v>6027</v>
      </c>
      <c r="K1826" s="33" t="s">
        <v>3859</v>
      </c>
      <c r="L1826" s="33" t="s">
        <v>1206</v>
      </c>
      <c r="M1826" s="33" t="s">
        <v>1083</v>
      </c>
      <c r="N1826" s="33" t="s">
        <v>1083</v>
      </c>
      <c r="O1826" s="33" t="s">
        <v>3533</v>
      </c>
      <c r="Q1826" s="33" t="s">
        <v>6964</v>
      </c>
    </row>
    <row r="1827" spans="1:17" hidden="1">
      <c r="A1827" s="33" t="s">
        <v>7081</v>
      </c>
      <c r="B1827" s="33" t="s">
        <v>7090</v>
      </c>
      <c r="C1827" s="33" t="s">
        <v>1831</v>
      </c>
      <c r="D1827" s="33" t="s">
        <v>18</v>
      </c>
      <c r="E1827" s="33" t="s">
        <v>3857</v>
      </c>
      <c r="F1827" s="33" t="s">
        <v>1787</v>
      </c>
      <c r="G1827" s="33" t="s">
        <v>7083</v>
      </c>
      <c r="H1827" s="33" t="s">
        <v>1206</v>
      </c>
      <c r="I1827" s="33" t="s">
        <v>945</v>
      </c>
      <c r="J1827" s="33" t="s">
        <v>7084</v>
      </c>
      <c r="K1827" s="33" t="s">
        <v>3859</v>
      </c>
      <c r="L1827" s="33" t="s">
        <v>1206</v>
      </c>
      <c r="M1827" s="33" t="s">
        <v>197</v>
      </c>
      <c r="N1827" s="33" t="s">
        <v>197</v>
      </c>
      <c r="O1827" s="33" t="s">
        <v>3469</v>
      </c>
      <c r="Q1827" s="33" t="s">
        <v>6964</v>
      </c>
    </row>
    <row r="1828" spans="1:17" hidden="1">
      <c r="A1828" s="33" t="s">
        <v>8234</v>
      </c>
      <c r="B1828" s="33" t="s">
        <v>8235</v>
      </c>
      <c r="C1828" s="33" t="s">
        <v>1891</v>
      </c>
      <c r="D1828" s="33" t="s">
        <v>6684</v>
      </c>
      <c r="E1828" s="33" t="s">
        <v>6609</v>
      </c>
      <c r="G1828" s="33" t="s">
        <v>41</v>
      </c>
      <c r="H1828" s="33" t="s">
        <v>1879</v>
      </c>
      <c r="I1828" s="33" t="s">
        <v>1879</v>
      </c>
      <c r="J1828" s="33" t="s">
        <v>8236</v>
      </c>
      <c r="K1828" s="33" t="s">
        <v>6611</v>
      </c>
      <c r="L1828" s="33" t="s">
        <v>1879</v>
      </c>
      <c r="M1828" s="33" t="s">
        <v>2093</v>
      </c>
      <c r="N1828" s="33" t="s">
        <v>42</v>
      </c>
      <c r="Q1828" s="33" t="s">
        <v>8143</v>
      </c>
    </row>
    <row r="1829" spans="1:17" hidden="1">
      <c r="A1829" s="33" t="s">
        <v>7096</v>
      </c>
      <c r="B1829" s="33" t="s">
        <v>7097</v>
      </c>
      <c r="C1829" s="33" t="s">
        <v>1891</v>
      </c>
      <c r="D1829" s="33" t="s">
        <v>71</v>
      </c>
      <c r="E1829" s="33" t="s">
        <v>6609</v>
      </c>
      <c r="G1829" s="33" t="s">
        <v>41</v>
      </c>
      <c r="H1829" s="33" t="s">
        <v>1955</v>
      </c>
      <c r="I1829" s="33" t="s">
        <v>1955</v>
      </c>
      <c r="J1829" s="33" t="s">
        <v>7098</v>
      </c>
      <c r="K1829" s="33" t="s">
        <v>6611</v>
      </c>
      <c r="L1829" s="33" t="s">
        <v>1955</v>
      </c>
      <c r="M1829" s="33" t="str">
        <f>_xlfn.XLOOKUP(Tabela14[[#This Row],[Responsável]],Organograma!H:H,Organograma!G:G,"")</f>
        <v>BLH - Banco de Leite Humano</v>
      </c>
      <c r="N1829" s="33" t="s">
        <v>42</v>
      </c>
      <c r="Q1829" s="33" t="s">
        <v>7095</v>
      </c>
    </row>
    <row r="1830" spans="1:17" hidden="1">
      <c r="A1830" s="33" t="s">
        <v>7099</v>
      </c>
      <c r="B1830" s="33" t="s">
        <v>7100</v>
      </c>
      <c r="C1830" s="33" t="s">
        <v>1891</v>
      </c>
      <c r="D1830" s="33" t="s">
        <v>67</v>
      </c>
      <c r="E1830" s="33" t="s">
        <v>6600</v>
      </c>
      <c r="G1830" s="33" t="s">
        <v>41</v>
      </c>
      <c r="H1830" s="33" t="s">
        <v>1955</v>
      </c>
      <c r="I1830" s="33" t="s">
        <v>1955</v>
      </c>
      <c r="J1830" s="33" t="s">
        <v>7101</v>
      </c>
      <c r="K1830" s="33" t="s">
        <v>6602</v>
      </c>
      <c r="L1830" s="33" t="s">
        <v>3551</v>
      </c>
      <c r="M1830" s="33" t="str">
        <f>_xlfn.XLOOKUP(Tabela14[[#This Row],[Responsável]],Organograma!H:H,Organograma!G:G,"")</f>
        <v>CC - Centro Cirúrgico</v>
      </c>
      <c r="N1830" s="33" t="s">
        <v>42</v>
      </c>
      <c r="Q1830" s="33" t="s">
        <v>7095</v>
      </c>
    </row>
    <row r="1831" spans="1:17" hidden="1">
      <c r="A1831" s="33" t="s">
        <v>8286</v>
      </c>
      <c r="B1831" s="33" t="s">
        <v>8287</v>
      </c>
      <c r="C1831" s="33" t="s">
        <v>1891</v>
      </c>
      <c r="D1831" s="33" t="s">
        <v>6684</v>
      </c>
      <c r="E1831" s="33" t="s">
        <v>6609</v>
      </c>
      <c r="G1831" s="33" t="s">
        <v>41</v>
      </c>
      <c r="H1831" s="33" t="s">
        <v>1879</v>
      </c>
      <c r="I1831" s="33" t="s">
        <v>1879</v>
      </c>
      <c r="J1831" s="33" t="s">
        <v>8288</v>
      </c>
      <c r="K1831" s="33" t="s">
        <v>6611</v>
      </c>
      <c r="L1831" s="33" t="s">
        <v>1879</v>
      </c>
      <c r="M1831" s="33" t="s">
        <v>1402</v>
      </c>
      <c r="N1831" s="33" t="s">
        <v>42</v>
      </c>
      <c r="Q1831" s="33" t="s">
        <v>8143</v>
      </c>
    </row>
    <row r="1832" spans="1:17" hidden="1">
      <c r="A1832" s="33" t="s">
        <v>7105</v>
      </c>
      <c r="B1832" s="33" t="s">
        <v>7106</v>
      </c>
      <c r="C1832" s="33" t="s">
        <v>1891</v>
      </c>
      <c r="D1832" s="33" t="s">
        <v>67</v>
      </c>
      <c r="E1832" s="33" t="s">
        <v>6600</v>
      </c>
      <c r="G1832" s="33" t="s">
        <v>41</v>
      </c>
      <c r="H1832" s="33" t="s">
        <v>1967</v>
      </c>
      <c r="I1832" s="33" t="s">
        <v>1955</v>
      </c>
      <c r="J1832" s="33" t="s">
        <v>7107</v>
      </c>
      <c r="K1832" s="33" t="s">
        <v>6602</v>
      </c>
      <c r="L1832" s="33" t="s">
        <v>3544</v>
      </c>
      <c r="M1832" s="33" t="str">
        <f>_xlfn.XLOOKUP(Tabela14[[#This Row],[Responsável]],Organograma!H:H,Organograma!G:G,"")</f>
        <v>CC - Centro Cirúrgico</v>
      </c>
      <c r="N1832" s="33" t="s">
        <v>42</v>
      </c>
      <c r="Q1832" s="33" t="s">
        <v>7095</v>
      </c>
    </row>
    <row r="1833" spans="1:17" hidden="1">
      <c r="A1833" s="33" t="s">
        <v>7108</v>
      </c>
      <c r="B1833" s="33" t="s">
        <v>7109</v>
      </c>
      <c r="C1833" s="33" t="s">
        <v>1891</v>
      </c>
      <c r="D1833" s="33" t="s">
        <v>67</v>
      </c>
      <c r="E1833" s="33" t="s">
        <v>6609</v>
      </c>
      <c r="G1833" s="33" t="s">
        <v>41</v>
      </c>
      <c r="H1833" s="33" t="s">
        <v>1955</v>
      </c>
      <c r="I1833" s="33" t="s">
        <v>1955</v>
      </c>
      <c r="J1833" s="33" t="s">
        <v>7110</v>
      </c>
      <c r="K1833" s="33" t="s">
        <v>6611</v>
      </c>
      <c r="L1833" s="33" t="s">
        <v>1955</v>
      </c>
      <c r="M1833" s="33" t="str">
        <f>_xlfn.XLOOKUP(Tabela14[[#This Row],[Responsável]],Organograma!H:H,Organograma!G:G,"")</f>
        <v>CC - Centro Cirúrgico</v>
      </c>
      <c r="N1833" s="33" t="s">
        <v>42</v>
      </c>
      <c r="Q1833" s="33" t="s">
        <v>7095</v>
      </c>
    </row>
    <row r="1834" spans="1:17" hidden="1">
      <c r="A1834" s="33" t="s">
        <v>7111</v>
      </c>
      <c r="B1834" s="33" t="s">
        <v>7112</v>
      </c>
      <c r="C1834" s="33" t="s">
        <v>1891</v>
      </c>
      <c r="D1834" s="33" t="s">
        <v>67</v>
      </c>
      <c r="E1834" s="33" t="s">
        <v>6609</v>
      </c>
      <c r="G1834" s="33" t="s">
        <v>41</v>
      </c>
      <c r="H1834" s="33" t="s">
        <v>1967</v>
      </c>
      <c r="I1834" s="33" t="s">
        <v>1967</v>
      </c>
      <c r="J1834" s="33" t="s">
        <v>7113</v>
      </c>
      <c r="K1834" s="33" t="s">
        <v>6611</v>
      </c>
      <c r="L1834" s="33" t="s">
        <v>1967</v>
      </c>
      <c r="M1834" s="33" t="str">
        <f>_xlfn.XLOOKUP(Tabela14[[#This Row],[Responsável]],Organograma!H:H,Organograma!G:G,"")</f>
        <v>CC - Centro Cirúrgico</v>
      </c>
      <c r="N1834" s="33" t="s">
        <v>42</v>
      </c>
      <c r="Q1834" s="33" t="s">
        <v>7095</v>
      </c>
    </row>
    <row r="1835" spans="1:17">
      <c r="A1835" s="33" t="s">
        <v>7114</v>
      </c>
      <c r="B1835" s="33" t="s">
        <v>7115</v>
      </c>
      <c r="C1835" s="33" t="s">
        <v>1891</v>
      </c>
      <c r="D1835" s="33" t="s">
        <v>41</v>
      </c>
      <c r="E1835" s="33" t="s">
        <v>3976</v>
      </c>
      <c r="G1835" s="33" t="s">
        <v>41</v>
      </c>
      <c r="H1835" s="33" t="s">
        <v>1967</v>
      </c>
      <c r="I1835" s="33" t="s">
        <v>1967</v>
      </c>
      <c r="J1835" s="33" t="s">
        <v>7116</v>
      </c>
      <c r="K1835" s="33" t="s">
        <v>6898</v>
      </c>
      <c r="L1835" s="33" t="s">
        <v>3551</v>
      </c>
      <c r="M1835" s="33" t="s">
        <v>69</v>
      </c>
      <c r="N1835" s="33" t="s">
        <v>42</v>
      </c>
      <c r="Q1835" s="33" t="s">
        <v>7095</v>
      </c>
    </row>
    <row r="1836" spans="1:17" hidden="1">
      <c r="A1836" s="33" t="s">
        <v>8289</v>
      </c>
      <c r="B1836" s="33" t="s">
        <v>8290</v>
      </c>
      <c r="C1836" s="33" t="s">
        <v>1891</v>
      </c>
      <c r="D1836" s="33" t="s">
        <v>6684</v>
      </c>
      <c r="E1836" s="33" t="s">
        <v>6609</v>
      </c>
      <c r="G1836" s="33" t="s">
        <v>41</v>
      </c>
      <c r="H1836" s="33" t="s">
        <v>1879</v>
      </c>
      <c r="I1836" s="33" t="s">
        <v>1879</v>
      </c>
      <c r="J1836" s="33" t="s">
        <v>8291</v>
      </c>
      <c r="K1836" s="33" t="s">
        <v>6611</v>
      </c>
      <c r="L1836" s="33" t="s">
        <v>1879</v>
      </c>
      <c r="M1836" s="33" t="s">
        <v>1402</v>
      </c>
      <c r="N1836" s="33" t="s">
        <v>42</v>
      </c>
      <c r="Q1836" s="33" t="s">
        <v>8143</v>
      </c>
    </row>
    <row r="1837" spans="1:17">
      <c r="A1837" s="33" t="s">
        <v>7120</v>
      </c>
      <c r="B1837" s="33" t="s">
        <v>7121</v>
      </c>
      <c r="C1837" s="33" t="s">
        <v>1891</v>
      </c>
      <c r="D1837" s="33" t="s">
        <v>41</v>
      </c>
      <c r="E1837" s="33" t="s">
        <v>935</v>
      </c>
      <c r="G1837" s="33" t="s">
        <v>41</v>
      </c>
      <c r="H1837" s="33" t="s">
        <v>1967</v>
      </c>
      <c r="I1837" s="33" t="s">
        <v>1967</v>
      </c>
      <c r="J1837" s="33" t="s">
        <v>7122</v>
      </c>
      <c r="K1837" s="33" t="s">
        <v>6898</v>
      </c>
      <c r="L1837" s="33" t="s">
        <v>3562</v>
      </c>
      <c r="M1837" s="33" t="s">
        <v>95</v>
      </c>
      <c r="N1837" s="33" t="s">
        <v>42</v>
      </c>
      <c r="Q1837" s="33" t="s">
        <v>7095</v>
      </c>
    </row>
    <row r="1838" spans="1:17">
      <c r="A1838" s="33" t="s">
        <v>7123</v>
      </c>
      <c r="B1838" s="33" t="s">
        <v>7124</v>
      </c>
      <c r="C1838" s="33" t="s">
        <v>1891</v>
      </c>
      <c r="D1838" s="33" t="s">
        <v>41</v>
      </c>
      <c r="E1838" s="33" t="s">
        <v>935</v>
      </c>
      <c r="G1838" s="33" t="s">
        <v>41</v>
      </c>
      <c r="H1838" s="33" t="s">
        <v>1967</v>
      </c>
      <c r="I1838" s="33" t="s">
        <v>1967</v>
      </c>
      <c r="J1838" s="33" t="s">
        <v>7125</v>
      </c>
      <c r="K1838" s="33" t="s">
        <v>6898</v>
      </c>
      <c r="L1838" s="33" t="s">
        <v>3562</v>
      </c>
      <c r="M1838" s="33" t="s">
        <v>95</v>
      </c>
      <c r="N1838" s="33" t="s">
        <v>42</v>
      </c>
      <c r="Q1838" s="33" t="s">
        <v>7095</v>
      </c>
    </row>
    <row r="1839" spans="1:17">
      <c r="A1839" s="33" t="s">
        <v>7126</v>
      </c>
      <c r="B1839" s="33" t="s">
        <v>7127</v>
      </c>
      <c r="C1839" s="33" t="s">
        <v>1891</v>
      </c>
      <c r="D1839" s="33" t="s">
        <v>41</v>
      </c>
      <c r="E1839" s="33" t="s">
        <v>935</v>
      </c>
      <c r="G1839" s="33" t="s">
        <v>41</v>
      </c>
      <c r="H1839" s="33" t="s">
        <v>1967</v>
      </c>
      <c r="I1839" s="33" t="s">
        <v>1967</v>
      </c>
      <c r="J1839" s="33" t="s">
        <v>7128</v>
      </c>
      <c r="K1839" s="33" t="s">
        <v>6898</v>
      </c>
      <c r="L1839" s="33" t="s">
        <v>3562</v>
      </c>
      <c r="M1839" s="33" t="s">
        <v>95</v>
      </c>
      <c r="N1839" s="33" t="s">
        <v>42</v>
      </c>
      <c r="Q1839" s="33" t="s">
        <v>7095</v>
      </c>
    </row>
    <row r="1840" spans="1:17" hidden="1">
      <c r="A1840" s="33" t="s">
        <v>7129</v>
      </c>
      <c r="B1840" s="33" t="s">
        <v>7130</v>
      </c>
      <c r="C1840" s="33" t="s">
        <v>1891</v>
      </c>
      <c r="D1840" s="33" t="s">
        <v>81</v>
      </c>
      <c r="E1840" s="33" t="s">
        <v>6609</v>
      </c>
      <c r="G1840" s="33" t="s">
        <v>41</v>
      </c>
      <c r="H1840" s="33" t="s">
        <v>1967</v>
      </c>
      <c r="I1840" s="33" t="s">
        <v>1967</v>
      </c>
      <c r="J1840" s="33" t="s">
        <v>7131</v>
      </c>
      <c r="K1840" s="33" t="s">
        <v>6611</v>
      </c>
      <c r="L1840" s="33" t="s">
        <v>1967</v>
      </c>
      <c r="M1840" s="33" t="str">
        <f>_xlfn.XLOOKUP(Tabela14[[#This Row],[Responsável]],Organograma!H:H,Organograma!G:G,"")</f>
        <v>CPN - Centro de Parto Normal</v>
      </c>
      <c r="N1840" s="33" t="s">
        <v>42</v>
      </c>
      <c r="Q1840" s="33" t="s">
        <v>7095</v>
      </c>
    </row>
    <row r="1841" spans="1:17" hidden="1">
      <c r="A1841" s="33" t="s">
        <v>8412</v>
      </c>
      <c r="B1841" s="33" t="s">
        <v>8413</v>
      </c>
      <c r="C1841" s="33" t="s">
        <v>1891</v>
      </c>
      <c r="D1841" s="33" t="s">
        <v>6684</v>
      </c>
      <c r="E1841" s="33" t="s">
        <v>6609</v>
      </c>
      <c r="G1841" s="33" t="s">
        <v>41</v>
      </c>
      <c r="H1841" s="33" t="s">
        <v>1881</v>
      </c>
      <c r="I1841" s="33" t="s">
        <v>1881</v>
      </c>
      <c r="J1841" s="33" t="s">
        <v>8414</v>
      </c>
      <c r="K1841" s="33" t="s">
        <v>6611</v>
      </c>
      <c r="L1841" s="33" t="s">
        <v>2243</v>
      </c>
      <c r="M1841" s="33" t="s">
        <v>2093</v>
      </c>
      <c r="N1841" s="33" t="s">
        <v>42</v>
      </c>
      <c r="Q1841" s="33" t="s">
        <v>8143</v>
      </c>
    </row>
    <row r="1842" spans="1:17" hidden="1">
      <c r="A1842" s="33" t="s">
        <v>7135</v>
      </c>
      <c r="B1842" s="33" t="s">
        <v>7136</v>
      </c>
      <c r="C1842" s="33" t="s">
        <v>1891</v>
      </c>
      <c r="D1842" s="33" t="s">
        <v>26</v>
      </c>
      <c r="E1842" s="33" t="s">
        <v>6609</v>
      </c>
      <c r="G1842" s="33" t="s">
        <v>41</v>
      </c>
      <c r="H1842" s="33" t="s">
        <v>1967</v>
      </c>
      <c r="I1842" s="33" t="s">
        <v>1967</v>
      </c>
      <c r="J1842" s="33" t="s">
        <v>7137</v>
      </c>
      <c r="K1842" s="33" t="s">
        <v>6611</v>
      </c>
      <c r="L1842" s="33" t="s">
        <v>5544</v>
      </c>
      <c r="M1842" s="33" t="str">
        <f>_xlfn.XLOOKUP(Tabela14[[#This Row],[Responsável]],Organograma!H:H,Organograma!G:G,"")</f>
        <v>SRFP - Setor de Registro e Folha de Ponto</v>
      </c>
      <c r="N1842" s="33" t="s">
        <v>42</v>
      </c>
      <c r="Q1842" s="33" t="s">
        <v>7095</v>
      </c>
    </row>
    <row r="1843" spans="1:17" hidden="1">
      <c r="A1843" s="33" t="s">
        <v>7138</v>
      </c>
      <c r="B1843" s="33" t="s">
        <v>7139</v>
      </c>
      <c r="C1843" s="33" t="s">
        <v>1891</v>
      </c>
      <c r="D1843" s="33" t="s">
        <v>10</v>
      </c>
      <c r="E1843" s="33" t="s">
        <v>6609</v>
      </c>
      <c r="G1843" s="33" t="s">
        <v>41</v>
      </c>
      <c r="H1843" s="33" t="s">
        <v>1967</v>
      </c>
      <c r="I1843" s="33" t="s">
        <v>1967</v>
      </c>
      <c r="J1843" s="33" t="s">
        <v>7140</v>
      </c>
      <c r="K1843" s="33" t="s">
        <v>6611</v>
      </c>
      <c r="L1843" s="33" t="s">
        <v>2838</v>
      </c>
      <c r="M1843" s="33" t="str">
        <f>_xlfn.XLOOKUP(Tabela14[[#This Row],[Responsável]],Organograma!H:H,Organograma!G:G,"")</f>
        <v>ENG - Núcleo de Engenharia Clínica</v>
      </c>
      <c r="N1843" s="33" t="s">
        <v>42</v>
      </c>
      <c r="Q1843" s="33" t="s">
        <v>7095</v>
      </c>
    </row>
    <row r="1844" spans="1:17" hidden="1">
      <c r="A1844" s="33" t="s">
        <v>8550</v>
      </c>
      <c r="B1844" s="33" t="s">
        <v>8551</v>
      </c>
      <c r="C1844" s="33" t="s">
        <v>1891</v>
      </c>
      <c r="D1844" s="33" t="s">
        <v>6684</v>
      </c>
      <c r="E1844" s="33" t="s">
        <v>6609</v>
      </c>
      <c r="G1844" s="33" t="s">
        <v>41</v>
      </c>
      <c r="H1844" s="33" t="s">
        <v>2541</v>
      </c>
      <c r="I1844" s="33" t="s">
        <v>2541</v>
      </c>
      <c r="J1844" s="33" t="s">
        <v>8552</v>
      </c>
      <c r="K1844" s="33" t="s">
        <v>6611</v>
      </c>
      <c r="L1844" s="33" t="s">
        <v>2541</v>
      </c>
      <c r="M1844" s="33" t="s">
        <v>91</v>
      </c>
      <c r="N1844" s="33" t="s">
        <v>42</v>
      </c>
      <c r="Q1844" s="33" t="s">
        <v>8143</v>
      </c>
    </row>
    <row r="1845" spans="1:17" hidden="1">
      <c r="A1845" s="33" t="s">
        <v>7144</v>
      </c>
      <c r="B1845" s="33" t="s">
        <v>7145</v>
      </c>
      <c r="C1845" s="33" t="s">
        <v>1891</v>
      </c>
      <c r="D1845" s="33" t="s">
        <v>81</v>
      </c>
      <c r="E1845" s="33" t="s">
        <v>6609</v>
      </c>
      <c r="G1845" s="33" t="s">
        <v>41</v>
      </c>
      <c r="H1845" s="33" t="s">
        <v>1993</v>
      </c>
      <c r="I1845" s="33" t="s">
        <v>1993</v>
      </c>
      <c r="J1845" s="33" t="s">
        <v>7146</v>
      </c>
      <c r="K1845" s="33" t="s">
        <v>6611</v>
      </c>
      <c r="L1845" s="33" t="s">
        <v>1993</v>
      </c>
      <c r="M1845" s="33" t="str">
        <f>_xlfn.XLOOKUP(Tabela14[[#This Row],[Responsável]],Organograma!H:H,Organograma!G:G,"")</f>
        <v>CPN - Centro de Parto Normal</v>
      </c>
      <c r="N1845" s="33" t="s">
        <v>42</v>
      </c>
      <c r="Q1845" s="33" t="s">
        <v>7095</v>
      </c>
    </row>
    <row r="1846" spans="1:17" hidden="1">
      <c r="A1846" s="33" t="s">
        <v>7147</v>
      </c>
      <c r="B1846" s="33" t="s">
        <v>7148</v>
      </c>
      <c r="C1846" s="33" t="s">
        <v>1891</v>
      </c>
      <c r="D1846" s="33" t="s">
        <v>81</v>
      </c>
      <c r="E1846" s="33" t="s">
        <v>6609</v>
      </c>
      <c r="G1846" s="33" t="s">
        <v>41</v>
      </c>
      <c r="H1846" s="33" t="s">
        <v>1993</v>
      </c>
      <c r="I1846" s="33" t="s">
        <v>1993</v>
      </c>
      <c r="J1846" s="33" t="s">
        <v>7149</v>
      </c>
      <c r="K1846" s="33" t="s">
        <v>6611</v>
      </c>
      <c r="L1846" s="33" t="s">
        <v>1993</v>
      </c>
      <c r="M1846" s="33" t="str">
        <f>_xlfn.XLOOKUP(Tabela14[[#This Row],[Responsável]],Organograma!H:H,Organograma!G:G,"")</f>
        <v>CPN - Centro de Parto Normal</v>
      </c>
      <c r="N1846" s="33" t="s">
        <v>42</v>
      </c>
      <c r="Q1846" s="33" t="s">
        <v>7095</v>
      </c>
    </row>
    <row r="1847" spans="1:17" hidden="1">
      <c r="A1847" s="33" t="s">
        <v>7150</v>
      </c>
      <c r="B1847" s="33" t="s">
        <v>7151</v>
      </c>
      <c r="C1847" s="33" t="s">
        <v>1891</v>
      </c>
      <c r="D1847" s="33" t="s">
        <v>81</v>
      </c>
      <c r="E1847" s="33" t="s">
        <v>6609</v>
      </c>
      <c r="G1847" s="33" t="s">
        <v>41</v>
      </c>
      <c r="H1847" s="33" t="s">
        <v>1993</v>
      </c>
      <c r="I1847" s="33" t="s">
        <v>1993</v>
      </c>
      <c r="J1847" s="33" t="s">
        <v>7152</v>
      </c>
      <c r="K1847" s="33" t="s">
        <v>6611</v>
      </c>
      <c r="L1847" s="33" t="s">
        <v>1993</v>
      </c>
      <c r="M1847" s="33" t="str">
        <f>_xlfn.XLOOKUP(Tabela14[[#This Row],[Responsável]],Organograma!H:H,Organograma!G:G,"")</f>
        <v>CPN - Centro de Parto Normal</v>
      </c>
      <c r="N1847" s="33" t="s">
        <v>42</v>
      </c>
      <c r="Q1847" s="33" t="s">
        <v>7095</v>
      </c>
    </row>
    <row r="1848" spans="1:17" hidden="1">
      <c r="A1848" s="33" t="s">
        <v>7153</v>
      </c>
      <c r="B1848" s="33" t="s">
        <v>7154</v>
      </c>
      <c r="C1848" s="33" t="s">
        <v>1891</v>
      </c>
      <c r="D1848" s="33" t="s">
        <v>81</v>
      </c>
      <c r="E1848" s="33" t="s">
        <v>6609</v>
      </c>
      <c r="G1848" s="33" t="s">
        <v>41</v>
      </c>
      <c r="H1848" s="33" t="s">
        <v>1993</v>
      </c>
      <c r="I1848" s="33" t="s">
        <v>1993</v>
      </c>
      <c r="J1848" s="33" t="s">
        <v>7155</v>
      </c>
      <c r="K1848" s="33" t="s">
        <v>6611</v>
      </c>
      <c r="L1848" s="33" t="s">
        <v>1993</v>
      </c>
      <c r="M1848" s="33" t="str">
        <f>_xlfn.XLOOKUP(Tabela14[[#This Row],[Responsável]],Organograma!H:H,Organograma!G:G,"")</f>
        <v>CPN - Centro de Parto Normal</v>
      </c>
      <c r="N1848" s="33" t="s">
        <v>42</v>
      </c>
      <c r="Q1848" s="33" t="s">
        <v>7095</v>
      </c>
    </row>
    <row r="1849" spans="1:17">
      <c r="A1849" s="33" t="s">
        <v>7156</v>
      </c>
      <c r="B1849" s="33" t="s">
        <v>7157</v>
      </c>
      <c r="C1849" s="33" t="s">
        <v>1891</v>
      </c>
      <c r="D1849" s="33" t="s">
        <v>41</v>
      </c>
      <c r="E1849" s="33" t="s">
        <v>3976</v>
      </c>
      <c r="G1849" s="33" t="s">
        <v>41</v>
      </c>
      <c r="H1849" s="33" t="s">
        <v>1993</v>
      </c>
      <c r="I1849" s="33" t="s">
        <v>1993</v>
      </c>
      <c r="J1849" s="33" t="s">
        <v>7158</v>
      </c>
      <c r="K1849" s="33" t="s">
        <v>6898</v>
      </c>
      <c r="L1849" s="33" t="s">
        <v>2000</v>
      </c>
      <c r="M1849" s="33" t="s">
        <v>970</v>
      </c>
      <c r="N1849" s="33" t="s">
        <v>42</v>
      </c>
      <c r="Q1849" s="33" t="s">
        <v>7095</v>
      </c>
    </row>
    <row r="1850" spans="1:17">
      <c r="A1850" s="33" t="s">
        <v>7159</v>
      </c>
      <c r="B1850" s="33" t="s">
        <v>7160</v>
      </c>
      <c r="C1850" s="33" t="s">
        <v>1891</v>
      </c>
      <c r="D1850" s="33" t="s">
        <v>41</v>
      </c>
      <c r="E1850" s="33" t="s">
        <v>3976</v>
      </c>
      <c r="G1850" s="33" t="s">
        <v>41</v>
      </c>
      <c r="H1850" s="33" t="s">
        <v>1993</v>
      </c>
      <c r="I1850" s="33" t="s">
        <v>1993</v>
      </c>
      <c r="J1850" s="33" t="s">
        <v>7161</v>
      </c>
      <c r="K1850" s="33" t="s">
        <v>6898</v>
      </c>
      <c r="L1850" s="33" t="s">
        <v>2243</v>
      </c>
      <c r="M1850" s="33" t="s">
        <v>970</v>
      </c>
      <c r="N1850" s="33" t="s">
        <v>42</v>
      </c>
      <c r="Q1850" s="33" t="s">
        <v>7095</v>
      </c>
    </row>
    <row r="1851" spans="1:17" hidden="1">
      <c r="A1851" s="33" t="s">
        <v>7162</v>
      </c>
      <c r="B1851" s="33" t="s">
        <v>7163</v>
      </c>
      <c r="C1851" s="33" t="s">
        <v>1891</v>
      </c>
      <c r="D1851" s="33" t="s">
        <v>51</v>
      </c>
      <c r="E1851" s="33" t="s">
        <v>6609</v>
      </c>
      <c r="G1851" s="33" t="s">
        <v>41</v>
      </c>
      <c r="H1851" s="33" t="s">
        <v>1993</v>
      </c>
      <c r="I1851" s="33" t="s">
        <v>1993</v>
      </c>
      <c r="J1851" s="33" t="s">
        <v>7164</v>
      </c>
      <c r="K1851" s="33" t="s">
        <v>6611</v>
      </c>
      <c r="L1851" s="33" t="s">
        <v>1993</v>
      </c>
      <c r="M1851" s="33" t="str">
        <f>_xlfn.XLOOKUP(Tabela14[[#This Row],[Responsável]],Organograma!H:H,Organograma!G:G,"")</f>
        <v>FIS - Fisioterapia</v>
      </c>
      <c r="N1851" s="33" t="s">
        <v>42</v>
      </c>
      <c r="Q1851" s="33" t="s">
        <v>7095</v>
      </c>
    </row>
    <row r="1852" spans="1:17">
      <c r="A1852" s="33" t="s">
        <v>7165</v>
      </c>
      <c r="B1852" s="33" t="s">
        <v>7166</v>
      </c>
      <c r="C1852" s="33" t="s">
        <v>1891</v>
      </c>
      <c r="D1852" s="33" t="s">
        <v>41</v>
      </c>
      <c r="E1852" s="33" t="s">
        <v>935</v>
      </c>
      <c r="G1852" s="33" t="s">
        <v>41</v>
      </c>
      <c r="H1852" s="33" t="s">
        <v>1993</v>
      </c>
      <c r="I1852" s="33" t="s">
        <v>1993</v>
      </c>
      <c r="J1852" s="33" t="s">
        <v>7167</v>
      </c>
      <c r="K1852" s="33" t="s">
        <v>6898</v>
      </c>
      <c r="L1852" s="33" t="s">
        <v>2685</v>
      </c>
      <c r="M1852" s="33" t="s">
        <v>91</v>
      </c>
      <c r="N1852" s="33" t="s">
        <v>42</v>
      </c>
      <c r="Q1852" s="33" t="s">
        <v>7095</v>
      </c>
    </row>
    <row r="1853" spans="1:17">
      <c r="A1853" s="33" t="s">
        <v>7168</v>
      </c>
      <c r="B1853" s="33" t="s">
        <v>7169</v>
      </c>
      <c r="C1853" s="33" t="s">
        <v>1891</v>
      </c>
      <c r="D1853" s="33" t="s">
        <v>41</v>
      </c>
      <c r="E1853" s="33" t="s">
        <v>935</v>
      </c>
      <c r="G1853" s="33" t="s">
        <v>41</v>
      </c>
      <c r="H1853" s="33" t="s">
        <v>1993</v>
      </c>
      <c r="I1853" s="33" t="s">
        <v>1993</v>
      </c>
      <c r="J1853" s="33" t="s">
        <v>7170</v>
      </c>
      <c r="K1853" s="33" t="s">
        <v>6898</v>
      </c>
      <c r="L1853" s="33" t="s">
        <v>2685</v>
      </c>
      <c r="M1853" s="33" t="s">
        <v>91</v>
      </c>
      <c r="N1853" s="33" t="s">
        <v>42</v>
      </c>
      <c r="Q1853" s="33" t="s">
        <v>7095</v>
      </c>
    </row>
    <row r="1854" spans="1:17" hidden="1">
      <c r="A1854" s="33" t="s">
        <v>7171</v>
      </c>
      <c r="B1854" s="33" t="s">
        <v>7172</v>
      </c>
      <c r="C1854" s="33" t="s">
        <v>1891</v>
      </c>
      <c r="D1854" s="33" t="s">
        <v>39</v>
      </c>
      <c r="E1854" s="33" t="s">
        <v>6609</v>
      </c>
      <c r="G1854" s="33" t="s">
        <v>41</v>
      </c>
      <c r="H1854" s="33" t="s">
        <v>1993</v>
      </c>
      <c r="I1854" s="33" t="s">
        <v>1993</v>
      </c>
      <c r="J1854" s="33" t="s">
        <v>7173</v>
      </c>
      <c r="K1854" s="33" t="s">
        <v>6611</v>
      </c>
      <c r="L1854" s="33" t="s">
        <v>1993</v>
      </c>
      <c r="M1854" s="33" t="str">
        <f>_xlfn.XLOOKUP(Tabela14[[#This Row],[Responsável]],Organograma!H:H,Organograma!G:G,"")</f>
        <v>CEP - Centro de Ensino e Pesquisa</v>
      </c>
      <c r="N1854" s="33" t="s">
        <v>42</v>
      </c>
      <c r="Q1854" s="33" t="s">
        <v>7095</v>
      </c>
    </row>
    <row r="1855" spans="1:17" hidden="1">
      <c r="A1855" s="33" t="s">
        <v>7174</v>
      </c>
      <c r="B1855" s="33" t="s">
        <v>7175</v>
      </c>
      <c r="C1855" s="33" t="s">
        <v>1891</v>
      </c>
      <c r="D1855" s="33" t="s">
        <v>39</v>
      </c>
      <c r="E1855" s="33" t="s">
        <v>6609</v>
      </c>
      <c r="G1855" s="33" t="s">
        <v>41</v>
      </c>
      <c r="H1855" s="33" t="s">
        <v>1993</v>
      </c>
      <c r="I1855" s="33" t="s">
        <v>1993</v>
      </c>
      <c r="J1855" s="33" t="s">
        <v>7176</v>
      </c>
      <c r="K1855" s="33" t="s">
        <v>6611</v>
      </c>
      <c r="L1855" s="33" t="s">
        <v>1993</v>
      </c>
      <c r="M1855" s="33" t="str">
        <f>_xlfn.XLOOKUP(Tabela14[[#This Row],[Responsável]],Organograma!H:H,Organograma!G:G,"")</f>
        <v>CEP - Centro de Ensino e Pesquisa</v>
      </c>
      <c r="N1855" s="33" t="s">
        <v>42</v>
      </c>
      <c r="Q1855" s="33" t="s">
        <v>7095</v>
      </c>
    </row>
    <row r="1856" spans="1:17" hidden="1">
      <c r="A1856" s="33" t="s">
        <v>8559</v>
      </c>
      <c r="B1856" s="33" t="s">
        <v>8560</v>
      </c>
      <c r="C1856" s="33" t="s">
        <v>1891</v>
      </c>
      <c r="D1856" s="33" t="s">
        <v>6684</v>
      </c>
      <c r="E1856" s="33" t="s">
        <v>6609</v>
      </c>
      <c r="G1856" s="33" t="s">
        <v>41</v>
      </c>
      <c r="H1856" s="33" t="s">
        <v>2541</v>
      </c>
      <c r="I1856" s="33" t="s">
        <v>2541</v>
      </c>
      <c r="J1856" s="33" t="s">
        <v>8561</v>
      </c>
      <c r="K1856" s="33" t="s">
        <v>6611</v>
      </c>
      <c r="L1856" s="33" t="s">
        <v>2541</v>
      </c>
      <c r="M1856" s="33" t="s">
        <v>91</v>
      </c>
      <c r="N1856" s="33" t="s">
        <v>42</v>
      </c>
      <c r="Q1856" s="33" t="s">
        <v>8143</v>
      </c>
    </row>
    <row r="1857" spans="1:17" hidden="1">
      <c r="A1857" s="33" t="s">
        <v>8562</v>
      </c>
      <c r="B1857" s="33" t="s">
        <v>8563</v>
      </c>
      <c r="C1857" s="33" t="s">
        <v>1891</v>
      </c>
      <c r="D1857" s="33" t="s">
        <v>6684</v>
      </c>
      <c r="E1857" s="33" t="s">
        <v>6609</v>
      </c>
      <c r="G1857" s="33" t="s">
        <v>41</v>
      </c>
      <c r="H1857" s="33" t="s">
        <v>2541</v>
      </c>
      <c r="I1857" s="33" t="s">
        <v>2541</v>
      </c>
      <c r="J1857" s="33" t="s">
        <v>8564</v>
      </c>
      <c r="K1857" s="33" t="s">
        <v>6611</v>
      </c>
      <c r="L1857" s="33" t="s">
        <v>2541</v>
      </c>
      <c r="M1857" s="33" t="s">
        <v>91</v>
      </c>
      <c r="N1857" s="33" t="s">
        <v>42</v>
      </c>
      <c r="Q1857" s="33" t="s">
        <v>8143</v>
      </c>
    </row>
    <row r="1858" spans="1:17" hidden="1">
      <c r="A1858" s="33" t="s">
        <v>8626</v>
      </c>
      <c r="B1858" s="33" t="s">
        <v>8627</v>
      </c>
      <c r="C1858" s="33" t="s">
        <v>1891</v>
      </c>
      <c r="D1858" s="33" t="s">
        <v>6684</v>
      </c>
      <c r="E1858" s="33" t="s">
        <v>6609</v>
      </c>
      <c r="G1858" s="33" t="s">
        <v>41</v>
      </c>
      <c r="H1858" s="33" t="s">
        <v>2569</v>
      </c>
      <c r="I1858" s="33" t="s">
        <v>2569</v>
      </c>
      <c r="J1858" s="33" t="s">
        <v>8628</v>
      </c>
      <c r="K1858" s="33" t="s">
        <v>6611</v>
      </c>
      <c r="L1858" s="33" t="s">
        <v>2569</v>
      </c>
      <c r="M1858" s="33" t="s">
        <v>1402</v>
      </c>
      <c r="N1858" s="33" t="s">
        <v>42</v>
      </c>
      <c r="Q1858" s="33" t="s">
        <v>8143</v>
      </c>
    </row>
    <row r="1859" spans="1:17" hidden="1">
      <c r="A1859" s="33" t="s">
        <v>8632</v>
      </c>
      <c r="B1859" s="33" t="s">
        <v>8633</v>
      </c>
      <c r="C1859" s="33" t="s">
        <v>1891</v>
      </c>
      <c r="D1859" s="33" t="s">
        <v>6684</v>
      </c>
      <c r="E1859" s="33" t="s">
        <v>6609</v>
      </c>
      <c r="G1859" s="33" t="s">
        <v>41</v>
      </c>
      <c r="H1859" s="33" t="s">
        <v>2569</v>
      </c>
      <c r="I1859" s="33" t="s">
        <v>2569</v>
      </c>
      <c r="J1859" s="33" t="s">
        <v>8634</v>
      </c>
      <c r="K1859" s="33" t="s">
        <v>6611</v>
      </c>
      <c r="L1859" s="33" t="s">
        <v>2569</v>
      </c>
      <c r="M1859" s="33" t="s">
        <v>1402</v>
      </c>
      <c r="N1859" s="33" t="s">
        <v>42</v>
      </c>
      <c r="Q1859" s="33" t="s">
        <v>8143</v>
      </c>
    </row>
    <row r="1860" spans="1:17" hidden="1">
      <c r="A1860" s="33" t="s">
        <v>7189</v>
      </c>
      <c r="B1860" s="33" t="s">
        <v>7190</v>
      </c>
      <c r="C1860" s="33" t="s">
        <v>1891</v>
      </c>
      <c r="D1860" s="33" t="s">
        <v>10</v>
      </c>
      <c r="E1860" s="33" t="s">
        <v>6609</v>
      </c>
      <c r="G1860" s="33" t="s">
        <v>41</v>
      </c>
      <c r="H1860" s="33" t="s">
        <v>1993</v>
      </c>
      <c r="I1860" s="33" t="s">
        <v>1993</v>
      </c>
      <c r="J1860" s="33" t="s">
        <v>7191</v>
      </c>
      <c r="K1860" s="33" t="s">
        <v>6611</v>
      </c>
      <c r="L1860" s="33" t="s">
        <v>1993</v>
      </c>
      <c r="M1860" s="33" t="str">
        <f>_xlfn.XLOOKUP(Tabela14[[#This Row],[Responsável]],Organograma!H:H,Organograma!G:G,"")</f>
        <v>ENG - Núcleo de Engenharia Clínica</v>
      </c>
      <c r="N1860" s="33" t="s">
        <v>42</v>
      </c>
      <c r="Q1860" s="33" t="s">
        <v>7095</v>
      </c>
    </row>
    <row r="1861" spans="1:17">
      <c r="A1861" s="33" t="s">
        <v>7192</v>
      </c>
      <c r="B1861" s="33" t="s">
        <v>7193</v>
      </c>
      <c r="C1861" s="33" t="s">
        <v>1891</v>
      </c>
      <c r="D1861" s="33" t="s">
        <v>14</v>
      </c>
      <c r="E1861" s="33" t="s">
        <v>7093</v>
      </c>
      <c r="G1861" s="33" t="s">
        <v>41</v>
      </c>
      <c r="H1861" s="33" t="s">
        <v>1993</v>
      </c>
      <c r="I1861" s="33" t="s">
        <v>1993</v>
      </c>
      <c r="J1861" s="33" t="s">
        <v>7194</v>
      </c>
      <c r="K1861" s="33" t="s">
        <v>6611</v>
      </c>
      <c r="L1861" s="33" t="s">
        <v>2769</v>
      </c>
      <c r="M1861" s="33" t="str">
        <f>_xlfn.XLOOKUP(Tabela14[[#This Row],[Responsável]],Organograma!H:H,Organograma!G:G,"")</f>
        <v>SUP - Suprimentos</v>
      </c>
      <c r="N1861" s="33" t="s">
        <v>42</v>
      </c>
      <c r="Q1861" s="33" t="s">
        <v>7095</v>
      </c>
    </row>
    <row r="1862" spans="1:17">
      <c r="A1862" s="33" t="s">
        <v>7195</v>
      </c>
      <c r="B1862" s="33" t="s">
        <v>7196</v>
      </c>
      <c r="C1862" s="33" t="s">
        <v>1891</v>
      </c>
      <c r="D1862" s="33" t="s">
        <v>41</v>
      </c>
      <c r="E1862" s="33" t="s">
        <v>3976</v>
      </c>
      <c r="G1862" s="33" t="s">
        <v>41</v>
      </c>
      <c r="H1862" s="33" t="s">
        <v>1993</v>
      </c>
      <c r="I1862" s="33" t="s">
        <v>1993</v>
      </c>
      <c r="J1862" s="33" t="s">
        <v>7197</v>
      </c>
      <c r="K1862" s="33" t="s">
        <v>6898</v>
      </c>
      <c r="L1862" s="33" t="s">
        <v>2685</v>
      </c>
      <c r="M1862" s="33" t="s">
        <v>9344</v>
      </c>
      <c r="N1862" s="33" t="s">
        <v>42</v>
      </c>
      <c r="Q1862" s="33" t="s">
        <v>7095</v>
      </c>
    </row>
    <row r="1863" spans="1:17" hidden="1">
      <c r="A1863" s="33" t="s">
        <v>7198</v>
      </c>
      <c r="B1863" s="33" t="s">
        <v>7199</v>
      </c>
      <c r="C1863" s="33" t="s">
        <v>1891</v>
      </c>
      <c r="D1863" s="33" t="s">
        <v>81</v>
      </c>
      <c r="E1863" s="33" t="s">
        <v>6609</v>
      </c>
      <c r="G1863" s="33" t="s">
        <v>41</v>
      </c>
      <c r="H1863" s="33" t="s">
        <v>1993</v>
      </c>
      <c r="I1863" s="33" t="s">
        <v>1993</v>
      </c>
      <c r="J1863" s="33" t="s">
        <v>7200</v>
      </c>
      <c r="K1863" s="33" t="s">
        <v>6611</v>
      </c>
      <c r="L1863" s="33" t="s">
        <v>1993</v>
      </c>
      <c r="M1863" s="33" t="str">
        <f>_xlfn.XLOOKUP(Tabela14[[#This Row],[Responsável]],Organograma!H:H,Organograma!G:G,"")</f>
        <v>CPN - Centro de Parto Normal</v>
      </c>
      <c r="N1863" s="33" t="s">
        <v>42</v>
      </c>
      <c r="Q1863" s="33" t="s">
        <v>7095</v>
      </c>
    </row>
    <row r="1864" spans="1:17" hidden="1">
      <c r="A1864" s="33" t="s">
        <v>7201</v>
      </c>
      <c r="B1864" s="33" t="s">
        <v>7202</v>
      </c>
      <c r="C1864" s="33" t="s">
        <v>1891</v>
      </c>
      <c r="D1864" s="33" t="s">
        <v>81</v>
      </c>
      <c r="E1864" s="33" t="s">
        <v>6609</v>
      </c>
      <c r="G1864" s="33" t="s">
        <v>41</v>
      </c>
      <c r="H1864" s="33" t="s">
        <v>1993</v>
      </c>
      <c r="I1864" s="33" t="s">
        <v>1993</v>
      </c>
      <c r="J1864" s="33" t="s">
        <v>7203</v>
      </c>
      <c r="K1864" s="33" t="s">
        <v>6611</v>
      </c>
      <c r="L1864" s="33" t="s">
        <v>1993</v>
      </c>
      <c r="M1864" s="33" t="str">
        <f>_xlfn.XLOOKUP(Tabela14[[#This Row],[Responsável]],Organograma!H:H,Organograma!G:G,"")</f>
        <v>CPN - Centro de Parto Normal</v>
      </c>
      <c r="N1864" s="33" t="s">
        <v>42</v>
      </c>
      <c r="Q1864" s="33" t="s">
        <v>7095</v>
      </c>
    </row>
    <row r="1865" spans="1:17" hidden="1">
      <c r="A1865" s="33" t="s">
        <v>7204</v>
      </c>
      <c r="B1865" s="33" t="s">
        <v>7205</v>
      </c>
      <c r="C1865" s="33" t="s">
        <v>1891</v>
      </c>
      <c r="D1865" s="33" t="s">
        <v>81</v>
      </c>
      <c r="E1865" s="33" t="s">
        <v>6609</v>
      </c>
      <c r="G1865" s="33" t="s">
        <v>41</v>
      </c>
      <c r="H1865" s="33" t="s">
        <v>2016</v>
      </c>
      <c r="I1865" s="33" t="s">
        <v>2016</v>
      </c>
      <c r="J1865" s="33" t="s">
        <v>7206</v>
      </c>
      <c r="K1865" s="33" t="s">
        <v>6611</v>
      </c>
      <c r="L1865" s="33" t="s">
        <v>2016</v>
      </c>
      <c r="M1865" s="33" t="str">
        <f>_xlfn.XLOOKUP(Tabela14[[#This Row],[Responsável]],Organograma!H:H,Organograma!G:G,"")</f>
        <v>CPN - Centro de Parto Normal</v>
      </c>
      <c r="N1865" s="33" t="s">
        <v>42</v>
      </c>
      <c r="Q1865" s="33" t="s">
        <v>7095</v>
      </c>
    </row>
    <row r="1866" spans="1:17">
      <c r="A1866" s="33" t="s">
        <v>7207</v>
      </c>
      <c r="B1866" s="33" t="s">
        <v>7208</v>
      </c>
      <c r="C1866" s="33" t="s">
        <v>1891</v>
      </c>
      <c r="D1866" s="33" t="s">
        <v>41</v>
      </c>
      <c r="E1866" s="33" t="s">
        <v>935</v>
      </c>
      <c r="G1866" s="33" t="s">
        <v>41</v>
      </c>
      <c r="H1866" s="33" t="s">
        <v>2016</v>
      </c>
      <c r="I1866" s="33" t="s">
        <v>2016</v>
      </c>
      <c r="J1866" s="33" t="s">
        <v>7209</v>
      </c>
      <c r="K1866" s="33" t="s">
        <v>6898</v>
      </c>
      <c r="L1866" s="33" t="s">
        <v>2685</v>
      </c>
      <c r="M1866" s="33" t="s">
        <v>91</v>
      </c>
      <c r="N1866" s="33" t="s">
        <v>42</v>
      </c>
      <c r="Q1866" s="33" t="s">
        <v>7095</v>
      </c>
    </row>
    <row r="1867" spans="1:17" hidden="1">
      <c r="A1867" s="33" t="s">
        <v>8826</v>
      </c>
      <c r="B1867" s="33" t="s">
        <v>8827</v>
      </c>
      <c r="C1867" s="33" t="s">
        <v>1891</v>
      </c>
      <c r="D1867" s="33" t="s">
        <v>6684</v>
      </c>
      <c r="E1867" s="33" t="s">
        <v>6609</v>
      </c>
      <c r="G1867" s="33" t="s">
        <v>41</v>
      </c>
      <c r="H1867" s="33" t="s">
        <v>3211</v>
      </c>
      <c r="I1867" s="33" t="s">
        <v>3211</v>
      </c>
      <c r="J1867" s="33" t="s">
        <v>8828</v>
      </c>
      <c r="K1867" s="33" t="s">
        <v>6611</v>
      </c>
      <c r="L1867" s="33" t="s">
        <v>3211</v>
      </c>
      <c r="M1867" s="33" t="s">
        <v>1402</v>
      </c>
      <c r="N1867" s="33" t="s">
        <v>42</v>
      </c>
      <c r="Q1867" s="33" t="s">
        <v>8143</v>
      </c>
    </row>
    <row r="1868" spans="1:17">
      <c r="A1868" s="33" t="s">
        <v>7214</v>
      </c>
      <c r="B1868" s="33" t="s">
        <v>7215</v>
      </c>
      <c r="C1868" s="33" t="s">
        <v>1891</v>
      </c>
      <c r="D1868" s="33" t="s">
        <v>41</v>
      </c>
      <c r="E1868" s="33" t="s">
        <v>935</v>
      </c>
      <c r="G1868" s="33" t="s">
        <v>41</v>
      </c>
      <c r="H1868" s="33" t="s">
        <v>2016</v>
      </c>
      <c r="I1868" s="33" t="s">
        <v>2016</v>
      </c>
      <c r="J1868" s="33" t="s">
        <v>7216</v>
      </c>
      <c r="K1868" s="33" t="s">
        <v>6898</v>
      </c>
      <c r="L1868" s="33" t="s">
        <v>2685</v>
      </c>
      <c r="M1868" s="33" t="s">
        <v>91</v>
      </c>
      <c r="N1868" s="33" t="s">
        <v>42</v>
      </c>
      <c r="Q1868" s="33" t="s">
        <v>7095</v>
      </c>
    </row>
    <row r="1869" spans="1:17">
      <c r="A1869" s="33" t="s">
        <v>7217</v>
      </c>
      <c r="B1869" s="33" t="s">
        <v>7218</v>
      </c>
      <c r="C1869" s="33" t="s">
        <v>1891</v>
      </c>
      <c r="D1869" s="33" t="s">
        <v>41</v>
      </c>
      <c r="E1869" s="33" t="s">
        <v>935</v>
      </c>
      <c r="G1869" s="33" t="s">
        <v>41</v>
      </c>
      <c r="H1869" s="33" t="s">
        <v>2016</v>
      </c>
      <c r="I1869" s="33" t="s">
        <v>2016</v>
      </c>
      <c r="J1869" s="33" t="s">
        <v>7219</v>
      </c>
      <c r="K1869" s="33" t="s">
        <v>6898</v>
      </c>
      <c r="L1869" s="33" t="s">
        <v>2685</v>
      </c>
      <c r="M1869" s="33" t="s">
        <v>91</v>
      </c>
      <c r="N1869" s="33" t="s">
        <v>42</v>
      </c>
      <c r="Q1869" s="33" t="s">
        <v>7095</v>
      </c>
    </row>
    <row r="1870" spans="1:17">
      <c r="A1870" s="33" t="s">
        <v>7220</v>
      </c>
      <c r="B1870" s="33" t="s">
        <v>7221</v>
      </c>
      <c r="C1870" s="33" t="s">
        <v>1891</v>
      </c>
      <c r="D1870" s="33" t="s">
        <v>41</v>
      </c>
      <c r="E1870" s="33" t="s">
        <v>935</v>
      </c>
      <c r="G1870" s="33" t="s">
        <v>41</v>
      </c>
      <c r="H1870" s="33" t="s">
        <v>2016</v>
      </c>
      <c r="I1870" s="33" t="s">
        <v>2016</v>
      </c>
      <c r="J1870" s="33" t="s">
        <v>7222</v>
      </c>
      <c r="K1870" s="33" t="s">
        <v>6898</v>
      </c>
      <c r="L1870" s="33" t="s">
        <v>2685</v>
      </c>
      <c r="M1870" s="33" t="s">
        <v>91</v>
      </c>
      <c r="N1870" s="33" t="s">
        <v>42</v>
      </c>
      <c r="Q1870" s="33" t="s">
        <v>7095</v>
      </c>
    </row>
    <row r="1871" spans="1:17">
      <c r="A1871" s="33" t="s">
        <v>7223</v>
      </c>
      <c r="B1871" s="33" t="s">
        <v>7224</v>
      </c>
      <c r="C1871" s="33" t="s">
        <v>1891</v>
      </c>
      <c r="D1871" s="33" t="s">
        <v>41</v>
      </c>
      <c r="E1871" s="33" t="s">
        <v>935</v>
      </c>
      <c r="G1871" s="33" t="s">
        <v>41</v>
      </c>
      <c r="H1871" s="33" t="s">
        <v>2016</v>
      </c>
      <c r="I1871" s="33" t="s">
        <v>2016</v>
      </c>
      <c r="J1871" s="33" t="s">
        <v>7225</v>
      </c>
      <c r="K1871" s="33" t="s">
        <v>6898</v>
      </c>
      <c r="L1871" s="33" t="s">
        <v>2685</v>
      </c>
      <c r="M1871" s="33" t="s">
        <v>91</v>
      </c>
      <c r="N1871" s="33" t="s">
        <v>42</v>
      </c>
      <c r="Q1871" s="33" t="s">
        <v>7095</v>
      </c>
    </row>
    <row r="1872" spans="1:17">
      <c r="A1872" s="33" t="s">
        <v>7226</v>
      </c>
      <c r="B1872" s="33" t="s">
        <v>7227</v>
      </c>
      <c r="C1872" s="33" t="s">
        <v>1891</v>
      </c>
      <c r="D1872" s="33" t="s">
        <v>41</v>
      </c>
      <c r="E1872" s="33" t="s">
        <v>935</v>
      </c>
      <c r="G1872" s="33" t="s">
        <v>41</v>
      </c>
      <c r="H1872" s="33" t="s">
        <v>2016</v>
      </c>
      <c r="I1872" s="33" t="s">
        <v>2016</v>
      </c>
      <c r="J1872" s="33" t="s">
        <v>7228</v>
      </c>
      <c r="K1872" s="33" t="s">
        <v>6898</v>
      </c>
      <c r="L1872" s="33" t="s">
        <v>2685</v>
      </c>
      <c r="M1872" s="33" t="s">
        <v>91</v>
      </c>
      <c r="N1872" s="33" t="s">
        <v>42</v>
      </c>
      <c r="Q1872" s="33" t="s">
        <v>7095</v>
      </c>
    </row>
    <row r="1873" spans="1:17" hidden="1">
      <c r="A1873" s="33" t="s">
        <v>7229</v>
      </c>
      <c r="B1873" s="33" t="s">
        <v>7230</v>
      </c>
      <c r="C1873" s="33" t="s">
        <v>1891</v>
      </c>
      <c r="D1873" s="33" t="s">
        <v>41</v>
      </c>
      <c r="E1873" s="33" t="s">
        <v>3857</v>
      </c>
      <c r="G1873" s="33" t="s">
        <v>2274</v>
      </c>
      <c r="H1873" s="33" t="s">
        <v>2016</v>
      </c>
      <c r="I1873" s="33" t="s">
        <v>2016</v>
      </c>
      <c r="J1873" s="33" t="s">
        <v>7231</v>
      </c>
      <c r="K1873" s="33" t="s">
        <v>3859</v>
      </c>
      <c r="L1873" s="33" t="s">
        <v>2685</v>
      </c>
      <c r="M1873" s="33" t="str">
        <f>_xlfn.XLOOKUP(Tabela14[[#This Row],[Responsável]],Organograma!H:H,Organograma!G:G,"")</f>
        <v>APGQ - Assessoria de Planejamento e Gestão da Qualidade</v>
      </c>
      <c r="Q1873" s="33" t="s">
        <v>7095</v>
      </c>
    </row>
    <row r="1874" spans="1:17">
      <c r="A1874" s="33" t="s">
        <v>7232</v>
      </c>
      <c r="B1874" s="33" t="s">
        <v>7233</v>
      </c>
      <c r="C1874" s="33" t="s">
        <v>1891</v>
      </c>
      <c r="D1874" s="33" t="s">
        <v>41</v>
      </c>
      <c r="E1874" s="33" t="s">
        <v>935</v>
      </c>
      <c r="G1874" s="33" t="s">
        <v>41</v>
      </c>
      <c r="H1874" s="33" t="s">
        <v>2016</v>
      </c>
      <c r="I1874" s="33" t="s">
        <v>2016</v>
      </c>
      <c r="J1874" s="33" t="s">
        <v>7234</v>
      </c>
      <c r="K1874" s="33" t="s">
        <v>6898</v>
      </c>
      <c r="L1874" s="33" t="s">
        <v>2685</v>
      </c>
      <c r="M1874" s="33" t="s">
        <v>91</v>
      </c>
      <c r="N1874" s="33" t="s">
        <v>42</v>
      </c>
      <c r="Q1874" s="33" t="s">
        <v>7095</v>
      </c>
    </row>
    <row r="1875" spans="1:17">
      <c r="A1875" s="33" t="s">
        <v>7235</v>
      </c>
      <c r="B1875" s="33" t="s">
        <v>7236</v>
      </c>
      <c r="C1875" s="33" t="s">
        <v>1891</v>
      </c>
      <c r="D1875" s="33" t="s">
        <v>41</v>
      </c>
      <c r="E1875" s="33" t="s">
        <v>935</v>
      </c>
      <c r="G1875" s="33" t="s">
        <v>41</v>
      </c>
      <c r="H1875" s="33" t="s">
        <v>2016</v>
      </c>
      <c r="I1875" s="33" t="s">
        <v>2016</v>
      </c>
      <c r="J1875" s="33" t="s">
        <v>7237</v>
      </c>
      <c r="K1875" s="33" t="s">
        <v>6898</v>
      </c>
      <c r="L1875" s="33" t="s">
        <v>2685</v>
      </c>
      <c r="M1875" s="33" t="s">
        <v>91</v>
      </c>
      <c r="N1875" s="33" t="s">
        <v>42</v>
      </c>
      <c r="Q1875" s="33" t="s">
        <v>7095</v>
      </c>
    </row>
    <row r="1876" spans="1:17">
      <c r="A1876" s="33" t="s">
        <v>7238</v>
      </c>
      <c r="B1876" s="33" t="s">
        <v>7239</v>
      </c>
      <c r="C1876" s="33" t="s">
        <v>1891</v>
      </c>
      <c r="D1876" s="33" t="s">
        <v>41</v>
      </c>
      <c r="E1876" s="33" t="s">
        <v>935</v>
      </c>
      <c r="G1876" s="33" t="s">
        <v>41</v>
      </c>
      <c r="H1876" s="33" t="s">
        <v>2016</v>
      </c>
      <c r="I1876" s="33" t="s">
        <v>2016</v>
      </c>
      <c r="J1876" s="33" t="s">
        <v>7240</v>
      </c>
      <c r="K1876" s="33" t="s">
        <v>6898</v>
      </c>
      <c r="L1876" s="33" t="s">
        <v>2685</v>
      </c>
      <c r="M1876" s="33" t="s">
        <v>91</v>
      </c>
      <c r="N1876" s="33" t="s">
        <v>42</v>
      </c>
      <c r="Q1876" s="33" t="s">
        <v>7095</v>
      </c>
    </row>
    <row r="1877" spans="1:17">
      <c r="A1877" s="33" t="s">
        <v>7241</v>
      </c>
      <c r="B1877" s="33" t="s">
        <v>7242</v>
      </c>
      <c r="C1877" s="33" t="s">
        <v>1891</v>
      </c>
      <c r="D1877" s="33" t="s">
        <v>41</v>
      </c>
      <c r="E1877" s="33" t="s">
        <v>935</v>
      </c>
      <c r="G1877" s="33" t="s">
        <v>41</v>
      </c>
      <c r="H1877" s="33" t="s">
        <v>2016</v>
      </c>
      <c r="I1877" s="33" t="s">
        <v>2016</v>
      </c>
      <c r="J1877" s="33" t="s">
        <v>7243</v>
      </c>
      <c r="K1877" s="33" t="s">
        <v>6898</v>
      </c>
      <c r="L1877" s="33" t="s">
        <v>2685</v>
      </c>
      <c r="M1877" s="33" t="s">
        <v>91</v>
      </c>
      <c r="N1877" s="33" t="s">
        <v>42</v>
      </c>
      <c r="Q1877" s="33" t="s">
        <v>7095</v>
      </c>
    </row>
    <row r="1878" spans="1:17" hidden="1">
      <c r="A1878" s="33" t="s">
        <v>7244</v>
      </c>
      <c r="B1878" s="33" t="s">
        <v>7245</v>
      </c>
      <c r="C1878" s="33" t="s">
        <v>1891</v>
      </c>
      <c r="D1878" s="33" t="s">
        <v>41</v>
      </c>
      <c r="E1878" s="33" t="s">
        <v>3857</v>
      </c>
      <c r="G1878" s="33" t="s">
        <v>2274</v>
      </c>
      <c r="H1878" s="33" t="s">
        <v>2016</v>
      </c>
      <c r="I1878" s="33" t="s">
        <v>2016</v>
      </c>
      <c r="J1878" s="33" t="s">
        <v>7246</v>
      </c>
      <c r="K1878" s="33" t="s">
        <v>3859</v>
      </c>
      <c r="L1878" s="33" t="s">
        <v>2685</v>
      </c>
      <c r="M1878" s="33" t="str">
        <f>_xlfn.XLOOKUP(Tabela14[[#This Row],[Responsável]],Organograma!H:H,Organograma!G:G,"")</f>
        <v>APGQ - Assessoria de Planejamento e Gestão da Qualidade</v>
      </c>
      <c r="Q1878" s="33" t="s">
        <v>7095</v>
      </c>
    </row>
    <row r="1879" spans="1:17" hidden="1">
      <c r="A1879" s="33" t="s">
        <v>8829</v>
      </c>
      <c r="B1879" s="33" t="s">
        <v>8830</v>
      </c>
      <c r="C1879" s="33" t="s">
        <v>1891</v>
      </c>
      <c r="D1879" s="33" t="s">
        <v>6684</v>
      </c>
      <c r="E1879" s="33" t="s">
        <v>6609</v>
      </c>
      <c r="G1879" s="33" t="s">
        <v>41</v>
      </c>
      <c r="H1879" s="33" t="s">
        <v>3211</v>
      </c>
      <c r="I1879" s="33" t="s">
        <v>3211</v>
      </c>
      <c r="J1879" s="33" t="s">
        <v>8831</v>
      </c>
      <c r="K1879" s="33" t="s">
        <v>6611</v>
      </c>
      <c r="L1879" s="33" t="s">
        <v>3211</v>
      </c>
      <c r="M1879" s="33" t="s">
        <v>1402</v>
      </c>
      <c r="N1879" s="33" t="s">
        <v>42</v>
      </c>
      <c r="Q1879" s="33" t="s">
        <v>8143</v>
      </c>
    </row>
    <row r="1880" spans="1:17" hidden="1">
      <c r="A1880" s="33" t="s">
        <v>8832</v>
      </c>
      <c r="B1880" s="33" t="s">
        <v>8833</v>
      </c>
      <c r="C1880" s="33" t="s">
        <v>1891</v>
      </c>
      <c r="D1880" s="33" t="s">
        <v>6684</v>
      </c>
      <c r="E1880" s="33" t="s">
        <v>6609</v>
      </c>
      <c r="G1880" s="33" t="s">
        <v>41</v>
      </c>
      <c r="H1880" s="33" t="s">
        <v>3211</v>
      </c>
      <c r="I1880" s="33" t="s">
        <v>3211</v>
      </c>
      <c r="J1880" s="33" t="s">
        <v>8834</v>
      </c>
      <c r="K1880" s="33" t="s">
        <v>6611</v>
      </c>
      <c r="L1880" s="33" t="s">
        <v>3211</v>
      </c>
      <c r="M1880" s="33" t="s">
        <v>1402</v>
      </c>
      <c r="N1880" s="33" t="s">
        <v>42</v>
      </c>
      <c r="Q1880" s="33" t="s">
        <v>8143</v>
      </c>
    </row>
    <row r="1881" spans="1:17">
      <c r="A1881" s="33" t="s">
        <v>7253</v>
      </c>
      <c r="B1881" s="33" t="s">
        <v>7254</v>
      </c>
      <c r="C1881" s="33" t="s">
        <v>1891</v>
      </c>
      <c r="D1881" s="33" t="s">
        <v>41</v>
      </c>
      <c r="E1881" s="33" t="s">
        <v>3976</v>
      </c>
      <c r="G1881" s="33" t="s">
        <v>41</v>
      </c>
      <c r="H1881" s="33" t="s">
        <v>1945</v>
      </c>
      <c r="I1881" s="33" t="s">
        <v>1945</v>
      </c>
      <c r="J1881" s="33" t="s">
        <v>7255</v>
      </c>
      <c r="K1881" s="33" t="s">
        <v>6898</v>
      </c>
      <c r="L1881" s="33" t="s">
        <v>2428</v>
      </c>
      <c r="M1881" s="33" t="s">
        <v>9344</v>
      </c>
      <c r="N1881" s="33" t="s">
        <v>42</v>
      </c>
      <c r="Q1881" s="33" t="s">
        <v>7095</v>
      </c>
    </row>
    <row r="1882" spans="1:17" hidden="1">
      <c r="A1882" s="33" t="s">
        <v>7256</v>
      </c>
      <c r="B1882" s="33" t="s">
        <v>7257</v>
      </c>
      <c r="C1882" s="33" t="s">
        <v>1891</v>
      </c>
      <c r="D1882" s="33" t="s">
        <v>83</v>
      </c>
      <c r="E1882" s="33" t="s">
        <v>6609</v>
      </c>
      <c r="G1882" s="33" t="s">
        <v>41</v>
      </c>
      <c r="H1882" s="33" t="s">
        <v>1945</v>
      </c>
      <c r="I1882" s="33" t="s">
        <v>1945</v>
      </c>
      <c r="J1882" s="33" t="s">
        <v>7258</v>
      </c>
      <c r="K1882" s="33" t="s">
        <v>6611</v>
      </c>
      <c r="L1882" s="33" t="s">
        <v>1945</v>
      </c>
      <c r="M1882" s="33" t="str">
        <f>_xlfn.XLOOKUP(Tabela14[[#This Row],[Responsável]],Organograma!H:H,Organograma!G:G,"")</f>
        <v>SS - Serviço Social</v>
      </c>
      <c r="N1882" s="33" t="s">
        <v>42</v>
      </c>
      <c r="Q1882" s="33" t="s">
        <v>7095</v>
      </c>
    </row>
    <row r="1883" spans="1:17" hidden="1">
      <c r="A1883" s="33" t="s">
        <v>7259</v>
      </c>
      <c r="B1883" s="33" t="s">
        <v>7260</v>
      </c>
      <c r="C1883" s="33" t="s">
        <v>1891</v>
      </c>
      <c r="D1883" s="33" t="s">
        <v>21</v>
      </c>
      <c r="E1883" s="33" t="s">
        <v>6609</v>
      </c>
      <c r="G1883" s="33" t="s">
        <v>41</v>
      </c>
      <c r="H1883" s="33" t="s">
        <v>1945</v>
      </c>
      <c r="I1883" s="33" t="s">
        <v>1945</v>
      </c>
      <c r="J1883" s="33" t="s">
        <v>7261</v>
      </c>
      <c r="K1883" s="33" t="s">
        <v>6611</v>
      </c>
      <c r="L1883" s="33" t="s">
        <v>1945</v>
      </c>
      <c r="M1883" s="33" t="str">
        <f>_xlfn.XLOOKUP(Tabela14[[#This Row],[Responsável]],Organograma!H:H,Organograma!G:G,"")</f>
        <v>DAF - Diretoria Administrativa/Financeira</v>
      </c>
      <c r="N1883" s="33" t="s">
        <v>42</v>
      </c>
      <c r="Q1883" s="33" t="s">
        <v>7095</v>
      </c>
    </row>
    <row r="1884" spans="1:17">
      <c r="A1884" s="33" t="s">
        <v>7262</v>
      </c>
      <c r="B1884" s="33" t="s">
        <v>7263</v>
      </c>
      <c r="C1884" s="33" t="s">
        <v>1891</v>
      </c>
      <c r="D1884" s="33" t="s">
        <v>41</v>
      </c>
      <c r="E1884" s="33" t="s">
        <v>6689</v>
      </c>
      <c r="G1884" s="33" t="s">
        <v>41</v>
      </c>
      <c r="H1884" s="33" t="s">
        <v>1945</v>
      </c>
      <c r="I1884" s="33" t="s">
        <v>1945</v>
      </c>
      <c r="J1884" s="33" t="s">
        <v>7264</v>
      </c>
      <c r="K1884" s="33" t="s">
        <v>3859</v>
      </c>
      <c r="L1884" s="33" t="s">
        <v>3564</v>
      </c>
      <c r="M1884" s="33" t="s">
        <v>9344</v>
      </c>
      <c r="N1884" s="33" t="s">
        <v>42</v>
      </c>
      <c r="Q1884" s="33" t="s">
        <v>7095</v>
      </c>
    </row>
    <row r="1885" spans="1:17" hidden="1">
      <c r="A1885" s="33" t="s">
        <v>7265</v>
      </c>
      <c r="B1885" s="33" t="s">
        <v>7266</v>
      </c>
      <c r="C1885" s="33" t="s">
        <v>1891</v>
      </c>
      <c r="D1885" s="33" t="s">
        <v>14</v>
      </c>
      <c r="E1885" s="33" t="s">
        <v>6600</v>
      </c>
      <c r="G1885" s="33" t="s">
        <v>41</v>
      </c>
      <c r="H1885" s="33" t="s">
        <v>1945</v>
      </c>
      <c r="I1885" s="33" t="s">
        <v>1945</v>
      </c>
      <c r="J1885" s="33" t="s">
        <v>7267</v>
      </c>
      <c r="K1885" s="33" t="s">
        <v>6602</v>
      </c>
      <c r="L1885" s="33" t="s">
        <v>3500</v>
      </c>
      <c r="M1885" s="33" t="str">
        <f>_xlfn.XLOOKUP(Tabela14[[#This Row],[Responsável]],Organograma!H:H,Organograma!G:G,"")</f>
        <v>SUP - Suprimentos</v>
      </c>
      <c r="N1885" s="33" t="s">
        <v>42</v>
      </c>
      <c r="Q1885" s="33" t="s">
        <v>7095</v>
      </c>
    </row>
    <row r="1886" spans="1:17" hidden="1">
      <c r="A1886" s="33" t="s">
        <v>7268</v>
      </c>
      <c r="B1886" s="33" t="s">
        <v>7269</v>
      </c>
      <c r="C1886" s="33" t="s">
        <v>1891</v>
      </c>
      <c r="D1886" s="33" t="s">
        <v>21</v>
      </c>
      <c r="E1886" s="33" t="s">
        <v>6609</v>
      </c>
      <c r="G1886" s="33" t="s">
        <v>41</v>
      </c>
      <c r="H1886" s="33" t="s">
        <v>1945</v>
      </c>
      <c r="I1886" s="33" t="s">
        <v>1945</v>
      </c>
      <c r="J1886" s="33" t="s">
        <v>7270</v>
      </c>
      <c r="K1886" s="33" t="s">
        <v>6611</v>
      </c>
      <c r="L1886" s="33" t="s">
        <v>1945</v>
      </c>
      <c r="M1886" s="33" t="str">
        <f>_xlfn.XLOOKUP(Tabela14[[#This Row],[Responsável]],Organograma!H:H,Organograma!G:G,"")</f>
        <v>DAF - Diretoria Administrativa/Financeira</v>
      </c>
      <c r="N1886" s="33" t="s">
        <v>42</v>
      </c>
      <c r="Q1886" s="33" t="s">
        <v>7095</v>
      </c>
    </row>
    <row r="1887" spans="1:17">
      <c r="A1887" s="33" t="s">
        <v>7271</v>
      </c>
      <c r="B1887" s="33" t="s">
        <v>7272</v>
      </c>
      <c r="C1887" s="33" t="s">
        <v>1891</v>
      </c>
      <c r="D1887" s="33" t="s">
        <v>26</v>
      </c>
      <c r="E1887" s="33" t="s">
        <v>7018</v>
      </c>
      <c r="G1887" s="33" t="s">
        <v>41</v>
      </c>
      <c r="H1887" s="33" t="s">
        <v>1945</v>
      </c>
      <c r="I1887" s="33" t="s">
        <v>1945</v>
      </c>
      <c r="J1887" s="33" t="s">
        <v>7273</v>
      </c>
      <c r="K1887" s="33" t="s">
        <v>6737</v>
      </c>
      <c r="L1887" s="33" t="s">
        <v>2541</v>
      </c>
      <c r="M1887" s="33" t="str">
        <f>_xlfn.XLOOKUP(Tabela14[[#This Row],[Responsável]],Organograma!H:H,Organograma!G:G,"")</f>
        <v>SRFP - Setor de Registro e Folha de Ponto</v>
      </c>
      <c r="N1887" s="33" t="s">
        <v>42</v>
      </c>
      <c r="Q1887" s="33" t="s">
        <v>7095</v>
      </c>
    </row>
    <row r="1888" spans="1:17">
      <c r="A1888" s="33" t="s">
        <v>7274</v>
      </c>
      <c r="B1888" s="33" t="s">
        <v>7275</v>
      </c>
      <c r="C1888" s="33" t="s">
        <v>1891</v>
      </c>
      <c r="D1888" s="33" t="s">
        <v>41</v>
      </c>
      <c r="E1888" s="33" t="s">
        <v>3976</v>
      </c>
      <c r="G1888" s="33" t="s">
        <v>41</v>
      </c>
      <c r="H1888" s="33" t="s">
        <v>1945</v>
      </c>
      <c r="I1888" s="33" t="s">
        <v>1945</v>
      </c>
      <c r="J1888" s="33" t="s">
        <v>7276</v>
      </c>
      <c r="K1888" s="33" t="s">
        <v>6898</v>
      </c>
      <c r="L1888" s="33" t="s">
        <v>2000</v>
      </c>
      <c r="M1888" s="33" t="s">
        <v>9344</v>
      </c>
      <c r="N1888" s="33" t="s">
        <v>42</v>
      </c>
      <c r="Q1888" s="33" t="s">
        <v>7095</v>
      </c>
    </row>
    <row r="1889" spans="1:17" hidden="1">
      <c r="A1889" s="33" t="s">
        <v>7277</v>
      </c>
      <c r="B1889" s="33" t="s">
        <v>7278</v>
      </c>
      <c r="C1889" s="33" t="s">
        <v>1891</v>
      </c>
      <c r="D1889" s="33" t="s">
        <v>41</v>
      </c>
      <c r="E1889" s="33" t="s">
        <v>3857</v>
      </c>
      <c r="G1889" s="33" t="s">
        <v>41</v>
      </c>
      <c r="H1889" s="33" t="s">
        <v>1945</v>
      </c>
      <c r="I1889" s="33" t="s">
        <v>1945</v>
      </c>
      <c r="J1889" s="33" t="s">
        <v>7279</v>
      </c>
      <c r="K1889" s="33" t="s">
        <v>3859</v>
      </c>
      <c r="L1889" s="33" t="s">
        <v>1945</v>
      </c>
      <c r="M1889" s="33" t="s">
        <v>9344</v>
      </c>
      <c r="N1889" s="33" t="s">
        <v>42</v>
      </c>
      <c r="Q1889" s="33" t="s">
        <v>7095</v>
      </c>
    </row>
    <row r="1890" spans="1:17" hidden="1">
      <c r="A1890" s="33" t="s">
        <v>7280</v>
      </c>
      <c r="B1890" s="33" t="s">
        <v>7281</v>
      </c>
      <c r="C1890" s="33" t="s">
        <v>1891</v>
      </c>
      <c r="D1890" s="33" t="s">
        <v>10</v>
      </c>
      <c r="E1890" s="33" t="s">
        <v>6609</v>
      </c>
      <c r="G1890" s="33" t="s">
        <v>41</v>
      </c>
      <c r="H1890" s="33" t="s">
        <v>1945</v>
      </c>
      <c r="I1890" s="33" t="s">
        <v>1945</v>
      </c>
      <c r="J1890" s="33" t="s">
        <v>7282</v>
      </c>
      <c r="K1890" s="33" t="s">
        <v>6611</v>
      </c>
      <c r="L1890" s="33" t="s">
        <v>1945</v>
      </c>
      <c r="M1890" s="33" t="str">
        <f>_xlfn.XLOOKUP(Tabela14[[#This Row],[Responsável]],Organograma!H:H,Organograma!G:G,"")</f>
        <v>ENG - Núcleo de Engenharia Clínica</v>
      </c>
      <c r="N1890" s="33" t="s">
        <v>42</v>
      </c>
      <c r="Q1890" s="33" t="s">
        <v>7095</v>
      </c>
    </row>
    <row r="1891" spans="1:17" hidden="1">
      <c r="A1891" s="33" t="s">
        <v>7283</v>
      </c>
      <c r="B1891" s="33" t="s">
        <v>7284</v>
      </c>
      <c r="C1891" s="33" t="s">
        <v>1891</v>
      </c>
      <c r="D1891" s="33" t="s">
        <v>21</v>
      </c>
      <c r="E1891" s="33" t="s">
        <v>6600</v>
      </c>
      <c r="G1891" s="33" t="s">
        <v>41</v>
      </c>
      <c r="H1891" s="33" t="s">
        <v>1945</v>
      </c>
      <c r="I1891" s="33" t="s">
        <v>1945</v>
      </c>
      <c r="J1891" s="33" t="s">
        <v>7285</v>
      </c>
      <c r="K1891" s="33" t="s">
        <v>6602</v>
      </c>
      <c r="L1891" s="33" t="s">
        <v>1875</v>
      </c>
      <c r="M1891" s="33" t="str">
        <f>_xlfn.XLOOKUP(Tabela14[[#This Row],[Responsável]],Organograma!H:H,Organograma!G:G,"")</f>
        <v>DAF - Diretoria Administrativa/Financeira</v>
      </c>
      <c r="N1891" s="33" t="s">
        <v>42</v>
      </c>
      <c r="Q1891" s="33" t="s">
        <v>7095</v>
      </c>
    </row>
    <row r="1892" spans="1:17" hidden="1">
      <c r="A1892" s="33" t="s">
        <v>7286</v>
      </c>
      <c r="B1892" s="33" t="s">
        <v>7287</v>
      </c>
      <c r="C1892" s="33" t="s">
        <v>1891</v>
      </c>
      <c r="D1892" s="33" t="s">
        <v>10</v>
      </c>
      <c r="E1892" s="33" t="s">
        <v>6609</v>
      </c>
      <c r="G1892" s="33" t="s">
        <v>41</v>
      </c>
      <c r="H1892" s="33" t="s">
        <v>1945</v>
      </c>
      <c r="I1892" s="33" t="s">
        <v>1945</v>
      </c>
      <c r="J1892" s="33" t="s">
        <v>7288</v>
      </c>
      <c r="K1892" s="33" t="s">
        <v>6611</v>
      </c>
      <c r="L1892" s="33" t="s">
        <v>1945</v>
      </c>
      <c r="M1892" s="33" t="str">
        <f>_xlfn.XLOOKUP(Tabela14[[#This Row],[Responsável]],Organograma!H:H,Organograma!G:G,"")</f>
        <v>ENG - Núcleo de Engenharia Clínica</v>
      </c>
      <c r="N1892" s="33" t="s">
        <v>42</v>
      </c>
      <c r="Q1892" s="33" t="s">
        <v>7095</v>
      </c>
    </row>
    <row r="1893" spans="1:17">
      <c r="A1893" s="33" t="s">
        <v>7289</v>
      </c>
      <c r="B1893" s="33" t="s">
        <v>7290</v>
      </c>
      <c r="C1893" s="33" t="s">
        <v>1891</v>
      </c>
      <c r="D1893" s="33" t="s">
        <v>41</v>
      </c>
      <c r="E1893" s="33" t="s">
        <v>3976</v>
      </c>
      <c r="G1893" s="33" t="s">
        <v>41</v>
      </c>
      <c r="H1893" s="33" t="s">
        <v>1945</v>
      </c>
      <c r="I1893" s="33" t="s">
        <v>1945</v>
      </c>
      <c r="J1893" s="33" t="s">
        <v>7291</v>
      </c>
      <c r="K1893" s="33" t="s">
        <v>6898</v>
      </c>
      <c r="L1893" s="33" t="s">
        <v>3452</v>
      </c>
      <c r="M1893" s="33" t="s">
        <v>196</v>
      </c>
      <c r="N1893" s="33" t="s">
        <v>42</v>
      </c>
      <c r="Q1893" s="33" t="s">
        <v>7095</v>
      </c>
    </row>
    <row r="1894" spans="1:17">
      <c r="A1894" s="33" t="s">
        <v>7292</v>
      </c>
      <c r="B1894" s="33" t="s">
        <v>7293</v>
      </c>
      <c r="C1894" s="33" t="s">
        <v>1891</v>
      </c>
      <c r="D1894" s="33" t="s">
        <v>41</v>
      </c>
      <c r="E1894" s="33" t="s">
        <v>3976</v>
      </c>
      <c r="G1894" s="33" t="s">
        <v>41</v>
      </c>
      <c r="H1894" s="33" t="s">
        <v>1945</v>
      </c>
      <c r="I1894" s="33" t="s">
        <v>1945</v>
      </c>
      <c r="J1894" s="33" t="s">
        <v>7294</v>
      </c>
      <c r="K1894" s="33" t="s">
        <v>6898</v>
      </c>
      <c r="L1894" s="33" t="s">
        <v>3452</v>
      </c>
      <c r="M1894" s="33" t="s">
        <v>196</v>
      </c>
      <c r="N1894" s="33" t="s">
        <v>42</v>
      </c>
      <c r="Q1894" s="33" t="s">
        <v>7095</v>
      </c>
    </row>
    <row r="1895" spans="1:17">
      <c r="A1895" s="33" t="s">
        <v>7295</v>
      </c>
      <c r="B1895" s="33" t="s">
        <v>7296</v>
      </c>
      <c r="C1895" s="33" t="s">
        <v>1891</v>
      </c>
      <c r="D1895" s="33" t="s">
        <v>41</v>
      </c>
      <c r="E1895" s="33" t="s">
        <v>935</v>
      </c>
      <c r="G1895" s="33" t="s">
        <v>41</v>
      </c>
      <c r="H1895" s="33" t="s">
        <v>1945</v>
      </c>
      <c r="I1895" s="33" t="s">
        <v>1945</v>
      </c>
      <c r="J1895" s="33" t="s">
        <v>7297</v>
      </c>
      <c r="K1895" s="33" t="s">
        <v>6898</v>
      </c>
      <c r="L1895" s="33" t="s">
        <v>3452</v>
      </c>
      <c r="M1895" s="33" t="s">
        <v>196</v>
      </c>
      <c r="N1895" s="33" t="s">
        <v>42</v>
      </c>
      <c r="Q1895" s="33" t="s">
        <v>7095</v>
      </c>
    </row>
    <row r="1896" spans="1:17">
      <c r="A1896" s="33" t="s">
        <v>7298</v>
      </c>
      <c r="B1896" s="33" t="s">
        <v>7299</v>
      </c>
      <c r="C1896" s="33" t="s">
        <v>1891</v>
      </c>
      <c r="D1896" s="33" t="s">
        <v>41</v>
      </c>
      <c r="E1896" s="33" t="s">
        <v>935</v>
      </c>
      <c r="G1896" s="33" t="s">
        <v>41</v>
      </c>
      <c r="H1896" s="33" t="s">
        <v>1945</v>
      </c>
      <c r="I1896" s="33" t="s">
        <v>1945</v>
      </c>
      <c r="J1896" s="33" t="s">
        <v>7300</v>
      </c>
      <c r="K1896" s="33" t="s">
        <v>6898</v>
      </c>
      <c r="L1896" s="33" t="s">
        <v>3436</v>
      </c>
      <c r="M1896" s="33" t="s">
        <v>69</v>
      </c>
      <c r="N1896" s="33" t="s">
        <v>42</v>
      </c>
      <c r="Q1896" s="33" t="s">
        <v>7095</v>
      </c>
    </row>
    <row r="1897" spans="1:17" hidden="1">
      <c r="A1897" s="33" t="s">
        <v>7301</v>
      </c>
      <c r="B1897" s="33" t="s">
        <v>7302</v>
      </c>
      <c r="C1897" s="33" t="s">
        <v>1891</v>
      </c>
      <c r="D1897" s="33" t="s">
        <v>57</v>
      </c>
      <c r="E1897" s="33" t="s">
        <v>6609</v>
      </c>
      <c r="G1897" s="33" t="s">
        <v>41</v>
      </c>
      <c r="H1897" s="33" t="s">
        <v>1945</v>
      </c>
      <c r="I1897" s="33" t="s">
        <v>1945</v>
      </c>
      <c r="J1897" s="33" t="s">
        <v>7303</v>
      </c>
      <c r="K1897" s="33" t="s">
        <v>6611</v>
      </c>
      <c r="L1897" s="33" t="s">
        <v>1206</v>
      </c>
      <c r="M1897" s="33" t="str">
        <f>_xlfn.XLOOKUP(Tabela14[[#This Row],[Responsável]],Organograma!H:H,Organograma!G:G,"")</f>
        <v>AMB - Unidade Ambulatorial</v>
      </c>
      <c r="N1897" s="33" t="s">
        <v>42</v>
      </c>
      <c r="Q1897" s="33" t="s">
        <v>7095</v>
      </c>
    </row>
    <row r="1898" spans="1:17" hidden="1">
      <c r="A1898" s="33" t="s">
        <v>7304</v>
      </c>
      <c r="B1898" s="33" t="s">
        <v>7305</v>
      </c>
      <c r="C1898" s="33" t="s">
        <v>1891</v>
      </c>
      <c r="D1898" s="33" t="s">
        <v>57</v>
      </c>
      <c r="E1898" s="33" t="s">
        <v>6609</v>
      </c>
      <c r="G1898" s="33" t="s">
        <v>41</v>
      </c>
      <c r="H1898" s="33" t="s">
        <v>1945</v>
      </c>
      <c r="I1898" s="33" t="s">
        <v>1945</v>
      </c>
      <c r="J1898" s="33" t="s">
        <v>7306</v>
      </c>
      <c r="K1898" s="33" t="s">
        <v>6611</v>
      </c>
      <c r="L1898" s="33" t="s">
        <v>1206</v>
      </c>
      <c r="M1898" s="33" t="str">
        <f>_xlfn.XLOOKUP(Tabela14[[#This Row],[Responsável]],Organograma!H:H,Organograma!G:G,"")</f>
        <v>AMB - Unidade Ambulatorial</v>
      </c>
      <c r="N1898" s="33" t="s">
        <v>42</v>
      </c>
      <c r="Q1898" s="33" t="s">
        <v>7095</v>
      </c>
    </row>
    <row r="1899" spans="1:17">
      <c r="A1899" s="33" t="s">
        <v>7307</v>
      </c>
      <c r="B1899" s="33" t="s">
        <v>7308</v>
      </c>
      <c r="C1899" s="33" t="s">
        <v>1891</v>
      </c>
      <c r="D1899" s="33" t="s">
        <v>41</v>
      </c>
      <c r="E1899" s="33" t="s">
        <v>3976</v>
      </c>
      <c r="G1899" s="33" t="s">
        <v>41</v>
      </c>
      <c r="H1899" s="33" t="s">
        <v>1945</v>
      </c>
      <c r="I1899" s="33" t="s">
        <v>1945</v>
      </c>
      <c r="J1899" s="33" t="s">
        <v>7309</v>
      </c>
      <c r="K1899" s="33" t="s">
        <v>6898</v>
      </c>
      <c r="L1899" s="33" t="s">
        <v>1881</v>
      </c>
      <c r="M1899" s="33" t="s">
        <v>69</v>
      </c>
      <c r="N1899" s="33" t="s">
        <v>42</v>
      </c>
      <c r="Q1899" s="33" t="s">
        <v>7095</v>
      </c>
    </row>
    <row r="1900" spans="1:17" hidden="1">
      <c r="A1900" s="33" t="s">
        <v>8904</v>
      </c>
      <c r="B1900" s="33" t="s">
        <v>8905</v>
      </c>
      <c r="C1900" s="33" t="s">
        <v>1891</v>
      </c>
      <c r="D1900" s="33" t="s">
        <v>6684</v>
      </c>
      <c r="E1900" s="33" t="s">
        <v>6609</v>
      </c>
      <c r="G1900" s="33" t="s">
        <v>41</v>
      </c>
      <c r="H1900" s="33" t="s">
        <v>2685</v>
      </c>
      <c r="I1900" s="33" t="s">
        <v>2685</v>
      </c>
      <c r="J1900" s="33" t="s">
        <v>8906</v>
      </c>
      <c r="K1900" s="33" t="s">
        <v>6611</v>
      </c>
      <c r="L1900" s="33" t="s">
        <v>2685</v>
      </c>
      <c r="M1900" s="33" t="s">
        <v>91</v>
      </c>
      <c r="N1900" s="33" t="s">
        <v>42</v>
      </c>
      <c r="Q1900" s="33" t="s">
        <v>8143</v>
      </c>
    </row>
    <row r="1901" spans="1:17">
      <c r="A1901" s="33" t="s">
        <v>7314</v>
      </c>
      <c r="B1901" s="33" t="s">
        <v>7315</v>
      </c>
      <c r="C1901" s="33" t="s">
        <v>1891</v>
      </c>
      <c r="D1901" s="33" t="s">
        <v>41</v>
      </c>
      <c r="E1901" s="33" t="s">
        <v>935</v>
      </c>
      <c r="G1901" s="33" t="s">
        <v>41</v>
      </c>
      <c r="H1901" s="33" t="s">
        <v>1945</v>
      </c>
      <c r="I1901" s="33" t="s">
        <v>1945</v>
      </c>
      <c r="J1901" s="33" t="s">
        <v>7316</v>
      </c>
      <c r="K1901" s="33" t="s">
        <v>6898</v>
      </c>
      <c r="L1901" s="33" t="s">
        <v>7317</v>
      </c>
      <c r="M1901" s="33" t="s">
        <v>69</v>
      </c>
      <c r="N1901" s="33" t="s">
        <v>42</v>
      </c>
      <c r="Q1901" s="33" t="s">
        <v>7095</v>
      </c>
    </row>
    <row r="1902" spans="1:17">
      <c r="A1902" s="33" t="s">
        <v>7318</v>
      </c>
      <c r="B1902" s="33" t="s">
        <v>7319</v>
      </c>
      <c r="C1902" s="33" t="s">
        <v>1891</v>
      </c>
      <c r="D1902" s="33" t="s">
        <v>41</v>
      </c>
      <c r="E1902" s="33" t="s">
        <v>935</v>
      </c>
      <c r="G1902" s="33" t="s">
        <v>41</v>
      </c>
      <c r="H1902" s="33" t="s">
        <v>1945</v>
      </c>
      <c r="I1902" s="33" t="s">
        <v>1945</v>
      </c>
      <c r="J1902" s="33" t="s">
        <v>7320</v>
      </c>
      <c r="K1902" s="33" t="s">
        <v>6898</v>
      </c>
      <c r="L1902" s="33" t="s">
        <v>2647</v>
      </c>
      <c r="M1902" s="33" t="s">
        <v>1402</v>
      </c>
      <c r="N1902" s="33" t="s">
        <v>42</v>
      </c>
      <c r="Q1902" s="33" t="s">
        <v>7095</v>
      </c>
    </row>
    <row r="1903" spans="1:17">
      <c r="A1903" s="33" t="s">
        <v>7321</v>
      </c>
      <c r="B1903" s="33" t="s">
        <v>7322</v>
      </c>
      <c r="C1903" s="33" t="s">
        <v>1891</v>
      </c>
      <c r="D1903" s="33" t="s">
        <v>41</v>
      </c>
      <c r="E1903" s="33" t="s">
        <v>935</v>
      </c>
      <c r="G1903" s="33" t="s">
        <v>41</v>
      </c>
      <c r="H1903" s="33" t="s">
        <v>1945</v>
      </c>
      <c r="I1903" s="33" t="s">
        <v>1945</v>
      </c>
      <c r="J1903" s="33" t="s">
        <v>7323</v>
      </c>
      <c r="K1903" s="33" t="s">
        <v>6898</v>
      </c>
      <c r="L1903" s="33" t="s">
        <v>2237</v>
      </c>
      <c r="M1903" s="33" t="s">
        <v>1402</v>
      </c>
      <c r="N1903" s="33" t="s">
        <v>42</v>
      </c>
      <c r="Q1903" s="33" t="s">
        <v>7095</v>
      </c>
    </row>
    <row r="1904" spans="1:17">
      <c r="A1904" s="33" t="s">
        <v>7324</v>
      </c>
      <c r="B1904" s="33" t="s">
        <v>7325</v>
      </c>
      <c r="C1904" s="33" t="s">
        <v>1891</v>
      </c>
      <c r="D1904" s="33" t="s">
        <v>41</v>
      </c>
      <c r="E1904" s="33" t="s">
        <v>935</v>
      </c>
      <c r="G1904" s="33" t="s">
        <v>41</v>
      </c>
      <c r="H1904" s="33" t="s">
        <v>1945</v>
      </c>
      <c r="I1904" s="33" t="s">
        <v>1945</v>
      </c>
      <c r="J1904" s="33" t="s">
        <v>7326</v>
      </c>
      <c r="K1904" s="33" t="s">
        <v>6898</v>
      </c>
      <c r="L1904" s="33" t="s">
        <v>2735</v>
      </c>
      <c r="M1904" s="33" t="s">
        <v>1402</v>
      </c>
      <c r="N1904" s="33" t="s">
        <v>42</v>
      </c>
      <c r="Q1904" s="33" t="s">
        <v>7095</v>
      </c>
    </row>
    <row r="1905" spans="1:17">
      <c r="A1905" s="33" t="s">
        <v>7327</v>
      </c>
      <c r="B1905" s="33" t="s">
        <v>7328</v>
      </c>
      <c r="C1905" s="33" t="s">
        <v>1891</v>
      </c>
      <c r="D1905" s="33" t="s">
        <v>41</v>
      </c>
      <c r="E1905" s="33" t="s">
        <v>935</v>
      </c>
      <c r="G1905" s="33" t="s">
        <v>41</v>
      </c>
      <c r="H1905" s="33" t="s">
        <v>1945</v>
      </c>
      <c r="I1905" s="33" t="s">
        <v>1945</v>
      </c>
      <c r="J1905" s="33" t="s">
        <v>7329</v>
      </c>
      <c r="K1905" s="33" t="s">
        <v>6898</v>
      </c>
      <c r="L1905" s="33" t="s">
        <v>2735</v>
      </c>
      <c r="M1905" s="33" t="s">
        <v>1402</v>
      </c>
      <c r="N1905" s="33" t="s">
        <v>42</v>
      </c>
      <c r="Q1905" s="33" t="s">
        <v>7095</v>
      </c>
    </row>
    <row r="1906" spans="1:17">
      <c r="A1906" s="33" t="s">
        <v>7330</v>
      </c>
      <c r="B1906" s="33" t="s">
        <v>7331</v>
      </c>
      <c r="C1906" s="33" t="s">
        <v>1891</v>
      </c>
      <c r="D1906" s="33" t="s">
        <v>41</v>
      </c>
      <c r="E1906" s="33" t="s">
        <v>935</v>
      </c>
      <c r="G1906" s="33" t="s">
        <v>41</v>
      </c>
      <c r="H1906" s="33" t="s">
        <v>1945</v>
      </c>
      <c r="I1906" s="33" t="s">
        <v>1945</v>
      </c>
      <c r="J1906" s="33" t="s">
        <v>7332</v>
      </c>
      <c r="K1906" s="33" t="s">
        <v>6898</v>
      </c>
      <c r="L1906" s="33" t="s">
        <v>3091</v>
      </c>
      <c r="M1906" s="33" t="s">
        <v>1402</v>
      </c>
      <c r="N1906" s="33" t="s">
        <v>42</v>
      </c>
      <c r="Q1906" s="33" t="s">
        <v>7095</v>
      </c>
    </row>
    <row r="1907" spans="1:17">
      <c r="A1907" s="33" t="s">
        <v>7333</v>
      </c>
      <c r="B1907" s="33" t="s">
        <v>7334</v>
      </c>
      <c r="C1907" s="33" t="s">
        <v>1891</v>
      </c>
      <c r="D1907" s="33" t="s">
        <v>41</v>
      </c>
      <c r="E1907" s="33" t="s">
        <v>935</v>
      </c>
      <c r="G1907" s="33" t="s">
        <v>41</v>
      </c>
      <c r="H1907" s="33" t="s">
        <v>1945</v>
      </c>
      <c r="I1907" s="33" t="s">
        <v>1945</v>
      </c>
      <c r="J1907" s="33" t="s">
        <v>7335</v>
      </c>
      <c r="K1907" s="33" t="s">
        <v>6898</v>
      </c>
      <c r="L1907" s="33" t="s">
        <v>2211</v>
      </c>
      <c r="M1907" s="33" t="s">
        <v>1402</v>
      </c>
      <c r="N1907" s="33" t="s">
        <v>42</v>
      </c>
      <c r="Q1907" s="33" t="s">
        <v>7095</v>
      </c>
    </row>
    <row r="1908" spans="1:17">
      <c r="A1908" s="33" t="s">
        <v>7336</v>
      </c>
      <c r="B1908" s="33" t="s">
        <v>7337</v>
      </c>
      <c r="C1908" s="33" t="s">
        <v>1891</v>
      </c>
      <c r="D1908" s="33" t="s">
        <v>41</v>
      </c>
      <c r="E1908" s="33" t="s">
        <v>935</v>
      </c>
      <c r="G1908" s="33" t="s">
        <v>41</v>
      </c>
      <c r="H1908" s="33" t="s">
        <v>1945</v>
      </c>
      <c r="I1908" s="33" t="s">
        <v>1945</v>
      </c>
      <c r="J1908" s="33" t="s">
        <v>7338</v>
      </c>
      <c r="K1908" s="33" t="s">
        <v>6898</v>
      </c>
      <c r="L1908" s="33" t="s">
        <v>2692</v>
      </c>
      <c r="M1908" s="33" t="s">
        <v>1402</v>
      </c>
      <c r="N1908" s="33" t="s">
        <v>42</v>
      </c>
      <c r="Q1908" s="33" t="s">
        <v>7095</v>
      </c>
    </row>
    <row r="1909" spans="1:17">
      <c r="A1909" s="33" t="s">
        <v>7339</v>
      </c>
      <c r="B1909" s="33" t="s">
        <v>7340</v>
      </c>
      <c r="C1909" s="33" t="s">
        <v>1891</v>
      </c>
      <c r="D1909" s="33" t="s">
        <v>41</v>
      </c>
      <c r="E1909" s="33" t="s">
        <v>3976</v>
      </c>
      <c r="G1909" s="33" t="s">
        <v>41</v>
      </c>
      <c r="H1909" s="33" t="s">
        <v>1945</v>
      </c>
      <c r="I1909" s="33" t="s">
        <v>1945</v>
      </c>
      <c r="J1909" s="33" t="s">
        <v>7341</v>
      </c>
      <c r="K1909" s="33" t="s">
        <v>6898</v>
      </c>
      <c r="L1909" s="33" t="s">
        <v>3246</v>
      </c>
      <c r="M1909" s="33" t="s">
        <v>1083</v>
      </c>
      <c r="N1909" s="33" t="s">
        <v>42</v>
      </c>
      <c r="Q1909" s="33" t="s">
        <v>7095</v>
      </c>
    </row>
    <row r="1910" spans="1:17">
      <c r="A1910" s="33" t="s">
        <v>7342</v>
      </c>
      <c r="B1910" s="33" t="s">
        <v>7343</v>
      </c>
      <c r="C1910" s="33" t="s">
        <v>1891</v>
      </c>
      <c r="D1910" s="33" t="s">
        <v>41</v>
      </c>
      <c r="E1910" s="33" t="s">
        <v>3976</v>
      </c>
      <c r="G1910" s="33" t="s">
        <v>41</v>
      </c>
      <c r="H1910" s="33" t="s">
        <v>1945</v>
      </c>
      <c r="I1910" s="33" t="s">
        <v>1945</v>
      </c>
      <c r="J1910" s="33" t="s">
        <v>7344</v>
      </c>
      <c r="K1910" s="33" t="s">
        <v>6898</v>
      </c>
      <c r="L1910" s="33" t="s">
        <v>3246</v>
      </c>
      <c r="M1910" s="33" t="s">
        <v>1083</v>
      </c>
      <c r="N1910" s="33" t="s">
        <v>42</v>
      </c>
      <c r="Q1910" s="33" t="s">
        <v>7095</v>
      </c>
    </row>
    <row r="1911" spans="1:17">
      <c r="A1911" s="33" t="s">
        <v>7345</v>
      </c>
      <c r="B1911" s="33" t="s">
        <v>7346</v>
      </c>
      <c r="C1911" s="33" t="s">
        <v>1891</v>
      </c>
      <c r="D1911" s="33" t="s">
        <v>41</v>
      </c>
      <c r="E1911" s="33" t="s">
        <v>3976</v>
      </c>
      <c r="G1911" s="33" t="s">
        <v>41</v>
      </c>
      <c r="H1911" s="33" t="s">
        <v>1945</v>
      </c>
      <c r="I1911" s="33" t="s">
        <v>1945</v>
      </c>
      <c r="J1911" s="33" t="s">
        <v>7347</v>
      </c>
      <c r="K1911" s="33" t="s">
        <v>6898</v>
      </c>
      <c r="L1911" s="33" t="s">
        <v>3246</v>
      </c>
      <c r="M1911" s="33" t="s">
        <v>1083</v>
      </c>
      <c r="N1911" s="33" t="s">
        <v>42</v>
      </c>
      <c r="Q1911" s="33" t="s">
        <v>7095</v>
      </c>
    </row>
    <row r="1912" spans="1:17">
      <c r="A1912" s="33" t="s">
        <v>7348</v>
      </c>
      <c r="B1912" s="33" t="s">
        <v>7349</v>
      </c>
      <c r="C1912" s="33" t="s">
        <v>1891</v>
      </c>
      <c r="D1912" s="33" t="s">
        <v>41</v>
      </c>
      <c r="E1912" s="33" t="s">
        <v>3976</v>
      </c>
      <c r="G1912" s="33" t="s">
        <v>41</v>
      </c>
      <c r="H1912" s="33" t="s">
        <v>1945</v>
      </c>
      <c r="I1912" s="33" t="s">
        <v>1945</v>
      </c>
      <c r="J1912" s="33" t="s">
        <v>7350</v>
      </c>
      <c r="K1912" s="33" t="s">
        <v>6898</v>
      </c>
      <c r="L1912" s="33" t="s">
        <v>3452</v>
      </c>
      <c r="M1912" s="33" t="s">
        <v>195</v>
      </c>
      <c r="N1912" s="33" t="s">
        <v>42</v>
      </c>
      <c r="Q1912" s="33" t="s">
        <v>7095</v>
      </c>
    </row>
    <row r="1913" spans="1:17">
      <c r="A1913" s="33" t="s">
        <v>7351</v>
      </c>
      <c r="B1913" s="33" t="s">
        <v>7352</v>
      </c>
      <c r="C1913" s="33" t="s">
        <v>1891</v>
      </c>
      <c r="D1913" s="33" t="s">
        <v>41</v>
      </c>
      <c r="E1913" s="33" t="s">
        <v>935</v>
      </c>
      <c r="G1913" s="33" t="s">
        <v>41</v>
      </c>
      <c r="H1913" s="33" t="s">
        <v>1945</v>
      </c>
      <c r="I1913" s="33" t="s">
        <v>1945</v>
      </c>
      <c r="J1913" s="33" t="s">
        <v>7353</v>
      </c>
      <c r="K1913" s="33" t="s">
        <v>6898</v>
      </c>
      <c r="L1913" s="33" t="s">
        <v>3452</v>
      </c>
      <c r="M1913" s="33" t="s">
        <v>195</v>
      </c>
      <c r="N1913" s="33" t="s">
        <v>42</v>
      </c>
      <c r="Q1913" s="33" t="s">
        <v>7095</v>
      </c>
    </row>
    <row r="1914" spans="1:17">
      <c r="A1914" s="33" t="s">
        <v>7354</v>
      </c>
      <c r="B1914" s="33" t="s">
        <v>7355</v>
      </c>
      <c r="C1914" s="33" t="s">
        <v>1891</v>
      </c>
      <c r="D1914" s="33" t="s">
        <v>41</v>
      </c>
      <c r="E1914" s="33" t="s">
        <v>935</v>
      </c>
      <c r="G1914" s="33" t="s">
        <v>41</v>
      </c>
      <c r="H1914" s="33" t="s">
        <v>1945</v>
      </c>
      <c r="I1914" s="33" t="s">
        <v>1945</v>
      </c>
      <c r="J1914" s="33" t="s">
        <v>7356</v>
      </c>
      <c r="K1914" s="33" t="s">
        <v>6898</v>
      </c>
      <c r="L1914" s="33" t="s">
        <v>3436</v>
      </c>
      <c r="M1914" s="33" t="s">
        <v>195</v>
      </c>
      <c r="N1914" s="33" t="s">
        <v>42</v>
      </c>
      <c r="Q1914" s="33" t="s">
        <v>7095</v>
      </c>
    </row>
    <row r="1915" spans="1:17">
      <c r="A1915" s="33" t="s">
        <v>7357</v>
      </c>
      <c r="B1915" s="33" t="s">
        <v>7358</v>
      </c>
      <c r="C1915" s="33" t="s">
        <v>1891</v>
      </c>
      <c r="D1915" s="33" t="s">
        <v>41</v>
      </c>
      <c r="E1915" s="33" t="s">
        <v>935</v>
      </c>
      <c r="G1915" s="33" t="s">
        <v>41</v>
      </c>
      <c r="H1915" s="33" t="s">
        <v>1945</v>
      </c>
      <c r="I1915" s="33" t="s">
        <v>1945</v>
      </c>
      <c r="J1915" s="33" t="s">
        <v>7359</v>
      </c>
      <c r="K1915" s="33" t="s">
        <v>6898</v>
      </c>
      <c r="L1915" s="33" t="s">
        <v>3436</v>
      </c>
      <c r="M1915" s="33" t="s">
        <v>195</v>
      </c>
      <c r="N1915" s="33" t="s">
        <v>42</v>
      </c>
      <c r="Q1915" s="33" t="s">
        <v>7095</v>
      </c>
    </row>
    <row r="1916" spans="1:17">
      <c r="A1916" s="33" t="s">
        <v>7360</v>
      </c>
      <c r="B1916" s="33" t="s">
        <v>7361</v>
      </c>
      <c r="C1916" s="33" t="s">
        <v>1891</v>
      </c>
      <c r="D1916" s="33" t="s">
        <v>41</v>
      </c>
      <c r="E1916" s="33" t="s">
        <v>935</v>
      </c>
      <c r="G1916" s="33" t="s">
        <v>41</v>
      </c>
      <c r="H1916" s="33" t="s">
        <v>1945</v>
      </c>
      <c r="I1916" s="33" t="s">
        <v>1945</v>
      </c>
      <c r="J1916" s="33" t="s">
        <v>7362</v>
      </c>
      <c r="K1916" s="33" t="s">
        <v>6898</v>
      </c>
      <c r="L1916" s="33" t="s">
        <v>3318</v>
      </c>
      <c r="M1916" s="33" t="s">
        <v>92</v>
      </c>
      <c r="N1916" s="33" t="s">
        <v>42</v>
      </c>
      <c r="Q1916" s="33" t="s">
        <v>7095</v>
      </c>
    </row>
    <row r="1917" spans="1:17">
      <c r="A1917" s="33" t="s">
        <v>7363</v>
      </c>
      <c r="B1917" s="33" t="s">
        <v>7364</v>
      </c>
      <c r="C1917" s="33" t="s">
        <v>1891</v>
      </c>
      <c r="D1917" s="33" t="s">
        <v>41</v>
      </c>
      <c r="E1917" s="33" t="s">
        <v>935</v>
      </c>
      <c r="G1917" s="33" t="s">
        <v>41</v>
      </c>
      <c r="H1917" s="33" t="s">
        <v>1945</v>
      </c>
      <c r="I1917" s="33" t="s">
        <v>1945</v>
      </c>
      <c r="J1917" s="33" t="s">
        <v>7365</v>
      </c>
      <c r="K1917" s="33" t="s">
        <v>6898</v>
      </c>
      <c r="L1917" s="33" t="s">
        <v>3318</v>
      </c>
      <c r="M1917" s="33" t="s">
        <v>92</v>
      </c>
      <c r="N1917" s="33" t="s">
        <v>42</v>
      </c>
      <c r="Q1917" s="33" t="s">
        <v>7095</v>
      </c>
    </row>
    <row r="1918" spans="1:17">
      <c r="A1918" s="33" t="s">
        <v>7366</v>
      </c>
      <c r="B1918" s="33" t="s">
        <v>7367</v>
      </c>
      <c r="C1918" s="33" t="s">
        <v>1891</v>
      </c>
      <c r="D1918" s="33" t="s">
        <v>41</v>
      </c>
      <c r="E1918" s="33" t="s">
        <v>935</v>
      </c>
      <c r="G1918" s="33" t="s">
        <v>41</v>
      </c>
      <c r="H1918" s="33" t="s">
        <v>1945</v>
      </c>
      <c r="I1918" s="33" t="s">
        <v>1945</v>
      </c>
      <c r="J1918" s="33" t="s">
        <v>7368</v>
      </c>
      <c r="K1918" s="33" t="s">
        <v>6898</v>
      </c>
      <c r="L1918" s="33" t="s">
        <v>3318</v>
      </c>
      <c r="M1918" s="33" t="s">
        <v>92</v>
      </c>
      <c r="N1918" s="33" t="s">
        <v>42</v>
      </c>
      <c r="Q1918" s="33" t="s">
        <v>7095</v>
      </c>
    </row>
    <row r="1919" spans="1:17">
      <c r="A1919" s="33" t="s">
        <v>7369</v>
      </c>
      <c r="B1919" s="33" t="s">
        <v>7370</v>
      </c>
      <c r="C1919" s="33" t="s">
        <v>1891</v>
      </c>
      <c r="D1919" s="33" t="s">
        <v>41</v>
      </c>
      <c r="E1919" s="33" t="s">
        <v>935</v>
      </c>
      <c r="G1919" s="33" t="s">
        <v>41</v>
      </c>
      <c r="H1919" s="33" t="s">
        <v>1945</v>
      </c>
      <c r="I1919" s="33" t="s">
        <v>1945</v>
      </c>
      <c r="J1919" s="33" t="s">
        <v>7371</v>
      </c>
      <c r="K1919" s="33" t="s">
        <v>6898</v>
      </c>
      <c r="L1919" s="33" t="s">
        <v>3318</v>
      </c>
      <c r="M1919" s="33" t="s">
        <v>92</v>
      </c>
      <c r="N1919" s="33" t="s">
        <v>42</v>
      </c>
      <c r="Q1919" s="33" t="s">
        <v>7095</v>
      </c>
    </row>
    <row r="1920" spans="1:17">
      <c r="A1920" s="33" t="s">
        <v>7372</v>
      </c>
      <c r="B1920" s="33" t="s">
        <v>7373</v>
      </c>
      <c r="C1920" s="33" t="s">
        <v>1891</v>
      </c>
      <c r="D1920" s="33" t="s">
        <v>41</v>
      </c>
      <c r="E1920" s="33" t="s">
        <v>935</v>
      </c>
      <c r="G1920" s="33" t="s">
        <v>41</v>
      </c>
      <c r="H1920" s="33" t="s">
        <v>1945</v>
      </c>
      <c r="I1920" s="33" t="s">
        <v>1945</v>
      </c>
      <c r="J1920" s="33" t="s">
        <v>7374</v>
      </c>
      <c r="K1920" s="33" t="s">
        <v>6898</v>
      </c>
      <c r="L1920" s="33" t="s">
        <v>3318</v>
      </c>
      <c r="M1920" s="33" t="s">
        <v>92</v>
      </c>
      <c r="N1920" s="33" t="s">
        <v>42</v>
      </c>
      <c r="Q1920" s="33" t="s">
        <v>7095</v>
      </c>
    </row>
    <row r="1921" spans="1:17">
      <c r="A1921" s="33" t="s">
        <v>7375</v>
      </c>
      <c r="B1921" s="33" t="s">
        <v>7376</v>
      </c>
      <c r="C1921" s="33" t="s">
        <v>1891</v>
      </c>
      <c r="D1921" s="33" t="s">
        <v>41</v>
      </c>
      <c r="E1921" s="33" t="s">
        <v>935</v>
      </c>
      <c r="G1921" s="33" t="s">
        <v>41</v>
      </c>
      <c r="H1921" s="33" t="s">
        <v>1945</v>
      </c>
      <c r="I1921" s="33" t="s">
        <v>1945</v>
      </c>
      <c r="J1921" s="33" t="s">
        <v>7377</v>
      </c>
      <c r="K1921" s="33" t="s">
        <v>6898</v>
      </c>
      <c r="L1921" s="33" t="s">
        <v>3318</v>
      </c>
      <c r="M1921" s="33" t="s">
        <v>92</v>
      </c>
      <c r="N1921" s="33" t="s">
        <v>42</v>
      </c>
      <c r="Q1921" s="33" t="s">
        <v>7095</v>
      </c>
    </row>
    <row r="1922" spans="1:17">
      <c r="A1922" s="33" t="s">
        <v>7378</v>
      </c>
      <c r="B1922" s="33" t="s">
        <v>7379</v>
      </c>
      <c r="C1922" s="33" t="s">
        <v>1891</v>
      </c>
      <c r="D1922" s="33" t="s">
        <v>41</v>
      </c>
      <c r="E1922" s="33" t="s">
        <v>935</v>
      </c>
      <c r="G1922" s="33" t="s">
        <v>41</v>
      </c>
      <c r="H1922" s="33" t="s">
        <v>1945</v>
      </c>
      <c r="I1922" s="33" t="s">
        <v>1945</v>
      </c>
      <c r="J1922" s="33" t="s">
        <v>7380</v>
      </c>
      <c r="K1922" s="33" t="s">
        <v>6898</v>
      </c>
      <c r="L1922" s="33" t="s">
        <v>3318</v>
      </c>
      <c r="M1922" s="33" t="s">
        <v>92</v>
      </c>
      <c r="N1922" s="33" t="s">
        <v>42</v>
      </c>
      <c r="Q1922" s="33" t="s">
        <v>7095</v>
      </c>
    </row>
    <row r="1923" spans="1:17">
      <c r="A1923" s="33" t="s">
        <v>7381</v>
      </c>
      <c r="B1923" s="33" t="s">
        <v>7382</v>
      </c>
      <c r="C1923" s="33" t="s">
        <v>1891</v>
      </c>
      <c r="D1923" s="33" t="s">
        <v>41</v>
      </c>
      <c r="E1923" s="33" t="s">
        <v>935</v>
      </c>
      <c r="G1923" s="33" t="s">
        <v>41</v>
      </c>
      <c r="H1923" s="33" t="s">
        <v>1945</v>
      </c>
      <c r="I1923" s="33" t="s">
        <v>1945</v>
      </c>
      <c r="J1923" s="33" t="s">
        <v>7383</v>
      </c>
      <c r="K1923" s="33" t="s">
        <v>6898</v>
      </c>
      <c r="L1923" s="33" t="s">
        <v>3318</v>
      </c>
      <c r="M1923" s="33" t="s">
        <v>92</v>
      </c>
      <c r="N1923" s="33" t="s">
        <v>42</v>
      </c>
      <c r="Q1923" s="33" t="s">
        <v>7095</v>
      </c>
    </row>
    <row r="1924" spans="1:17">
      <c r="A1924" s="33" t="s">
        <v>7384</v>
      </c>
      <c r="B1924" s="33" t="s">
        <v>7385</v>
      </c>
      <c r="C1924" s="33" t="s">
        <v>1785</v>
      </c>
      <c r="D1924" s="33" t="s">
        <v>3836</v>
      </c>
      <c r="E1924" s="33" t="s">
        <v>6689</v>
      </c>
      <c r="G1924" s="33" t="s">
        <v>3836</v>
      </c>
      <c r="H1924" s="33" t="s">
        <v>2420</v>
      </c>
      <c r="I1924" s="33" t="s">
        <v>2420</v>
      </c>
      <c r="J1924" s="33" t="s">
        <v>7386</v>
      </c>
      <c r="K1924" s="33" t="s">
        <v>3859</v>
      </c>
      <c r="L1924" s="33" t="s">
        <v>3436</v>
      </c>
      <c r="M1924" s="33" t="str">
        <f>_xlfn.XLOOKUP(Tabela14[[#This Row],[Responsável]],Organograma!H:H,Organograma!G:G,"")</f>
        <v/>
      </c>
      <c r="Q1924" s="33" t="s">
        <v>7095</v>
      </c>
    </row>
    <row r="1925" spans="1:17" hidden="1">
      <c r="A1925" s="33" t="s">
        <v>9129</v>
      </c>
      <c r="B1925" s="33" t="s">
        <v>9130</v>
      </c>
      <c r="C1925" s="33" t="s">
        <v>1891</v>
      </c>
      <c r="D1925" s="33" t="s">
        <v>6684</v>
      </c>
      <c r="E1925" s="33" t="s">
        <v>6609</v>
      </c>
      <c r="G1925" s="33" t="s">
        <v>41</v>
      </c>
      <c r="H1925" s="33" t="s">
        <v>3616</v>
      </c>
      <c r="I1925" s="33" t="s">
        <v>3616</v>
      </c>
      <c r="J1925" s="33" t="s">
        <v>9131</v>
      </c>
      <c r="K1925" s="33" t="s">
        <v>6611</v>
      </c>
      <c r="L1925" s="33" t="s">
        <v>3616</v>
      </c>
      <c r="M1925" s="33" t="s">
        <v>91</v>
      </c>
      <c r="N1925" s="33" t="s">
        <v>42</v>
      </c>
      <c r="Q1925" s="33" t="s">
        <v>8143</v>
      </c>
    </row>
    <row r="1926" spans="1:17">
      <c r="A1926" s="33" t="s">
        <v>7390</v>
      </c>
      <c r="B1926" s="33" t="s">
        <v>7391</v>
      </c>
      <c r="C1926" s="33" t="s">
        <v>3549</v>
      </c>
      <c r="D1926" s="33" t="s">
        <v>4068</v>
      </c>
      <c r="E1926" s="33" t="s">
        <v>6658</v>
      </c>
      <c r="G1926" s="33" t="s">
        <v>4068</v>
      </c>
      <c r="H1926" s="33" t="s">
        <v>2428</v>
      </c>
      <c r="I1926" s="33" t="s">
        <v>2428</v>
      </c>
      <c r="J1926" s="33" t="s">
        <v>7392</v>
      </c>
      <c r="K1926" s="33" t="s">
        <v>1791</v>
      </c>
      <c r="L1926" s="33" t="s">
        <v>3228</v>
      </c>
      <c r="M1926" s="33" t="str">
        <f>_xlfn.XLOOKUP(Tabela14[[#This Row],[Responsável]],Organograma!H:H,Organograma!G:G,"")</f>
        <v/>
      </c>
      <c r="Q1926" s="33" t="s">
        <v>7095</v>
      </c>
    </row>
    <row r="1927" spans="1:17">
      <c r="A1927" s="33" t="s">
        <v>7393</v>
      </c>
      <c r="B1927" s="33" t="s">
        <v>7394</v>
      </c>
      <c r="C1927" s="33" t="s">
        <v>6489</v>
      </c>
      <c r="D1927" s="33" t="s">
        <v>4068</v>
      </c>
      <c r="E1927" s="33" t="s">
        <v>6658</v>
      </c>
      <c r="G1927" s="33" t="s">
        <v>4068</v>
      </c>
      <c r="H1927" s="33" t="s">
        <v>2428</v>
      </c>
      <c r="I1927" s="33" t="s">
        <v>2428</v>
      </c>
      <c r="J1927" s="33" t="s">
        <v>7395</v>
      </c>
      <c r="K1927" s="33" t="s">
        <v>1791</v>
      </c>
      <c r="L1927" s="33" t="s">
        <v>3228</v>
      </c>
      <c r="M1927" s="33" t="str">
        <f>_xlfn.XLOOKUP(Tabela14[[#This Row],[Responsável]],Organograma!H:H,Organograma!G:G,"")</f>
        <v/>
      </c>
      <c r="Q1927" s="33" t="s">
        <v>7095</v>
      </c>
    </row>
    <row r="1928" spans="1:17" hidden="1">
      <c r="A1928" s="33" t="s">
        <v>7396</v>
      </c>
      <c r="B1928" s="33" t="s">
        <v>7397</v>
      </c>
      <c r="C1928" s="33" t="s">
        <v>6489</v>
      </c>
      <c r="D1928" s="33" t="s">
        <v>4068</v>
      </c>
      <c r="E1928" s="33" t="s">
        <v>1836</v>
      </c>
      <c r="G1928" s="33" t="s">
        <v>4068</v>
      </c>
      <c r="H1928" s="33" t="s">
        <v>2428</v>
      </c>
      <c r="I1928" s="33" t="s">
        <v>2428</v>
      </c>
      <c r="J1928" s="33" t="s">
        <v>7398</v>
      </c>
      <c r="K1928" s="33" t="s">
        <v>1791</v>
      </c>
      <c r="L1928" s="33" t="s">
        <v>3318</v>
      </c>
      <c r="M1928" s="33" t="str">
        <f>_xlfn.XLOOKUP(Tabela14[[#This Row],[Responsável]],Organograma!H:H,Organograma!G:G,"")</f>
        <v/>
      </c>
      <c r="Q1928" s="33" t="s">
        <v>7095</v>
      </c>
    </row>
    <row r="1929" spans="1:17">
      <c r="A1929" s="33" t="s">
        <v>7399</v>
      </c>
      <c r="B1929" s="33" t="s">
        <v>7400</v>
      </c>
      <c r="C1929" s="33" t="s">
        <v>6489</v>
      </c>
      <c r="D1929" s="33" t="s">
        <v>4068</v>
      </c>
      <c r="E1929" s="33" t="s">
        <v>3976</v>
      </c>
      <c r="G1929" s="33" t="s">
        <v>4068</v>
      </c>
      <c r="H1929" s="33" t="s">
        <v>2428</v>
      </c>
      <c r="I1929" s="33" t="s">
        <v>2428</v>
      </c>
      <c r="J1929" s="33" t="s">
        <v>7401</v>
      </c>
      <c r="K1929" s="33" t="s">
        <v>1791</v>
      </c>
      <c r="L1929" s="33" t="s">
        <v>3228</v>
      </c>
      <c r="M1929" s="33" t="str">
        <f>_xlfn.XLOOKUP(Tabela14[[#This Row],[Responsável]],Organograma!H:H,Organograma!G:G,"")</f>
        <v/>
      </c>
      <c r="Q1929" s="33" t="s">
        <v>7095</v>
      </c>
    </row>
    <row r="1930" spans="1:17">
      <c r="A1930" s="33" t="s">
        <v>7402</v>
      </c>
      <c r="B1930" s="33" t="s">
        <v>7403</v>
      </c>
      <c r="C1930" s="33" t="s">
        <v>3549</v>
      </c>
      <c r="D1930" s="33" t="s">
        <v>4068</v>
      </c>
      <c r="E1930" s="33" t="s">
        <v>6658</v>
      </c>
      <c r="G1930" s="33" t="s">
        <v>4068</v>
      </c>
      <c r="H1930" s="33" t="s">
        <v>2428</v>
      </c>
      <c r="I1930" s="33" t="s">
        <v>2428</v>
      </c>
      <c r="J1930" s="33" t="s">
        <v>7404</v>
      </c>
      <c r="K1930" s="33" t="s">
        <v>1791</v>
      </c>
      <c r="L1930" s="33" t="s">
        <v>3228</v>
      </c>
      <c r="M1930" s="33" t="str">
        <f>_xlfn.XLOOKUP(Tabela14[[#This Row],[Responsável]],Organograma!H:H,Organograma!G:G,"")</f>
        <v/>
      </c>
      <c r="Q1930" s="33" t="s">
        <v>7095</v>
      </c>
    </row>
    <row r="1931" spans="1:17" hidden="1">
      <c r="A1931" s="33" t="s">
        <v>7405</v>
      </c>
      <c r="B1931" s="33" t="s">
        <v>7406</v>
      </c>
      <c r="C1931" s="33" t="s">
        <v>3549</v>
      </c>
      <c r="D1931" s="33" t="s">
        <v>6684</v>
      </c>
      <c r="E1931" s="33" t="s">
        <v>6609</v>
      </c>
      <c r="G1931" s="33" t="s">
        <v>4068</v>
      </c>
      <c r="H1931" s="33" t="s">
        <v>2428</v>
      </c>
      <c r="I1931" s="33" t="s">
        <v>2428</v>
      </c>
      <c r="J1931" s="33" t="s">
        <v>7407</v>
      </c>
      <c r="K1931" s="33" t="s">
        <v>6611</v>
      </c>
      <c r="L1931" s="33" t="s">
        <v>2428</v>
      </c>
      <c r="M1931" s="33" t="str">
        <f>_xlfn.XLOOKUP(Tabela14[[#This Row],[Responsável]],Organograma!H:H,Organograma!G:G,"")</f>
        <v/>
      </c>
      <c r="Q1931" s="33" t="s">
        <v>7095</v>
      </c>
    </row>
    <row r="1932" spans="1:17" hidden="1">
      <c r="A1932" s="33" t="s">
        <v>7408</v>
      </c>
      <c r="B1932" s="33" t="s">
        <v>7409</v>
      </c>
      <c r="C1932" s="33" t="s">
        <v>3549</v>
      </c>
      <c r="D1932" s="33" t="s">
        <v>67</v>
      </c>
      <c r="E1932" s="33" t="s">
        <v>6600</v>
      </c>
      <c r="G1932" s="33" t="s">
        <v>4068</v>
      </c>
      <c r="H1932" s="33" t="s">
        <v>2428</v>
      </c>
      <c r="I1932" s="33" t="s">
        <v>2428</v>
      </c>
      <c r="J1932" s="33" t="s">
        <v>7410</v>
      </c>
      <c r="K1932" s="33" t="s">
        <v>6602</v>
      </c>
      <c r="L1932" s="33" t="s">
        <v>3564</v>
      </c>
      <c r="M1932" s="33" t="str">
        <f>_xlfn.XLOOKUP(Tabela14[[#This Row],[Responsável]],Organograma!H:H,Organograma!G:G,"")</f>
        <v>CC - Centro Cirúrgico</v>
      </c>
      <c r="Q1932" s="33" t="s">
        <v>7095</v>
      </c>
    </row>
    <row r="1933" spans="1:17">
      <c r="A1933" s="33" t="s">
        <v>7411</v>
      </c>
      <c r="B1933" s="33" t="s">
        <v>7412</v>
      </c>
      <c r="C1933" s="33" t="s">
        <v>3549</v>
      </c>
      <c r="D1933" s="33" t="s">
        <v>4068</v>
      </c>
      <c r="E1933" s="33" t="s">
        <v>3976</v>
      </c>
      <c r="G1933" s="33" t="s">
        <v>4068</v>
      </c>
      <c r="H1933" s="33" t="s">
        <v>2428</v>
      </c>
      <c r="I1933" s="33" t="s">
        <v>2428</v>
      </c>
      <c r="J1933" s="33" t="s">
        <v>7413</v>
      </c>
      <c r="K1933" s="33" t="s">
        <v>1791</v>
      </c>
      <c r="L1933" s="33" t="s">
        <v>1206</v>
      </c>
      <c r="M1933" s="33" t="str">
        <f>_xlfn.XLOOKUP(Tabela14[[#This Row],[Responsável]],Organograma!H:H,Organograma!G:G,"")</f>
        <v/>
      </c>
      <c r="Q1933" s="33" t="s">
        <v>7095</v>
      </c>
    </row>
    <row r="1934" spans="1:17">
      <c r="A1934" s="33" t="s">
        <v>7414</v>
      </c>
      <c r="B1934" s="33" t="s">
        <v>7415</v>
      </c>
      <c r="C1934" s="33" t="s">
        <v>3549</v>
      </c>
      <c r="D1934" s="33" t="s">
        <v>96</v>
      </c>
      <c r="E1934" s="33" t="s">
        <v>936</v>
      </c>
      <c r="G1934" s="33" t="s">
        <v>4068</v>
      </c>
      <c r="H1934" s="33" t="s">
        <v>2428</v>
      </c>
      <c r="I1934" s="33" t="s">
        <v>2428</v>
      </c>
      <c r="J1934" s="33" t="s">
        <v>7416</v>
      </c>
      <c r="K1934" s="33" t="s">
        <v>6737</v>
      </c>
      <c r="L1934" s="33" t="s">
        <v>1206</v>
      </c>
      <c r="M1934" s="33" t="str">
        <f>_xlfn.XLOOKUP(Tabela14[[#This Row],[Responsável]],Organograma!H:H,Organograma!G:G,"")</f>
        <v>CME - Centro de Material e Esterilização</v>
      </c>
      <c r="Q1934" s="33" t="s">
        <v>7095</v>
      </c>
    </row>
    <row r="1935" spans="1:17">
      <c r="A1935" s="33" t="s">
        <v>7417</v>
      </c>
      <c r="B1935" s="33" t="s">
        <v>7418</v>
      </c>
      <c r="C1935" s="33" t="s">
        <v>3549</v>
      </c>
      <c r="D1935" s="33" t="s">
        <v>2444</v>
      </c>
      <c r="E1935" s="33" t="s">
        <v>7018</v>
      </c>
      <c r="G1935" s="33" t="s">
        <v>4068</v>
      </c>
      <c r="H1935" s="33" t="s">
        <v>2666</v>
      </c>
      <c r="I1935" s="33" t="s">
        <v>2666</v>
      </c>
      <c r="J1935" s="33" t="s">
        <v>7419</v>
      </c>
      <c r="K1935" s="33" t="s">
        <v>6737</v>
      </c>
      <c r="L1935" s="33" t="s">
        <v>3365</v>
      </c>
      <c r="M1935" s="33" t="str">
        <f>_xlfn.XLOOKUP(Tabela14[[#This Row],[Responsável]],Organograma!H:H,Organograma!G:G,"")</f>
        <v/>
      </c>
      <c r="Q1935" s="33" t="s">
        <v>7095</v>
      </c>
    </row>
    <row r="1936" spans="1:17" hidden="1">
      <c r="A1936" s="33" t="s">
        <v>7420</v>
      </c>
      <c r="B1936" s="33" t="s">
        <v>7421</v>
      </c>
      <c r="C1936" s="33" t="s">
        <v>3549</v>
      </c>
      <c r="D1936" s="33" t="s">
        <v>3467</v>
      </c>
      <c r="E1936" s="33" t="s">
        <v>6609</v>
      </c>
      <c r="G1936" s="33" t="s">
        <v>4068</v>
      </c>
      <c r="H1936" s="33" t="s">
        <v>2666</v>
      </c>
      <c r="I1936" s="33" t="s">
        <v>2666</v>
      </c>
      <c r="J1936" s="33" t="s">
        <v>7422</v>
      </c>
      <c r="K1936" s="33" t="s">
        <v>6611</v>
      </c>
      <c r="L1936" s="33" t="s">
        <v>2666</v>
      </c>
      <c r="M1936" s="33" t="str">
        <f>_xlfn.XLOOKUP(Tabela14[[#This Row],[Responsável]],Organograma!H:H,Organograma!G:G,"")</f>
        <v/>
      </c>
      <c r="Q1936" s="33" t="s">
        <v>7095</v>
      </c>
    </row>
    <row r="1937" spans="1:17" hidden="1">
      <c r="A1937" s="33" t="s">
        <v>7423</v>
      </c>
      <c r="B1937" s="33" t="s">
        <v>7424</v>
      </c>
      <c r="C1937" s="33" t="s">
        <v>6489</v>
      </c>
      <c r="D1937" s="33" t="s">
        <v>81</v>
      </c>
      <c r="E1937" s="33" t="s">
        <v>6609</v>
      </c>
      <c r="G1937" s="33" t="s">
        <v>4068</v>
      </c>
      <c r="H1937" s="33" t="s">
        <v>2666</v>
      </c>
      <c r="I1937" s="33" t="s">
        <v>2666</v>
      </c>
      <c r="J1937" s="33" t="s">
        <v>7425</v>
      </c>
      <c r="K1937" s="33" t="s">
        <v>6611</v>
      </c>
      <c r="L1937" s="33" t="s">
        <v>2666</v>
      </c>
      <c r="M1937" s="33" t="str">
        <f>_xlfn.XLOOKUP(Tabela14[[#This Row],[Responsável]],Organograma!H:H,Organograma!G:G,"")</f>
        <v>CPN - Centro de Parto Normal</v>
      </c>
      <c r="Q1937" s="33" t="s">
        <v>7095</v>
      </c>
    </row>
    <row r="1938" spans="1:17" hidden="1">
      <c r="A1938" s="33" t="s">
        <v>7426</v>
      </c>
      <c r="B1938" s="33" t="s">
        <v>7427</v>
      </c>
      <c r="C1938" s="33" t="s">
        <v>3549</v>
      </c>
      <c r="D1938" s="33" t="s">
        <v>81</v>
      </c>
      <c r="E1938" s="33" t="s">
        <v>6609</v>
      </c>
      <c r="G1938" s="33" t="s">
        <v>4068</v>
      </c>
      <c r="H1938" s="33" t="s">
        <v>2666</v>
      </c>
      <c r="I1938" s="33" t="s">
        <v>2666</v>
      </c>
      <c r="J1938" s="33" t="s">
        <v>7428</v>
      </c>
      <c r="K1938" s="33" t="s">
        <v>6611</v>
      </c>
      <c r="L1938" s="33" t="s">
        <v>2666</v>
      </c>
      <c r="M1938" s="33" t="str">
        <f>_xlfn.XLOOKUP(Tabela14[[#This Row],[Responsável]],Organograma!H:H,Organograma!G:G,"")</f>
        <v>CPN - Centro de Parto Normal</v>
      </c>
      <c r="Q1938" s="33" t="s">
        <v>7095</v>
      </c>
    </row>
    <row r="1939" spans="1:17" hidden="1">
      <c r="A1939" s="33" t="s">
        <v>7429</v>
      </c>
      <c r="B1939" s="33" t="s">
        <v>7430</v>
      </c>
      <c r="C1939" s="33" t="s">
        <v>6489</v>
      </c>
      <c r="D1939" s="33" t="s">
        <v>64</v>
      </c>
      <c r="E1939" s="33" t="s">
        <v>6600</v>
      </c>
      <c r="G1939" s="33" t="s">
        <v>4068</v>
      </c>
      <c r="H1939" s="33" t="s">
        <v>2666</v>
      </c>
      <c r="I1939" s="33" t="s">
        <v>2666</v>
      </c>
      <c r="J1939" s="33" t="s">
        <v>7431</v>
      </c>
      <c r="K1939" s="33" t="s">
        <v>6602</v>
      </c>
      <c r="L1939" s="33" t="s">
        <v>5753</v>
      </c>
      <c r="M1939" s="33" t="str">
        <f>_xlfn.XLOOKUP(Tabela14[[#This Row],[Responsável]],Organograma!H:H,Organograma!G:G,"")</f>
        <v>PAM - Pronto Atendimento Materno</v>
      </c>
      <c r="Q1939" s="33" t="s">
        <v>7095</v>
      </c>
    </row>
    <row r="1940" spans="1:17" hidden="1">
      <c r="A1940" s="33" t="s">
        <v>7432</v>
      </c>
      <c r="B1940" s="33" t="s">
        <v>7433</v>
      </c>
      <c r="C1940" s="33" t="s">
        <v>3549</v>
      </c>
      <c r="D1940" s="33" t="s">
        <v>6819</v>
      </c>
      <c r="E1940" s="33" t="s">
        <v>6609</v>
      </c>
      <c r="G1940" s="33" t="s">
        <v>4068</v>
      </c>
      <c r="H1940" s="33" t="s">
        <v>2666</v>
      </c>
      <c r="I1940" s="33" t="s">
        <v>2666</v>
      </c>
      <c r="J1940" s="33" t="s">
        <v>7434</v>
      </c>
      <c r="K1940" s="33" t="s">
        <v>6611</v>
      </c>
      <c r="L1940" s="33" t="s">
        <v>2666</v>
      </c>
      <c r="M1940" s="33" t="str">
        <f>_xlfn.XLOOKUP(Tabela14[[#This Row],[Responsável]],Organograma!H:H,Organograma!G:G,"")</f>
        <v/>
      </c>
      <c r="Q1940" s="33" t="s">
        <v>7095</v>
      </c>
    </row>
    <row r="1941" spans="1:17" hidden="1">
      <c r="A1941" s="33" t="s">
        <v>7435</v>
      </c>
      <c r="B1941" s="33" t="s">
        <v>7436</v>
      </c>
      <c r="C1941" s="33" t="s">
        <v>3549</v>
      </c>
      <c r="D1941" s="33" t="s">
        <v>83</v>
      </c>
      <c r="E1941" s="33" t="s">
        <v>6609</v>
      </c>
      <c r="G1941" s="33" t="s">
        <v>4068</v>
      </c>
      <c r="H1941" s="33" t="s">
        <v>2666</v>
      </c>
      <c r="I1941" s="33" t="s">
        <v>2666</v>
      </c>
      <c r="J1941" s="33" t="s">
        <v>7437</v>
      </c>
      <c r="K1941" s="33" t="s">
        <v>6611</v>
      </c>
      <c r="L1941" s="33" t="s">
        <v>2666</v>
      </c>
      <c r="M1941" s="33" t="str">
        <f>_xlfn.XLOOKUP(Tabela14[[#This Row],[Responsável]],Organograma!H:H,Organograma!G:G,"")</f>
        <v>SS - Serviço Social</v>
      </c>
      <c r="Q1941" s="33" t="s">
        <v>7095</v>
      </c>
    </row>
    <row r="1942" spans="1:17" hidden="1">
      <c r="A1942" s="33" t="s">
        <v>7438</v>
      </c>
      <c r="B1942" s="33" t="s">
        <v>7439</v>
      </c>
      <c r="C1942" s="33" t="s">
        <v>3549</v>
      </c>
      <c r="D1942" s="33" t="s">
        <v>3467</v>
      </c>
      <c r="E1942" s="33" t="s">
        <v>6609</v>
      </c>
      <c r="G1942" s="33" t="s">
        <v>4068</v>
      </c>
      <c r="H1942" s="33" t="s">
        <v>2666</v>
      </c>
      <c r="I1942" s="33" t="s">
        <v>2666</v>
      </c>
      <c r="J1942" s="33" t="s">
        <v>7440</v>
      </c>
      <c r="K1942" s="33" t="s">
        <v>6611</v>
      </c>
      <c r="L1942" s="33" t="s">
        <v>2666</v>
      </c>
      <c r="M1942" s="33" t="str">
        <f>_xlfn.XLOOKUP(Tabela14[[#This Row],[Responsável]],Organograma!H:H,Organograma!G:G,"")</f>
        <v/>
      </c>
      <c r="Q1942" s="33" t="s">
        <v>7095</v>
      </c>
    </row>
    <row r="1943" spans="1:17">
      <c r="A1943" s="33" t="s">
        <v>7441</v>
      </c>
      <c r="B1943" s="33" t="s">
        <v>7442</v>
      </c>
      <c r="C1943" s="33" t="s">
        <v>6489</v>
      </c>
      <c r="D1943" s="33" t="s">
        <v>4068</v>
      </c>
      <c r="E1943" s="33" t="s">
        <v>3976</v>
      </c>
      <c r="G1943" s="33" t="s">
        <v>12</v>
      </c>
      <c r="H1943" s="33" t="s">
        <v>2666</v>
      </c>
      <c r="I1943" s="33" t="s">
        <v>2666</v>
      </c>
      <c r="J1943" s="33" t="s">
        <v>7443</v>
      </c>
      <c r="K1943" s="33" t="s">
        <v>1791</v>
      </c>
      <c r="L1943" s="33" t="s">
        <v>3273</v>
      </c>
      <c r="M1943" s="33" t="str">
        <f>_xlfn.XLOOKUP(Tabela14[[#This Row],[Responsável]],Organograma!H:H,Organograma!G:G,"")</f>
        <v/>
      </c>
      <c r="Q1943" s="33" t="s">
        <v>7095</v>
      </c>
    </row>
    <row r="1944" spans="1:17" hidden="1">
      <c r="A1944" s="33" t="s">
        <v>7444</v>
      </c>
      <c r="B1944" s="33" t="s">
        <v>7445</v>
      </c>
      <c r="C1944" s="33" t="s">
        <v>3549</v>
      </c>
      <c r="D1944" s="33" t="s">
        <v>71</v>
      </c>
      <c r="E1944" s="33" t="s">
        <v>6609</v>
      </c>
      <c r="G1944" s="33" t="s">
        <v>4068</v>
      </c>
      <c r="H1944" s="33" t="s">
        <v>2666</v>
      </c>
      <c r="I1944" s="33" t="s">
        <v>2666</v>
      </c>
      <c r="J1944" s="33" t="s">
        <v>7446</v>
      </c>
      <c r="K1944" s="33" t="s">
        <v>6611</v>
      </c>
      <c r="L1944" s="33" t="s">
        <v>2830</v>
      </c>
      <c r="M1944" s="33" t="str">
        <f>_xlfn.XLOOKUP(Tabela14[[#This Row],[Responsável]],Organograma!H:H,Organograma!G:G,"")</f>
        <v>BLH - Banco de Leite Humano</v>
      </c>
      <c r="Q1944" s="33" t="s">
        <v>7095</v>
      </c>
    </row>
    <row r="1945" spans="1:17">
      <c r="A1945" s="33" t="s">
        <v>7447</v>
      </c>
      <c r="B1945" s="33" t="s">
        <v>7448</v>
      </c>
      <c r="C1945" s="33" t="s">
        <v>3549</v>
      </c>
      <c r="D1945" s="33" t="s">
        <v>4068</v>
      </c>
      <c r="E1945" s="33" t="s">
        <v>6658</v>
      </c>
      <c r="G1945" s="33" t="s">
        <v>4068</v>
      </c>
      <c r="H1945" s="33" t="s">
        <v>2666</v>
      </c>
      <c r="I1945" s="33" t="s">
        <v>2666</v>
      </c>
      <c r="J1945" s="33" t="s">
        <v>7449</v>
      </c>
      <c r="K1945" s="33" t="s">
        <v>1791</v>
      </c>
      <c r="L1945" s="33" t="s">
        <v>3228</v>
      </c>
      <c r="M1945" s="33" t="str">
        <f>_xlfn.XLOOKUP(Tabela14[[#This Row],[Responsável]],Organograma!H:H,Organograma!G:G,"")</f>
        <v/>
      </c>
      <c r="Q1945" s="33" t="s">
        <v>7095</v>
      </c>
    </row>
    <row r="1946" spans="1:17">
      <c r="A1946" s="33" t="s">
        <v>7450</v>
      </c>
      <c r="B1946" s="33" t="s">
        <v>7451</v>
      </c>
      <c r="C1946" s="33" t="s">
        <v>6489</v>
      </c>
      <c r="D1946" s="33" t="s">
        <v>4068</v>
      </c>
      <c r="E1946" s="33" t="s">
        <v>6658</v>
      </c>
      <c r="G1946" s="33" t="s">
        <v>4068</v>
      </c>
      <c r="H1946" s="33" t="s">
        <v>2666</v>
      </c>
      <c r="I1946" s="33" t="s">
        <v>2666</v>
      </c>
      <c r="J1946" s="33" t="s">
        <v>7452</v>
      </c>
      <c r="K1946" s="33" t="s">
        <v>1791</v>
      </c>
      <c r="L1946" s="33" t="s">
        <v>3228</v>
      </c>
      <c r="M1946" s="33" t="str">
        <f>_xlfn.XLOOKUP(Tabela14[[#This Row],[Responsável]],Organograma!H:H,Organograma!G:G,"")</f>
        <v/>
      </c>
      <c r="Q1946" s="33" t="s">
        <v>7095</v>
      </c>
    </row>
    <row r="1947" spans="1:17">
      <c r="A1947" s="33" t="s">
        <v>7453</v>
      </c>
      <c r="B1947" s="33" t="s">
        <v>7454</v>
      </c>
      <c r="C1947" s="33" t="s">
        <v>6489</v>
      </c>
      <c r="D1947" s="33" t="s">
        <v>4068</v>
      </c>
      <c r="E1947" s="33" t="s">
        <v>6658</v>
      </c>
      <c r="G1947" s="33" t="s">
        <v>57</v>
      </c>
      <c r="H1947" s="33" t="s">
        <v>2666</v>
      </c>
      <c r="I1947" s="33" t="s">
        <v>2666</v>
      </c>
      <c r="J1947" s="33" t="s">
        <v>7455</v>
      </c>
      <c r="K1947" s="33" t="s">
        <v>1791</v>
      </c>
      <c r="L1947" s="33" t="s">
        <v>3228</v>
      </c>
      <c r="M1947" s="33" t="str">
        <f>_xlfn.XLOOKUP(Tabela14[[#This Row],[Responsável]],Organograma!H:H,Organograma!G:G,"")</f>
        <v/>
      </c>
      <c r="Q1947" s="33" t="s">
        <v>7095</v>
      </c>
    </row>
    <row r="1948" spans="1:17">
      <c r="A1948" s="33" t="s">
        <v>7456</v>
      </c>
      <c r="B1948" s="33" t="s">
        <v>7457</v>
      </c>
      <c r="C1948" s="33" t="s">
        <v>3549</v>
      </c>
      <c r="D1948" s="33" t="s">
        <v>4068</v>
      </c>
      <c r="E1948" s="33" t="s">
        <v>3976</v>
      </c>
      <c r="G1948" s="33" t="s">
        <v>4068</v>
      </c>
      <c r="H1948" s="33" t="s">
        <v>2666</v>
      </c>
      <c r="I1948" s="33" t="s">
        <v>2666</v>
      </c>
      <c r="J1948" s="33" t="s">
        <v>7458</v>
      </c>
      <c r="K1948" s="33" t="s">
        <v>1791</v>
      </c>
      <c r="L1948" s="33" t="s">
        <v>3273</v>
      </c>
      <c r="M1948" s="33" t="str">
        <f>_xlfn.XLOOKUP(Tabela14[[#This Row],[Responsável]],Organograma!H:H,Organograma!G:G,"")</f>
        <v/>
      </c>
      <c r="Q1948" s="33" t="s">
        <v>7095</v>
      </c>
    </row>
    <row r="1949" spans="1:17" hidden="1">
      <c r="A1949" s="33" t="s">
        <v>7459</v>
      </c>
      <c r="B1949" s="33" t="s">
        <v>7460</v>
      </c>
      <c r="C1949" s="33" t="s">
        <v>3549</v>
      </c>
      <c r="D1949" s="33" t="s">
        <v>90</v>
      </c>
      <c r="E1949" s="33" t="s">
        <v>2471</v>
      </c>
      <c r="G1949" s="33" t="s">
        <v>90</v>
      </c>
      <c r="H1949" s="33" t="s">
        <v>2666</v>
      </c>
      <c r="I1949" s="33" t="s">
        <v>2666</v>
      </c>
      <c r="J1949" s="33" t="s">
        <v>7461</v>
      </c>
      <c r="K1949" s="33" t="s">
        <v>2471</v>
      </c>
      <c r="L1949" s="33" t="s">
        <v>2735</v>
      </c>
      <c r="M1949" s="33" t="str">
        <f>_xlfn.XLOOKUP(Tabela14[[#This Row],[Responsável]],Organograma!H:H,Organograma!G:G,"")</f>
        <v>PSICO - Unidade de Atendimento a Saúde Mental</v>
      </c>
      <c r="Q1949" s="33" t="s">
        <v>7095</v>
      </c>
    </row>
    <row r="1950" spans="1:17" hidden="1">
      <c r="A1950" s="33" t="s">
        <v>7462</v>
      </c>
      <c r="B1950" s="33" t="s">
        <v>7463</v>
      </c>
      <c r="C1950" s="33" t="s">
        <v>3549</v>
      </c>
      <c r="D1950" s="33" t="s">
        <v>90</v>
      </c>
      <c r="E1950" s="33" t="s">
        <v>2471</v>
      </c>
      <c r="G1950" s="33" t="s">
        <v>90</v>
      </c>
      <c r="H1950" s="33" t="s">
        <v>2666</v>
      </c>
      <c r="I1950" s="33" t="s">
        <v>2666</v>
      </c>
      <c r="J1950" s="33" t="s">
        <v>7464</v>
      </c>
      <c r="K1950" s="33" t="s">
        <v>2471</v>
      </c>
      <c r="L1950" s="33" t="s">
        <v>2735</v>
      </c>
      <c r="M1950" s="33" t="str">
        <f>_xlfn.XLOOKUP(Tabela14[[#This Row],[Responsável]],Organograma!H:H,Organograma!G:G,"")</f>
        <v>PSICO - Unidade de Atendimento a Saúde Mental</v>
      </c>
      <c r="Q1950" s="33" t="s">
        <v>7095</v>
      </c>
    </row>
    <row r="1951" spans="1:17" hidden="1">
      <c r="A1951" s="33" t="s">
        <v>7465</v>
      </c>
      <c r="B1951" s="33" t="s">
        <v>7466</v>
      </c>
      <c r="C1951" s="33" t="s">
        <v>3549</v>
      </c>
      <c r="D1951" s="33" t="s">
        <v>90</v>
      </c>
      <c r="E1951" s="33" t="s">
        <v>2471</v>
      </c>
      <c r="G1951" s="33" t="s">
        <v>90</v>
      </c>
      <c r="H1951" s="33" t="s">
        <v>2666</v>
      </c>
      <c r="I1951" s="33" t="s">
        <v>2666</v>
      </c>
      <c r="J1951" s="33" t="s">
        <v>7467</v>
      </c>
      <c r="K1951" s="33" t="s">
        <v>2471</v>
      </c>
      <c r="L1951" s="33" t="s">
        <v>2735</v>
      </c>
      <c r="M1951" s="33" t="str">
        <f>_xlfn.XLOOKUP(Tabela14[[#This Row],[Responsável]],Organograma!H:H,Organograma!G:G,"")</f>
        <v>PSICO - Unidade de Atendimento a Saúde Mental</v>
      </c>
      <c r="Q1951" s="33" t="s">
        <v>7095</v>
      </c>
    </row>
    <row r="1952" spans="1:17">
      <c r="A1952" s="33" t="s">
        <v>7468</v>
      </c>
      <c r="B1952" s="33" t="s">
        <v>7469</v>
      </c>
      <c r="C1952" s="33" t="s">
        <v>3549</v>
      </c>
      <c r="D1952" s="33" t="s">
        <v>4068</v>
      </c>
      <c r="E1952" s="33" t="s">
        <v>3976</v>
      </c>
      <c r="G1952" s="33" t="s">
        <v>4068</v>
      </c>
      <c r="H1952" s="33" t="s">
        <v>2666</v>
      </c>
      <c r="I1952" s="33" t="s">
        <v>2666</v>
      </c>
      <c r="J1952" s="33" t="s">
        <v>7470</v>
      </c>
      <c r="K1952" s="33" t="s">
        <v>1791</v>
      </c>
      <c r="L1952" s="33" t="s">
        <v>3273</v>
      </c>
      <c r="M1952" s="33" t="str">
        <f>_xlfn.XLOOKUP(Tabela14[[#This Row],[Responsável]],Organograma!H:H,Organograma!G:G,"")</f>
        <v/>
      </c>
      <c r="Q1952" s="33" t="s">
        <v>7095</v>
      </c>
    </row>
    <row r="1953" spans="1:17">
      <c r="A1953" s="33" t="s">
        <v>7471</v>
      </c>
      <c r="B1953" s="33" t="s">
        <v>7472</v>
      </c>
      <c r="C1953" s="33" t="s">
        <v>3549</v>
      </c>
      <c r="D1953" s="33" t="s">
        <v>6840</v>
      </c>
      <c r="E1953" s="33" t="s">
        <v>7093</v>
      </c>
      <c r="G1953" s="33" t="s">
        <v>4068</v>
      </c>
      <c r="H1953" s="33" t="s">
        <v>2666</v>
      </c>
      <c r="I1953" s="33" t="s">
        <v>2666</v>
      </c>
      <c r="J1953" s="33" t="s">
        <v>7473</v>
      </c>
      <c r="K1953" s="33" t="s">
        <v>6611</v>
      </c>
      <c r="L1953" s="33" t="s">
        <v>1206</v>
      </c>
      <c r="M1953" s="33" t="str">
        <f>_xlfn.XLOOKUP(Tabela14[[#This Row],[Responsável]],Organograma!H:H,Organograma!G:G,"")</f>
        <v/>
      </c>
      <c r="Q1953" s="33" t="s">
        <v>7095</v>
      </c>
    </row>
    <row r="1954" spans="1:17">
      <c r="A1954" s="33" t="s">
        <v>7474</v>
      </c>
      <c r="B1954" s="33" t="s">
        <v>7475</v>
      </c>
      <c r="C1954" s="33" t="s">
        <v>3549</v>
      </c>
      <c r="D1954" s="33" t="s">
        <v>4068</v>
      </c>
      <c r="E1954" s="33" t="s">
        <v>3976</v>
      </c>
      <c r="G1954" s="33" t="s">
        <v>4068</v>
      </c>
      <c r="H1954" s="33" t="s">
        <v>2666</v>
      </c>
      <c r="I1954" s="33" t="s">
        <v>2666</v>
      </c>
      <c r="J1954" s="33" t="s">
        <v>7476</v>
      </c>
      <c r="K1954" s="33" t="s">
        <v>1791</v>
      </c>
      <c r="L1954" s="33" t="s">
        <v>1206</v>
      </c>
      <c r="M1954" s="33" t="str">
        <f>_xlfn.XLOOKUP(Tabela14[[#This Row],[Responsável]],Organograma!H:H,Organograma!G:G,"")</f>
        <v/>
      </c>
      <c r="Q1954" s="33" t="s">
        <v>7095</v>
      </c>
    </row>
    <row r="1955" spans="1:17" hidden="1">
      <c r="A1955" s="33" t="s">
        <v>7477</v>
      </c>
      <c r="B1955" s="33" t="s">
        <v>7478</v>
      </c>
      <c r="C1955" s="33" t="s">
        <v>3549</v>
      </c>
      <c r="D1955" s="33" t="s">
        <v>51</v>
      </c>
      <c r="E1955" s="33" t="s">
        <v>6609</v>
      </c>
      <c r="G1955" s="33" t="s">
        <v>4068</v>
      </c>
      <c r="H1955" s="33" t="s">
        <v>2666</v>
      </c>
      <c r="I1955" s="33" t="s">
        <v>2666</v>
      </c>
      <c r="J1955" s="33" t="s">
        <v>7479</v>
      </c>
      <c r="K1955" s="33" t="s">
        <v>6611</v>
      </c>
      <c r="L1955" s="33" t="s">
        <v>2666</v>
      </c>
      <c r="M1955" s="33" t="str">
        <f>_xlfn.XLOOKUP(Tabela14[[#This Row],[Responsável]],Organograma!H:H,Organograma!G:G,"")</f>
        <v>FIS - Fisioterapia</v>
      </c>
      <c r="Q1955" s="33" t="s">
        <v>7095</v>
      </c>
    </row>
    <row r="1956" spans="1:17">
      <c r="A1956" s="33" t="s">
        <v>7480</v>
      </c>
      <c r="B1956" s="33" t="s">
        <v>7481</v>
      </c>
      <c r="C1956" s="33" t="s">
        <v>3549</v>
      </c>
      <c r="D1956" s="33" t="s">
        <v>4068</v>
      </c>
      <c r="E1956" s="33" t="s">
        <v>6658</v>
      </c>
      <c r="G1956" s="33" t="s">
        <v>4068</v>
      </c>
      <c r="H1956" s="33" t="s">
        <v>2666</v>
      </c>
      <c r="I1956" s="33" t="s">
        <v>2666</v>
      </c>
      <c r="J1956" s="33" t="s">
        <v>7482</v>
      </c>
      <c r="K1956" s="33" t="s">
        <v>1791</v>
      </c>
      <c r="L1956" s="33" t="s">
        <v>3228</v>
      </c>
      <c r="M1956" s="33" t="str">
        <f>_xlfn.XLOOKUP(Tabela14[[#This Row],[Responsável]],Organograma!H:H,Organograma!G:G,"")</f>
        <v/>
      </c>
      <c r="Q1956" s="33" t="s">
        <v>7095</v>
      </c>
    </row>
    <row r="1957" spans="1:17">
      <c r="A1957" s="33" t="s">
        <v>7483</v>
      </c>
      <c r="B1957" s="33" t="s">
        <v>7484</v>
      </c>
      <c r="C1957" s="33" t="s">
        <v>3549</v>
      </c>
      <c r="D1957" s="33" t="s">
        <v>4068</v>
      </c>
      <c r="E1957" s="33" t="s">
        <v>6658</v>
      </c>
      <c r="G1957" s="33" t="s">
        <v>4068</v>
      </c>
      <c r="H1957" s="33" t="s">
        <v>2666</v>
      </c>
      <c r="I1957" s="33" t="s">
        <v>2666</v>
      </c>
      <c r="J1957" s="33" t="s">
        <v>7485</v>
      </c>
      <c r="K1957" s="33" t="s">
        <v>1791</v>
      </c>
      <c r="L1957" s="33" t="s">
        <v>3475</v>
      </c>
      <c r="M1957" s="33" t="str">
        <f>_xlfn.XLOOKUP(Tabela14[[#This Row],[Responsável]],Organograma!H:H,Organograma!G:G,"")</f>
        <v/>
      </c>
      <c r="Q1957" s="33" t="s">
        <v>7095</v>
      </c>
    </row>
    <row r="1958" spans="1:17">
      <c r="A1958" s="33" t="s">
        <v>4502</v>
      </c>
      <c r="B1958" s="33" t="s">
        <v>7486</v>
      </c>
      <c r="C1958" s="33" t="s">
        <v>4132</v>
      </c>
      <c r="D1958" s="33" t="s">
        <v>41</v>
      </c>
      <c r="E1958" s="33" t="s">
        <v>3976</v>
      </c>
      <c r="G1958" s="33" t="s">
        <v>4398</v>
      </c>
      <c r="H1958" s="33" t="s">
        <v>2735</v>
      </c>
      <c r="I1958" s="33" t="s">
        <v>2735</v>
      </c>
      <c r="J1958" s="33" t="s">
        <v>7487</v>
      </c>
      <c r="K1958" s="33" t="s">
        <v>6898</v>
      </c>
      <c r="L1958" s="33" t="s">
        <v>2735</v>
      </c>
      <c r="M1958" s="33" t="str">
        <f>_xlfn.XLOOKUP(Tabela14[[#This Row],[Responsável]],Organograma!H:H,Organograma!G:G,"")</f>
        <v>APGQ - Assessoria de Planejamento e Gestão da Qualidade</v>
      </c>
      <c r="Q1958" s="33" t="s">
        <v>7095</v>
      </c>
    </row>
    <row r="1959" spans="1:17" hidden="1">
      <c r="A1959" s="33" t="s">
        <v>4730</v>
      </c>
      <c r="B1959" s="33" t="s">
        <v>7488</v>
      </c>
      <c r="C1959" s="33" t="s">
        <v>4405</v>
      </c>
      <c r="D1959" s="33" t="s">
        <v>4068</v>
      </c>
      <c r="E1959" s="33" t="s">
        <v>1808</v>
      </c>
      <c r="G1959" s="33" t="s">
        <v>4406</v>
      </c>
      <c r="H1959" s="33" t="s">
        <v>2769</v>
      </c>
      <c r="I1959" s="33" t="s">
        <v>2769</v>
      </c>
      <c r="J1959" s="33" t="s">
        <v>4732</v>
      </c>
      <c r="K1959" s="33" t="s">
        <v>1791</v>
      </c>
      <c r="L1959" s="33" t="s">
        <v>2769</v>
      </c>
      <c r="M1959" s="33" t="str">
        <f>_xlfn.XLOOKUP(Tabela14[[#This Row],[Responsável]],Organograma!H:H,Organograma!G:G,"")</f>
        <v/>
      </c>
      <c r="Q1959" s="33" t="s">
        <v>7095</v>
      </c>
    </row>
    <row r="1960" spans="1:17" hidden="1">
      <c r="A1960" s="33" t="s">
        <v>4733</v>
      </c>
      <c r="B1960" s="33" t="s">
        <v>7489</v>
      </c>
      <c r="C1960" s="33" t="s">
        <v>1785</v>
      </c>
      <c r="D1960" s="33" t="s">
        <v>4068</v>
      </c>
      <c r="E1960" s="33" t="s">
        <v>1808</v>
      </c>
      <c r="G1960" s="33" t="s">
        <v>3836</v>
      </c>
      <c r="H1960" s="33" t="s">
        <v>2473</v>
      </c>
      <c r="I1960" s="33" t="s">
        <v>2473</v>
      </c>
      <c r="J1960" s="33" t="s">
        <v>4735</v>
      </c>
      <c r="K1960" s="33" t="s">
        <v>1791</v>
      </c>
      <c r="L1960" s="33" t="s">
        <v>2473</v>
      </c>
      <c r="M1960" s="33" t="str">
        <f>_xlfn.XLOOKUP(Tabela14[[#This Row],[Responsável]],Organograma!H:H,Organograma!G:G,"")</f>
        <v/>
      </c>
      <c r="Q1960" s="33" t="s">
        <v>7095</v>
      </c>
    </row>
    <row r="1961" spans="1:17" hidden="1">
      <c r="A1961" s="33" t="s">
        <v>4736</v>
      </c>
      <c r="B1961" s="33" t="s">
        <v>7490</v>
      </c>
      <c r="C1961" s="33" t="s">
        <v>1785</v>
      </c>
      <c r="D1961" s="33" t="s">
        <v>4068</v>
      </c>
      <c r="E1961" s="33" t="s">
        <v>1808</v>
      </c>
      <c r="G1961" s="33" t="s">
        <v>3836</v>
      </c>
      <c r="H1961" s="33" t="s">
        <v>2473</v>
      </c>
      <c r="I1961" s="33" t="s">
        <v>2473</v>
      </c>
      <c r="J1961" s="33" t="s">
        <v>4738</v>
      </c>
      <c r="K1961" s="33" t="s">
        <v>1791</v>
      </c>
      <c r="L1961" s="33" t="s">
        <v>2473</v>
      </c>
      <c r="M1961" s="33" t="str">
        <f>_xlfn.XLOOKUP(Tabela14[[#This Row],[Responsável]],Organograma!H:H,Organograma!G:G,"")</f>
        <v/>
      </c>
      <c r="Q1961" s="33" t="s">
        <v>7095</v>
      </c>
    </row>
    <row r="1962" spans="1:17" hidden="1">
      <c r="A1962" s="33" t="s">
        <v>7008</v>
      </c>
      <c r="B1962" s="33" t="s">
        <v>7491</v>
      </c>
      <c r="C1962" s="33" t="s">
        <v>1785</v>
      </c>
      <c r="D1962" s="33" t="s">
        <v>4068</v>
      </c>
      <c r="E1962" s="33" t="s">
        <v>1808</v>
      </c>
      <c r="G1962" s="33" t="s">
        <v>3836</v>
      </c>
      <c r="H1962" s="33" t="s">
        <v>2473</v>
      </c>
      <c r="I1962" s="33" t="s">
        <v>2473</v>
      </c>
      <c r="J1962" s="33" t="s">
        <v>7010</v>
      </c>
      <c r="K1962" s="33" t="s">
        <v>1791</v>
      </c>
      <c r="L1962" s="33" t="s">
        <v>2473</v>
      </c>
      <c r="M1962" s="33" t="str">
        <f>_xlfn.XLOOKUP(Tabela14[[#This Row],[Responsável]],Organograma!H:H,Organograma!G:G,"")</f>
        <v/>
      </c>
      <c r="Q1962" s="33" t="s">
        <v>7095</v>
      </c>
    </row>
    <row r="1963" spans="1:17" hidden="1">
      <c r="A1963" s="33" t="s">
        <v>7012</v>
      </c>
      <c r="B1963" s="33" t="s">
        <v>7492</v>
      </c>
      <c r="C1963" s="33" t="s">
        <v>1785</v>
      </c>
      <c r="D1963" s="33" t="s">
        <v>4068</v>
      </c>
      <c r="E1963" s="33" t="s">
        <v>1808</v>
      </c>
      <c r="G1963" s="33" t="s">
        <v>7014</v>
      </c>
      <c r="H1963" s="33" t="s">
        <v>2981</v>
      </c>
      <c r="I1963" s="33" t="s">
        <v>2981</v>
      </c>
      <c r="J1963" s="33" t="s">
        <v>7015</v>
      </c>
      <c r="K1963" s="33" t="s">
        <v>1791</v>
      </c>
      <c r="L1963" s="33" t="s">
        <v>2981</v>
      </c>
      <c r="M1963" s="33" t="str">
        <f>_xlfn.XLOOKUP(Tabela14[[#This Row],[Responsável]],Organograma!H:H,Organograma!G:G,"")</f>
        <v/>
      </c>
      <c r="Q1963" s="33" t="s">
        <v>7095</v>
      </c>
    </row>
    <row r="1964" spans="1:17" hidden="1">
      <c r="A1964" s="33" t="s">
        <v>4739</v>
      </c>
      <c r="B1964" s="33" t="s">
        <v>7493</v>
      </c>
      <c r="C1964" s="33" t="s">
        <v>1831</v>
      </c>
      <c r="D1964" s="33" t="s">
        <v>4068</v>
      </c>
      <c r="E1964" s="33" t="s">
        <v>1808</v>
      </c>
      <c r="G1964" s="33" t="s">
        <v>3467</v>
      </c>
      <c r="H1964" s="33" t="s">
        <v>4682</v>
      </c>
      <c r="I1964" s="33" t="s">
        <v>4682</v>
      </c>
      <c r="J1964" s="33" t="s">
        <v>4741</v>
      </c>
      <c r="K1964" s="33" t="s">
        <v>1791</v>
      </c>
      <c r="L1964" s="33" t="s">
        <v>4682</v>
      </c>
      <c r="M1964" s="33" t="str">
        <f>_xlfn.XLOOKUP(Tabela14[[#This Row],[Responsável]],Organograma!H:H,Organograma!G:G,"")</f>
        <v/>
      </c>
      <c r="Q1964" s="33" t="s">
        <v>7095</v>
      </c>
    </row>
    <row r="1965" spans="1:17" hidden="1">
      <c r="A1965" s="33" t="s">
        <v>7016</v>
      </c>
      <c r="B1965" s="33" t="s">
        <v>7494</v>
      </c>
      <c r="C1965" s="33" t="s">
        <v>1785</v>
      </c>
      <c r="D1965" s="33" t="s">
        <v>4068</v>
      </c>
      <c r="E1965" s="33" t="s">
        <v>1808</v>
      </c>
      <c r="G1965" s="33" t="s">
        <v>3836</v>
      </c>
      <c r="H1965" s="33" t="s">
        <v>2964</v>
      </c>
      <c r="I1965" s="33" t="s">
        <v>2964</v>
      </c>
      <c r="J1965" s="33" t="s">
        <v>7019</v>
      </c>
      <c r="K1965" s="33" t="s">
        <v>1791</v>
      </c>
      <c r="L1965" s="33" t="s">
        <v>2964</v>
      </c>
      <c r="M1965" s="33" t="str">
        <f>_xlfn.XLOOKUP(Tabela14[[#This Row],[Responsável]],Organograma!H:H,Organograma!G:G,"")</f>
        <v/>
      </c>
      <c r="Q1965" s="33" t="s">
        <v>7095</v>
      </c>
    </row>
    <row r="1966" spans="1:17" hidden="1">
      <c r="A1966" s="33" t="s">
        <v>5114</v>
      </c>
      <c r="B1966" s="33" t="s">
        <v>7495</v>
      </c>
      <c r="C1966" s="33" t="s">
        <v>1785</v>
      </c>
      <c r="D1966" s="33" t="s">
        <v>4068</v>
      </c>
      <c r="E1966" s="33" t="s">
        <v>1808</v>
      </c>
      <c r="G1966" s="33" t="s">
        <v>3836</v>
      </c>
      <c r="H1966" s="33" t="s">
        <v>2695</v>
      </c>
      <c r="I1966" s="33" t="s">
        <v>2695</v>
      </c>
      <c r="J1966" s="33" t="s">
        <v>5116</v>
      </c>
      <c r="K1966" s="33" t="s">
        <v>1791</v>
      </c>
      <c r="L1966" s="33" t="s">
        <v>2695</v>
      </c>
      <c r="M1966" s="33" t="str">
        <f>_xlfn.XLOOKUP(Tabela14[[#This Row],[Responsável]],Organograma!H:H,Organograma!G:G,"")</f>
        <v/>
      </c>
      <c r="Q1966" s="33" t="s">
        <v>7095</v>
      </c>
    </row>
    <row r="1967" spans="1:17" hidden="1">
      <c r="A1967" s="33" t="s">
        <v>7039</v>
      </c>
      <c r="B1967" s="33" t="s">
        <v>7496</v>
      </c>
      <c r="C1967" s="33" t="s">
        <v>1785</v>
      </c>
      <c r="D1967" s="33" t="s">
        <v>4068</v>
      </c>
      <c r="E1967" s="33" t="s">
        <v>1808</v>
      </c>
      <c r="G1967" s="33" t="s">
        <v>3836</v>
      </c>
      <c r="H1967" s="33" t="s">
        <v>2695</v>
      </c>
      <c r="I1967" s="33" t="s">
        <v>2695</v>
      </c>
      <c r="J1967" s="33" t="s">
        <v>7041</v>
      </c>
      <c r="K1967" s="33" t="s">
        <v>1791</v>
      </c>
      <c r="L1967" s="33" t="s">
        <v>2695</v>
      </c>
      <c r="M1967" s="33" t="str">
        <f>_xlfn.XLOOKUP(Tabela14[[#This Row],[Responsável]],Organograma!H:H,Organograma!G:G,"")</f>
        <v/>
      </c>
      <c r="Q1967" s="33" t="s">
        <v>7095</v>
      </c>
    </row>
    <row r="1968" spans="1:17">
      <c r="A1968" s="33" t="s">
        <v>7497</v>
      </c>
      <c r="B1968" s="33" t="s">
        <v>7498</v>
      </c>
      <c r="C1968" s="33" t="s">
        <v>3549</v>
      </c>
      <c r="D1968" s="33" t="s">
        <v>4068</v>
      </c>
      <c r="E1968" s="33" t="s">
        <v>3976</v>
      </c>
      <c r="G1968" s="33" t="s">
        <v>4068</v>
      </c>
      <c r="H1968" s="33" t="s">
        <v>2902</v>
      </c>
      <c r="I1968" s="33" t="s">
        <v>2902</v>
      </c>
      <c r="J1968" s="33" t="s">
        <v>7499</v>
      </c>
      <c r="K1968" s="33" t="s">
        <v>1791</v>
      </c>
      <c r="L1968" s="33" t="s">
        <v>1206</v>
      </c>
      <c r="M1968" s="33" t="str">
        <f>_xlfn.XLOOKUP(Tabela14[[#This Row],[Responsável]],Organograma!H:H,Organograma!G:G,"")</f>
        <v/>
      </c>
      <c r="Q1968" s="33" t="s">
        <v>7095</v>
      </c>
    </row>
    <row r="1969" spans="1:17">
      <c r="A1969" s="33" t="s">
        <v>7500</v>
      </c>
      <c r="B1969" s="33" t="s">
        <v>7501</v>
      </c>
      <c r="C1969" s="33" t="s">
        <v>3549</v>
      </c>
      <c r="D1969" s="33" t="s">
        <v>4068</v>
      </c>
      <c r="E1969" s="33" t="s">
        <v>3976</v>
      </c>
      <c r="G1969" s="33" t="s">
        <v>4068</v>
      </c>
      <c r="H1969" s="33" t="s">
        <v>2902</v>
      </c>
      <c r="I1969" s="33" t="s">
        <v>2902</v>
      </c>
      <c r="J1969" s="33" t="s">
        <v>7502</v>
      </c>
      <c r="K1969" s="33" t="s">
        <v>1791</v>
      </c>
      <c r="L1969" s="33" t="s">
        <v>1206</v>
      </c>
      <c r="M1969" s="33" t="str">
        <f>_xlfn.XLOOKUP(Tabela14[[#This Row],[Responsável]],Organograma!H:H,Organograma!G:G,"")</f>
        <v/>
      </c>
      <c r="Q1969" s="33" t="s">
        <v>7095</v>
      </c>
    </row>
    <row r="1970" spans="1:17" hidden="1">
      <c r="A1970" s="33" t="s">
        <v>7503</v>
      </c>
      <c r="B1970" s="33" t="s">
        <v>7504</v>
      </c>
      <c r="C1970" s="33" t="s">
        <v>3549</v>
      </c>
      <c r="D1970" s="33" t="s">
        <v>67</v>
      </c>
      <c r="E1970" s="33" t="s">
        <v>6600</v>
      </c>
      <c r="G1970" s="33" t="s">
        <v>4068</v>
      </c>
      <c r="H1970" s="33" t="s">
        <v>2902</v>
      </c>
      <c r="I1970" s="33" t="s">
        <v>2902</v>
      </c>
      <c r="J1970" s="33" t="s">
        <v>7505</v>
      </c>
      <c r="K1970" s="33" t="s">
        <v>6602</v>
      </c>
      <c r="L1970" s="33" t="s">
        <v>3564</v>
      </c>
      <c r="M1970" s="33" t="str">
        <f>_xlfn.XLOOKUP(Tabela14[[#This Row],[Responsável]],Organograma!H:H,Organograma!G:G,"")</f>
        <v>CC - Centro Cirúrgico</v>
      </c>
      <c r="Q1970" s="33" t="s">
        <v>7095</v>
      </c>
    </row>
    <row r="1971" spans="1:17" hidden="1">
      <c r="A1971" s="33" t="s">
        <v>7506</v>
      </c>
      <c r="B1971" s="33" t="s">
        <v>7507</v>
      </c>
      <c r="C1971" s="33" t="s">
        <v>3549</v>
      </c>
      <c r="D1971" s="33" t="s">
        <v>67</v>
      </c>
      <c r="E1971" s="33" t="s">
        <v>6600</v>
      </c>
      <c r="G1971" s="33" t="s">
        <v>4068</v>
      </c>
      <c r="H1971" s="33" t="s">
        <v>2902</v>
      </c>
      <c r="I1971" s="33" t="s">
        <v>2902</v>
      </c>
      <c r="J1971" s="33" t="s">
        <v>7508</v>
      </c>
      <c r="K1971" s="33" t="s">
        <v>6602</v>
      </c>
      <c r="L1971" s="33" t="s">
        <v>3562</v>
      </c>
      <c r="M1971" s="33" t="str">
        <f>_xlfn.XLOOKUP(Tabela14[[#This Row],[Responsável]],Organograma!H:H,Organograma!G:G,"")</f>
        <v>CC - Centro Cirúrgico</v>
      </c>
      <c r="Q1971" s="33" t="s">
        <v>7095</v>
      </c>
    </row>
    <row r="1972" spans="1:17" hidden="1">
      <c r="A1972" s="33" t="s">
        <v>7509</v>
      </c>
      <c r="B1972" s="33" t="s">
        <v>7510</v>
      </c>
      <c r="C1972" s="33" t="s">
        <v>3549</v>
      </c>
      <c r="D1972" s="33" t="s">
        <v>67</v>
      </c>
      <c r="E1972" s="33" t="s">
        <v>6600</v>
      </c>
      <c r="G1972" s="33" t="s">
        <v>4068</v>
      </c>
      <c r="H1972" s="33" t="s">
        <v>2902</v>
      </c>
      <c r="I1972" s="33" t="s">
        <v>2902</v>
      </c>
      <c r="J1972" s="33" t="s">
        <v>7511</v>
      </c>
      <c r="K1972" s="33" t="s">
        <v>6602</v>
      </c>
      <c r="L1972" s="33" t="s">
        <v>3562</v>
      </c>
      <c r="M1972" s="33" t="str">
        <f>_xlfn.XLOOKUP(Tabela14[[#This Row],[Responsável]],Organograma!H:H,Organograma!G:G,"")</f>
        <v>CC - Centro Cirúrgico</v>
      </c>
      <c r="Q1972" s="33" t="s">
        <v>7095</v>
      </c>
    </row>
    <row r="1973" spans="1:17">
      <c r="A1973" s="33" t="s">
        <v>7512</v>
      </c>
      <c r="B1973" s="33" t="s">
        <v>7513</v>
      </c>
      <c r="C1973" s="33" t="s">
        <v>3549</v>
      </c>
      <c r="D1973" s="33" t="s">
        <v>4068</v>
      </c>
      <c r="E1973" s="33" t="s">
        <v>3976</v>
      </c>
      <c r="G1973" s="33" t="s">
        <v>4068</v>
      </c>
      <c r="H1973" s="33" t="s">
        <v>2902</v>
      </c>
      <c r="I1973" s="33" t="s">
        <v>2902</v>
      </c>
      <c r="J1973" s="33" t="s">
        <v>7514</v>
      </c>
      <c r="K1973" s="33" t="s">
        <v>1791</v>
      </c>
      <c r="L1973" s="33" t="s">
        <v>1206</v>
      </c>
      <c r="M1973" s="33" t="str">
        <f>_xlfn.XLOOKUP(Tabela14[[#This Row],[Responsável]],Organograma!H:H,Organograma!G:G,"")</f>
        <v/>
      </c>
      <c r="Q1973" s="33" t="s">
        <v>7095</v>
      </c>
    </row>
    <row r="1974" spans="1:17" hidden="1">
      <c r="A1974" s="33" t="s">
        <v>7515</v>
      </c>
      <c r="B1974" s="33" t="s">
        <v>7516</v>
      </c>
      <c r="C1974" s="33" t="s">
        <v>3549</v>
      </c>
      <c r="D1974" s="33" t="s">
        <v>3323</v>
      </c>
      <c r="E1974" s="33" t="s">
        <v>2471</v>
      </c>
      <c r="G1974" s="33" t="s">
        <v>3323</v>
      </c>
      <c r="H1974" s="33" t="s">
        <v>2902</v>
      </c>
      <c r="I1974" s="33" t="s">
        <v>2902</v>
      </c>
      <c r="J1974" s="33" t="s">
        <v>7517</v>
      </c>
      <c r="K1974" s="33" t="s">
        <v>2471</v>
      </c>
      <c r="L1974" s="33" t="s">
        <v>1206</v>
      </c>
      <c r="M1974" s="33" t="str">
        <f>_xlfn.XLOOKUP(Tabela14[[#This Row],[Responsável]],Organograma!H:H,Organograma!G:G,"")</f>
        <v/>
      </c>
      <c r="Q1974" s="33" t="s">
        <v>7095</v>
      </c>
    </row>
    <row r="1975" spans="1:17" hidden="1">
      <c r="A1975" s="33" t="s">
        <v>7518</v>
      </c>
      <c r="B1975" s="33" t="s">
        <v>7519</v>
      </c>
      <c r="C1975" s="33" t="s">
        <v>3549</v>
      </c>
      <c r="D1975" s="33" t="s">
        <v>67</v>
      </c>
      <c r="E1975" s="33" t="s">
        <v>6600</v>
      </c>
      <c r="G1975" s="33" t="s">
        <v>4068</v>
      </c>
      <c r="H1975" s="33" t="s">
        <v>2902</v>
      </c>
      <c r="I1975" s="33" t="s">
        <v>2902</v>
      </c>
      <c r="J1975" s="33" t="s">
        <v>7520</v>
      </c>
      <c r="K1975" s="33" t="s">
        <v>6602</v>
      </c>
      <c r="L1975" s="33" t="s">
        <v>3562</v>
      </c>
      <c r="M1975" s="33" t="str">
        <f>_xlfn.XLOOKUP(Tabela14[[#This Row],[Responsável]],Organograma!H:H,Organograma!G:G,"")</f>
        <v>CC - Centro Cirúrgico</v>
      </c>
      <c r="Q1975" s="33" t="s">
        <v>7095</v>
      </c>
    </row>
    <row r="1976" spans="1:17">
      <c r="A1976" s="33" t="s">
        <v>7521</v>
      </c>
      <c r="B1976" s="33" t="s">
        <v>7522</v>
      </c>
      <c r="C1976" s="33" t="s">
        <v>3549</v>
      </c>
      <c r="D1976" s="33" t="s">
        <v>67</v>
      </c>
      <c r="E1976" s="33" t="s">
        <v>3976</v>
      </c>
      <c r="G1976" s="33" t="s">
        <v>4068</v>
      </c>
      <c r="H1976" s="33" t="s">
        <v>2902</v>
      </c>
      <c r="I1976" s="33" t="s">
        <v>2902</v>
      </c>
      <c r="J1976" s="33" t="s">
        <v>7523</v>
      </c>
      <c r="K1976" s="33" t="s">
        <v>6898</v>
      </c>
      <c r="L1976" s="33" t="s">
        <v>1206</v>
      </c>
      <c r="M1976" s="33" t="str">
        <f>_xlfn.XLOOKUP(Tabela14[[#This Row],[Responsável]],Organograma!H:H,Organograma!G:G,"")</f>
        <v>CC - Centro Cirúrgico</v>
      </c>
      <c r="Q1976" s="33" t="s">
        <v>7095</v>
      </c>
    </row>
    <row r="1977" spans="1:17" hidden="1">
      <c r="A1977" s="33" t="s">
        <v>7524</v>
      </c>
      <c r="B1977" s="33" t="s">
        <v>7525</v>
      </c>
      <c r="C1977" s="33" t="s">
        <v>3549</v>
      </c>
      <c r="D1977" s="33" t="s">
        <v>67</v>
      </c>
      <c r="E1977" s="33" t="s">
        <v>6600</v>
      </c>
      <c r="G1977" s="33" t="s">
        <v>4068</v>
      </c>
      <c r="H1977" s="33" t="s">
        <v>2902</v>
      </c>
      <c r="I1977" s="33" t="s">
        <v>2902</v>
      </c>
      <c r="J1977" s="33" t="s">
        <v>7526</v>
      </c>
      <c r="K1977" s="33" t="s">
        <v>6602</v>
      </c>
      <c r="L1977" s="33" t="s">
        <v>3135</v>
      </c>
      <c r="M1977" s="33" t="str">
        <f>_xlfn.XLOOKUP(Tabela14[[#This Row],[Responsável]],Organograma!H:H,Organograma!G:G,"")</f>
        <v>CC - Centro Cirúrgico</v>
      </c>
      <c r="Q1977" s="33" t="s">
        <v>7095</v>
      </c>
    </row>
    <row r="1978" spans="1:17">
      <c r="A1978" s="33" t="s">
        <v>7527</v>
      </c>
      <c r="B1978" s="33" t="s">
        <v>7528</v>
      </c>
      <c r="C1978" s="33" t="s">
        <v>3549</v>
      </c>
      <c r="D1978" s="33" t="s">
        <v>4068</v>
      </c>
      <c r="E1978" s="33" t="s">
        <v>6658</v>
      </c>
      <c r="G1978" s="33" t="s">
        <v>4068</v>
      </c>
      <c r="H1978" s="33" t="s">
        <v>2902</v>
      </c>
      <c r="I1978" s="33" t="s">
        <v>2902</v>
      </c>
      <c r="J1978" s="33" t="s">
        <v>7529</v>
      </c>
      <c r="K1978" s="33" t="s">
        <v>1791</v>
      </c>
      <c r="L1978" s="33" t="s">
        <v>1206</v>
      </c>
      <c r="M1978" s="33" t="str">
        <f>_xlfn.XLOOKUP(Tabela14[[#This Row],[Responsável]],Organograma!H:H,Organograma!G:G,"")</f>
        <v/>
      </c>
      <c r="Q1978" s="33" t="s">
        <v>7095</v>
      </c>
    </row>
    <row r="1979" spans="1:17">
      <c r="A1979" s="33" t="s">
        <v>7530</v>
      </c>
      <c r="B1979" s="33" t="s">
        <v>7531</v>
      </c>
      <c r="C1979" s="33" t="s">
        <v>3549</v>
      </c>
      <c r="D1979" s="33" t="s">
        <v>4068</v>
      </c>
      <c r="E1979" s="33" t="s">
        <v>3976</v>
      </c>
      <c r="G1979" s="33" t="s">
        <v>4068</v>
      </c>
      <c r="H1979" s="33" t="s">
        <v>2902</v>
      </c>
      <c r="I1979" s="33" t="s">
        <v>2902</v>
      </c>
      <c r="J1979" s="33" t="s">
        <v>7532</v>
      </c>
      <c r="K1979" s="33" t="s">
        <v>1791</v>
      </c>
      <c r="L1979" s="33" t="s">
        <v>1206</v>
      </c>
      <c r="M1979" s="33" t="str">
        <f>_xlfn.XLOOKUP(Tabela14[[#This Row],[Responsável]],Organograma!H:H,Organograma!G:G,"")</f>
        <v/>
      </c>
      <c r="Q1979" s="33" t="s">
        <v>7095</v>
      </c>
    </row>
    <row r="1980" spans="1:17" hidden="1">
      <c r="A1980" s="33" t="s">
        <v>7533</v>
      </c>
      <c r="B1980" s="33" t="s">
        <v>7534</v>
      </c>
      <c r="C1980" s="33" t="s">
        <v>3549</v>
      </c>
      <c r="D1980" s="33" t="s">
        <v>81</v>
      </c>
      <c r="E1980" s="33" t="s">
        <v>6609</v>
      </c>
      <c r="G1980" s="33" t="s">
        <v>4068</v>
      </c>
      <c r="H1980" s="33" t="s">
        <v>2902</v>
      </c>
      <c r="I1980" s="33" t="s">
        <v>2902</v>
      </c>
      <c r="J1980" s="33" t="s">
        <v>7535</v>
      </c>
      <c r="K1980" s="33" t="s">
        <v>6611</v>
      </c>
      <c r="L1980" s="33" t="s">
        <v>2902</v>
      </c>
      <c r="M1980" s="33" t="str">
        <f>_xlfn.XLOOKUP(Tabela14[[#This Row],[Responsável]],Organograma!H:H,Organograma!G:G,"")</f>
        <v>CPN - Centro de Parto Normal</v>
      </c>
      <c r="Q1980" s="33" t="s">
        <v>7095</v>
      </c>
    </row>
    <row r="1981" spans="1:17">
      <c r="A1981" s="33" t="s">
        <v>7536</v>
      </c>
      <c r="B1981" s="33" t="s">
        <v>7537</v>
      </c>
      <c r="C1981" s="33" t="s">
        <v>3549</v>
      </c>
      <c r="D1981" s="33" t="s">
        <v>6819</v>
      </c>
      <c r="E1981" s="33" t="s">
        <v>7093</v>
      </c>
      <c r="G1981" s="33" t="s">
        <v>4068</v>
      </c>
      <c r="H1981" s="33" t="s">
        <v>2902</v>
      </c>
      <c r="I1981" s="33" t="s">
        <v>2902</v>
      </c>
      <c r="J1981" s="33" t="s">
        <v>7538</v>
      </c>
      <c r="K1981" s="33" t="s">
        <v>6611</v>
      </c>
      <c r="L1981" s="33" t="s">
        <v>3597</v>
      </c>
      <c r="M1981" s="33" t="str">
        <f>_xlfn.XLOOKUP(Tabela14[[#This Row],[Responsável]],Organograma!H:H,Organograma!G:G,"")</f>
        <v/>
      </c>
      <c r="Q1981" s="33" t="s">
        <v>7095</v>
      </c>
    </row>
    <row r="1982" spans="1:17">
      <c r="A1982" s="33" t="s">
        <v>7539</v>
      </c>
      <c r="B1982" s="33" t="s">
        <v>7540</v>
      </c>
      <c r="C1982" s="33" t="s">
        <v>3549</v>
      </c>
      <c r="D1982" s="33" t="s">
        <v>4068</v>
      </c>
      <c r="E1982" s="33" t="s">
        <v>3976</v>
      </c>
      <c r="G1982" s="33" t="s">
        <v>4068</v>
      </c>
      <c r="H1982" s="33" t="s">
        <v>2902</v>
      </c>
      <c r="I1982" s="33" t="s">
        <v>2902</v>
      </c>
      <c r="J1982" s="33" t="s">
        <v>7541</v>
      </c>
      <c r="K1982" s="33" t="s">
        <v>1791</v>
      </c>
      <c r="L1982" s="33" t="s">
        <v>3475</v>
      </c>
      <c r="M1982" s="33" t="str">
        <f>_xlfn.XLOOKUP(Tabela14[[#This Row],[Responsável]],Organograma!H:H,Organograma!G:G,"")</f>
        <v/>
      </c>
      <c r="Q1982" s="33" t="s">
        <v>7095</v>
      </c>
    </row>
    <row r="1983" spans="1:17">
      <c r="A1983" s="33" t="s">
        <v>7542</v>
      </c>
      <c r="B1983" s="33" t="s">
        <v>7543</v>
      </c>
      <c r="C1983" s="33" t="s">
        <v>3549</v>
      </c>
      <c r="D1983" s="33" t="s">
        <v>2444</v>
      </c>
      <c r="E1983" s="33" t="s">
        <v>7093</v>
      </c>
      <c r="G1983" s="33" t="s">
        <v>4068</v>
      </c>
      <c r="H1983" s="33" t="s">
        <v>2902</v>
      </c>
      <c r="I1983" s="33" t="s">
        <v>2902</v>
      </c>
      <c r="J1983" s="33" t="s">
        <v>7544</v>
      </c>
      <c r="K1983" s="33" t="s">
        <v>6611</v>
      </c>
      <c r="L1983" s="33" t="s">
        <v>3365</v>
      </c>
      <c r="M1983" s="33" t="str">
        <f>_xlfn.XLOOKUP(Tabela14[[#This Row],[Responsável]],Organograma!H:H,Organograma!G:G,"")</f>
        <v/>
      </c>
      <c r="Q1983" s="33" t="s">
        <v>7095</v>
      </c>
    </row>
    <row r="1984" spans="1:17" hidden="1">
      <c r="A1984" s="33" t="s">
        <v>7545</v>
      </c>
      <c r="B1984" s="33" t="s">
        <v>7546</v>
      </c>
      <c r="C1984" s="33" t="s">
        <v>3549</v>
      </c>
      <c r="D1984" s="33" t="s">
        <v>67</v>
      </c>
      <c r="E1984" s="33" t="s">
        <v>6609</v>
      </c>
      <c r="G1984" s="33" t="s">
        <v>4068</v>
      </c>
      <c r="H1984" s="33" t="s">
        <v>2902</v>
      </c>
      <c r="I1984" s="33" t="s">
        <v>2902</v>
      </c>
      <c r="J1984" s="33" t="s">
        <v>7547</v>
      </c>
      <c r="K1984" s="33" t="s">
        <v>6611</v>
      </c>
      <c r="L1984" s="33" t="s">
        <v>2902</v>
      </c>
      <c r="M1984" s="33" t="str">
        <f>_xlfn.XLOOKUP(Tabela14[[#This Row],[Responsável]],Organograma!H:H,Organograma!G:G,"")</f>
        <v>CC - Centro Cirúrgico</v>
      </c>
      <c r="Q1984" s="33" t="s">
        <v>7095</v>
      </c>
    </row>
    <row r="1985" spans="1:17" hidden="1">
      <c r="A1985" s="33" t="s">
        <v>7548</v>
      </c>
      <c r="B1985" s="33" t="s">
        <v>7549</v>
      </c>
      <c r="C1985" s="33" t="s">
        <v>3549</v>
      </c>
      <c r="D1985" s="33" t="s">
        <v>3467</v>
      </c>
      <c r="E1985" s="33" t="s">
        <v>6609</v>
      </c>
      <c r="G1985" s="33" t="s">
        <v>4068</v>
      </c>
      <c r="H1985" s="33" t="s">
        <v>2902</v>
      </c>
      <c r="I1985" s="33" t="s">
        <v>2902</v>
      </c>
      <c r="J1985" s="33" t="s">
        <v>7550</v>
      </c>
      <c r="K1985" s="33" t="s">
        <v>6611</v>
      </c>
      <c r="L1985" s="33" t="s">
        <v>2902</v>
      </c>
      <c r="M1985" s="33" t="str">
        <f>_xlfn.XLOOKUP(Tabela14[[#This Row],[Responsável]],Organograma!H:H,Organograma!G:G,"")</f>
        <v/>
      </c>
      <c r="Q1985" s="33" t="s">
        <v>7095</v>
      </c>
    </row>
    <row r="1986" spans="1:17" hidden="1">
      <c r="A1986" s="33" t="s">
        <v>7551</v>
      </c>
      <c r="B1986" s="33" t="s">
        <v>7552</v>
      </c>
      <c r="C1986" s="33" t="s">
        <v>3549</v>
      </c>
      <c r="D1986" s="33" t="s">
        <v>3467</v>
      </c>
      <c r="E1986" s="33" t="s">
        <v>6609</v>
      </c>
      <c r="G1986" s="33" t="s">
        <v>4068</v>
      </c>
      <c r="H1986" s="33" t="s">
        <v>2902</v>
      </c>
      <c r="I1986" s="33" t="s">
        <v>2902</v>
      </c>
      <c r="J1986" s="33" t="s">
        <v>7553</v>
      </c>
      <c r="K1986" s="33" t="s">
        <v>6611</v>
      </c>
      <c r="L1986" s="33" t="s">
        <v>2685</v>
      </c>
      <c r="M1986" s="33" t="str">
        <f>_xlfn.XLOOKUP(Tabela14[[#This Row],[Responsável]],Organograma!H:H,Organograma!G:G,"")</f>
        <v/>
      </c>
      <c r="Q1986" s="33" t="s">
        <v>7095</v>
      </c>
    </row>
    <row r="1987" spans="1:17" hidden="1">
      <c r="A1987" s="33" t="s">
        <v>7554</v>
      </c>
      <c r="B1987" s="33" t="s">
        <v>7555</v>
      </c>
      <c r="C1987" s="33" t="s">
        <v>3549</v>
      </c>
      <c r="D1987" s="33" t="s">
        <v>3467</v>
      </c>
      <c r="E1987" s="33" t="s">
        <v>6609</v>
      </c>
      <c r="G1987" s="33" t="s">
        <v>4068</v>
      </c>
      <c r="H1987" s="33" t="s">
        <v>3091</v>
      </c>
      <c r="I1987" s="33" t="s">
        <v>3091</v>
      </c>
      <c r="J1987" s="33" t="s">
        <v>7556</v>
      </c>
      <c r="K1987" s="33" t="s">
        <v>6611</v>
      </c>
      <c r="L1987" s="33" t="s">
        <v>2685</v>
      </c>
      <c r="M1987" s="33" t="str">
        <f>_xlfn.XLOOKUP(Tabela14[[#This Row],[Responsável]],Organograma!H:H,Organograma!G:G,"")</f>
        <v/>
      </c>
      <c r="Q1987" s="33" t="s">
        <v>7095</v>
      </c>
    </row>
    <row r="1988" spans="1:17" hidden="1">
      <c r="A1988" s="33" t="s">
        <v>7557</v>
      </c>
      <c r="B1988" s="33" t="s">
        <v>7558</v>
      </c>
      <c r="C1988" s="33" t="s">
        <v>3549</v>
      </c>
      <c r="D1988" s="33" t="s">
        <v>41</v>
      </c>
      <c r="E1988" s="33" t="s">
        <v>6609</v>
      </c>
      <c r="G1988" s="33" t="s">
        <v>4068</v>
      </c>
      <c r="H1988" s="33" t="s">
        <v>3091</v>
      </c>
      <c r="I1988" s="33" t="s">
        <v>3091</v>
      </c>
      <c r="J1988" s="33" t="s">
        <v>7559</v>
      </c>
      <c r="K1988" s="33" t="s">
        <v>6611</v>
      </c>
      <c r="L1988" s="33" t="s">
        <v>3091</v>
      </c>
      <c r="M1988" s="33" t="str">
        <f>_xlfn.XLOOKUP(Tabela14[[#This Row],[Responsável]],Organograma!H:H,Organograma!G:G,"")</f>
        <v>APGQ - Assessoria de Planejamento e Gestão da Qualidade</v>
      </c>
      <c r="Q1988" s="33" t="s">
        <v>7095</v>
      </c>
    </row>
    <row r="1989" spans="1:17" hidden="1">
      <c r="A1989" s="33" t="s">
        <v>7560</v>
      </c>
      <c r="B1989" s="33" t="s">
        <v>7561</v>
      </c>
      <c r="C1989" s="33" t="s">
        <v>3549</v>
      </c>
      <c r="D1989" s="33" t="s">
        <v>7212</v>
      </c>
      <c r="E1989" s="33" t="s">
        <v>6609</v>
      </c>
      <c r="G1989" s="33" t="s">
        <v>4068</v>
      </c>
      <c r="H1989" s="33" t="s">
        <v>3091</v>
      </c>
      <c r="I1989" s="33" t="s">
        <v>3091</v>
      </c>
      <c r="J1989" s="33" t="s">
        <v>7562</v>
      </c>
      <c r="K1989" s="33" t="s">
        <v>6611</v>
      </c>
      <c r="L1989" s="33" t="s">
        <v>3091</v>
      </c>
      <c r="M1989" s="33" t="str">
        <f>_xlfn.XLOOKUP(Tabela14[[#This Row],[Responsável]],Organograma!H:H,Organograma!G:G,"")</f>
        <v/>
      </c>
      <c r="Q1989" s="33" t="s">
        <v>7095</v>
      </c>
    </row>
    <row r="1990" spans="1:17" hidden="1">
      <c r="A1990" s="33" t="s">
        <v>7563</v>
      </c>
      <c r="B1990" s="33" t="s">
        <v>7564</v>
      </c>
      <c r="C1990" s="33" t="s">
        <v>3549</v>
      </c>
      <c r="D1990" s="33" t="s">
        <v>14</v>
      </c>
      <c r="E1990" s="33" t="s">
        <v>6609</v>
      </c>
      <c r="G1990" s="33" t="s">
        <v>4068</v>
      </c>
      <c r="H1990" s="33" t="s">
        <v>3091</v>
      </c>
      <c r="I1990" s="33" t="s">
        <v>3091</v>
      </c>
      <c r="J1990" s="33" t="s">
        <v>7565</v>
      </c>
      <c r="K1990" s="33" t="s">
        <v>6611</v>
      </c>
      <c r="L1990" s="33" t="s">
        <v>3091</v>
      </c>
      <c r="M1990" s="33" t="str">
        <f>_xlfn.XLOOKUP(Tabela14[[#This Row],[Responsável]],Organograma!H:H,Organograma!G:G,"")</f>
        <v>SUP - Suprimentos</v>
      </c>
      <c r="Q1990" s="33" t="s">
        <v>7095</v>
      </c>
    </row>
    <row r="1991" spans="1:17" hidden="1">
      <c r="A1991" s="33" t="s">
        <v>7566</v>
      </c>
      <c r="B1991" s="33" t="s">
        <v>7567</v>
      </c>
      <c r="C1991" s="33" t="s">
        <v>3549</v>
      </c>
      <c r="D1991" s="33" t="s">
        <v>81</v>
      </c>
      <c r="E1991" s="33" t="s">
        <v>6609</v>
      </c>
      <c r="G1991" s="33" t="s">
        <v>4068</v>
      </c>
      <c r="H1991" s="33" t="s">
        <v>3091</v>
      </c>
      <c r="I1991" s="33" t="s">
        <v>3091</v>
      </c>
      <c r="J1991" s="33" t="s">
        <v>7568</v>
      </c>
      <c r="K1991" s="33" t="s">
        <v>6611</v>
      </c>
      <c r="L1991" s="33" t="s">
        <v>3091</v>
      </c>
      <c r="M1991" s="33" t="str">
        <f>_xlfn.XLOOKUP(Tabela14[[#This Row],[Responsável]],Organograma!H:H,Organograma!G:G,"")</f>
        <v>CPN - Centro de Parto Normal</v>
      </c>
      <c r="Q1991" s="33" t="s">
        <v>7095</v>
      </c>
    </row>
    <row r="1992" spans="1:17" hidden="1">
      <c r="A1992" s="33" t="s">
        <v>7569</v>
      </c>
      <c r="B1992" s="33" t="s">
        <v>7570</v>
      </c>
      <c r="C1992" s="33" t="s">
        <v>3549</v>
      </c>
      <c r="D1992" s="33" t="s">
        <v>81</v>
      </c>
      <c r="E1992" s="33" t="s">
        <v>6609</v>
      </c>
      <c r="G1992" s="33" t="s">
        <v>4068</v>
      </c>
      <c r="H1992" s="33" t="s">
        <v>3091</v>
      </c>
      <c r="I1992" s="33" t="s">
        <v>3091</v>
      </c>
      <c r="J1992" s="33" t="s">
        <v>7571</v>
      </c>
      <c r="K1992" s="33" t="s">
        <v>6611</v>
      </c>
      <c r="L1992" s="33" t="s">
        <v>3091</v>
      </c>
      <c r="M1992" s="33" t="str">
        <f>_xlfn.XLOOKUP(Tabela14[[#This Row],[Responsável]],Organograma!H:H,Organograma!G:G,"")</f>
        <v>CPN - Centro de Parto Normal</v>
      </c>
      <c r="Q1992" s="33" t="s">
        <v>7095</v>
      </c>
    </row>
    <row r="1993" spans="1:17" hidden="1">
      <c r="A1993" s="33" t="s">
        <v>7572</v>
      </c>
      <c r="B1993" s="33" t="s">
        <v>7573</v>
      </c>
      <c r="C1993" s="33" t="s">
        <v>3549</v>
      </c>
      <c r="D1993" s="33" t="s">
        <v>81</v>
      </c>
      <c r="E1993" s="33" t="s">
        <v>6609</v>
      </c>
      <c r="G1993" s="33" t="s">
        <v>4068</v>
      </c>
      <c r="H1993" s="33" t="s">
        <v>3091</v>
      </c>
      <c r="I1993" s="33" t="s">
        <v>3091</v>
      </c>
      <c r="J1993" s="33" t="s">
        <v>7574</v>
      </c>
      <c r="K1993" s="33" t="s">
        <v>6611</v>
      </c>
      <c r="L1993" s="33" t="s">
        <v>3091</v>
      </c>
      <c r="M1993" s="33" t="str">
        <f>_xlfn.XLOOKUP(Tabela14[[#This Row],[Responsável]],Organograma!H:H,Organograma!G:G,"")</f>
        <v>CPN - Centro de Parto Normal</v>
      </c>
      <c r="Q1993" s="33" t="s">
        <v>7095</v>
      </c>
    </row>
    <row r="1994" spans="1:17" hidden="1">
      <c r="A1994" s="33" t="s">
        <v>7575</v>
      </c>
      <c r="B1994" s="33" t="s">
        <v>7576</v>
      </c>
      <c r="C1994" s="33" t="s">
        <v>3549</v>
      </c>
      <c r="D1994" s="33" t="s">
        <v>81</v>
      </c>
      <c r="E1994" s="33" t="s">
        <v>6609</v>
      </c>
      <c r="G1994" s="33" t="s">
        <v>4068</v>
      </c>
      <c r="H1994" s="33" t="s">
        <v>3091</v>
      </c>
      <c r="I1994" s="33" t="s">
        <v>3091</v>
      </c>
      <c r="J1994" s="33" t="s">
        <v>7577</v>
      </c>
      <c r="K1994" s="33" t="s">
        <v>6611</v>
      </c>
      <c r="L1994" s="33" t="s">
        <v>3091</v>
      </c>
      <c r="M1994" s="33" t="str">
        <f>_xlfn.XLOOKUP(Tabela14[[#This Row],[Responsável]],Organograma!H:H,Organograma!G:G,"")</f>
        <v>CPN - Centro de Parto Normal</v>
      </c>
      <c r="Q1994" s="33" t="s">
        <v>7095</v>
      </c>
    </row>
    <row r="1995" spans="1:17">
      <c r="A1995" s="33" t="s">
        <v>7578</v>
      </c>
      <c r="B1995" s="33" t="s">
        <v>7579</v>
      </c>
      <c r="C1995" s="33" t="s">
        <v>3549</v>
      </c>
      <c r="D1995" s="33" t="s">
        <v>4068</v>
      </c>
      <c r="E1995" s="33" t="s">
        <v>3976</v>
      </c>
      <c r="G1995" s="33" t="s">
        <v>4068</v>
      </c>
      <c r="H1995" s="33" t="s">
        <v>3091</v>
      </c>
      <c r="I1995" s="33" t="s">
        <v>3091</v>
      </c>
      <c r="J1995" s="33" t="s">
        <v>7580</v>
      </c>
      <c r="K1995" s="33" t="s">
        <v>1791</v>
      </c>
      <c r="L1995" s="33" t="s">
        <v>3475</v>
      </c>
      <c r="M1995" s="33" t="str">
        <f>_xlfn.XLOOKUP(Tabela14[[#This Row],[Responsável]],Organograma!H:H,Organograma!G:G,"")</f>
        <v/>
      </c>
      <c r="Q1995" s="33" t="s">
        <v>7095</v>
      </c>
    </row>
    <row r="1996" spans="1:17">
      <c r="A1996" s="33" t="s">
        <v>7581</v>
      </c>
      <c r="B1996" s="33" t="s">
        <v>7582</v>
      </c>
      <c r="C1996" s="33" t="s">
        <v>3549</v>
      </c>
      <c r="D1996" s="33" t="s">
        <v>4068</v>
      </c>
      <c r="E1996" s="33" t="s">
        <v>3976</v>
      </c>
      <c r="G1996" s="33" t="s">
        <v>4068</v>
      </c>
      <c r="H1996" s="33" t="s">
        <v>3091</v>
      </c>
      <c r="I1996" s="33" t="s">
        <v>3091</v>
      </c>
      <c r="J1996" s="33" t="s">
        <v>7583</v>
      </c>
      <c r="K1996" s="33" t="s">
        <v>1791</v>
      </c>
      <c r="L1996" s="33" t="s">
        <v>3475</v>
      </c>
      <c r="M1996" s="33" t="str">
        <f>_xlfn.XLOOKUP(Tabela14[[#This Row],[Responsável]],Organograma!H:H,Organograma!G:G,"")</f>
        <v/>
      </c>
      <c r="Q1996" s="33" t="s">
        <v>7095</v>
      </c>
    </row>
    <row r="1997" spans="1:17">
      <c r="A1997" s="33" t="s">
        <v>7584</v>
      </c>
      <c r="B1997" s="33" t="s">
        <v>7585</v>
      </c>
      <c r="C1997" s="33" t="s">
        <v>3549</v>
      </c>
      <c r="D1997" s="33" t="s">
        <v>4068</v>
      </c>
      <c r="E1997" s="33" t="s">
        <v>6658</v>
      </c>
      <c r="G1997" s="33" t="s">
        <v>4068</v>
      </c>
      <c r="H1997" s="33" t="s">
        <v>3091</v>
      </c>
      <c r="I1997" s="33" t="s">
        <v>3091</v>
      </c>
      <c r="J1997" s="33" t="s">
        <v>7586</v>
      </c>
      <c r="K1997" s="33" t="s">
        <v>1791</v>
      </c>
      <c r="L1997" s="33" t="s">
        <v>3475</v>
      </c>
      <c r="M1997" s="33" t="str">
        <f>_xlfn.XLOOKUP(Tabela14[[#This Row],[Responsável]],Organograma!H:H,Organograma!G:G,"")</f>
        <v/>
      </c>
      <c r="Q1997" s="33" t="s">
        <v>7095</v>
      </c>
    </row>
    <row r="1998" spans="1:17" hidden="1">
      <c r="A1998" s="33" t="s">
        <v>7587</v>
      </c>
      <c r="B1998" s="33" t="s">
        <v>7588</v>
      </c>
      <c r="C1998" s="33" t="s">
        <v>3549</v>
      </c>
      <c r="D1998" s="33" t="s">
        <v>4068</v>
      </c>
      <c r="E1998" s="33" t="s">
        <v>7589</v>
      </c>
      <c r="G1998" s="33" t="s">
        <v>4068</v>
      </c>
      <c r="H1998" s="33" t="s">
        <v>3091</v>
      </c>
      <c r="I1998" s="33" t="s">
        <v>3091</v>
      </c>
      <c r="J1998" s="33" t="s">
        <v>7590</v>
      </c>
      <c r="K1998" s="33" t="s">
        <v>1791</v>
      </c>
      <c r="L1998" s="33" t="s">
        <v>3475</v>
      </c>
      <c r="M1998" s="33" t="str">
        <f>_xlfn.XLOOKUP(Tabela14[[#This Row],[Responsável]],Organograma!H:H,Organograma!G:G,"")</f>
        <v/>
      </c>
      <c r="Q1998" s="33" t="s">
        <v>7095</v>
      </c>
    </row>
    <row r="1999" spans="1:17" hidden="1">
      <c r="A1999" s="33" t="s">
        <v>7591</v>
      </c>
      <c r="B1999" s="33" t="s">
        <v>7592</v>
      </c>
      <c r="C1999" s="33" t="s">
        <v>3549</v>
      </c>
      <c r="D1999" s="33" t="s">
        <v>6684</v>
      </c>
      <c r="E1999" s="33" t="s">
        <v>6609</v>
      </c>
      <c r="G1999" s="33" t="s">
        <v>4068</v>
      </c>
      <c r="H1999" s="33" t="s">
        <v>3091</v>
      </c>
      <c r="I1999" s="33" t="s">
        <v>3091</v>
      </c>
      <c r="J1999" s="33" t="s">
        <v>7593</v>
      </c>
      <c r="K1999" s="33" t="s">
        <v>6611</v>
      </c>
      <c r="L1999" s="33" t="s">
        <v>3091</v>
      </c>
      <c r="M1999" s="33" t="str">
        <f>_xlfn.XLOOKUP(Tabela14[[#This Row],[Responsável]],Organograma!H:H,Organograma!G:G,"")</f>
        <v/>
      </c>
      <c r="Q1999" s="33" t="s">
        <v>7095</v>
      </c>
    </row>
    <row r="2000" spans="1:17">
      <c r="A2000" s="33" t="s">
        <v>7594</v>
      </c>
      <c r="B2000" s="33" t="s">
        <v>7595</v>
      </c>
      <c r="C2000" s="33" t="s">
        <v>3549</v>
      </c>
      <c r="D2000" s="33" t="s">
        <v>4068</v>
      </c>
      <c r="E2000" s="33" t="s">
        <v>6658</v>
      </c>
      <c r="G2000" s="33" t="s">
        <v>4068</v>
      </c>
      <c r="H2000" s="33" t="s">
        <v>3091</v>
      </c>
      <c r="I2000" s="33" t="s">
        <v>3091</v>
      </c>
      <c r="J2000" s="33" t="s">
        <v>7596</v>
      </c>
      <c r="K2000" s="33" t="s">
        <v>1791</v>
      </c>
      <c r="L2000" s="33" t="s">
        <v>1206</v>
      </c>
      <c r="M2000" s="33" t="str">
        <f>_xlfn.XLOOKUP(Tabela14[[#This Row],[Responsável]],Organograma!H:H,Organograma!G:G,"")</f>
        <v/>
      </c>
      <c r="Q2000" s="33" t="s">
        <v>7095</v>
      </c>
    </row>
    <row r="2001" spans="1:17">
      <c r="A2001" s="33" t="s">
        <v>7597</v>
      </c>
      <c r="B2001" s="33" t="s">
        <v>7598</v>
      </c>
      <c r="C2001" s="33" t="s">
        <v>3549</v>
      </c>
      <c r="D2001" s="33" t="s">
        <v>4068</v>
      </c>
      <c r="E2001" s="33" t="s">
        <v>3976</v>
      </c>
      <c r="G2001" s="33" t="s">
        <v>4068</v>
      </c>
      <c r="H2001" s="33" t="s">
        <v>3091</v>
      </c>
      <c r="I2001" s="33" t="s">
        <v>3091</v>
      </c>
      <c r="J2001" s="33" t="s">
        <v>7599</v>
      </c>
      <c r="K2001" s="33" t="s">
        <v>1791</v>
      </c>
      <c r="L2001" s="33" t="s">
        <v>1206</v>
      </c>
      <c r="M2001" s="33" t="str">
        <f>_xlfn.XLOOKUP(Tabela14[[#This Row],[Responsável]],Organograma!H:H,Organograma!G:G,"")</f>
        <v/>
      </c>
      <c r="Q2001" s="33" t="s">
        <v>7095</v>
      </c>
    </row>
    <row r="2002" spans="1:17">
      <c r="A2002" s="33" t="s">
        <v>7600</v>
      </c>
      <c r="B2002" s="33" t="s">
        <v>7601</v>
      </c>
      <c r="C2002" s="33" t="s">
        <v>3549</v>
      </c>
      <c r="D2002" s="33" t="s">
        <v>4068</v>
      </c>
      <c r="E2002" s="33" t="s">
        <v>6658</v>
      </c>
      <c r="G2002" s="33" t="s">
        <v>4068</v>
      </c>
      <c r="H2002" s="33" t="s">
        <v>3091</v>
      </c>
      <c r="I2002" s="33" t="s">
        <v>3091</v>
      </c>
      <c r="J2002" s="33" t="s">
        <v>7602</v>
      </c>
      <c r="K2002" s="33" t="s">
        <v>1791</v>
      </c>
      <c r="L2002" s="33" t="s">
        <v>1206</v>
      </c>
      <c r="M2002" s="33" t="str">
        <f>_xlfn.XLOOKUP(Tabela14[[#This Row],[Responsável]],Organograma!H:H,Organograma!G:G,"")</f>
        <v/>
      </c>
      <c r="Q2002" s="33" t="s">
        <v>7095</v>
      </c>
    </row>
    <row r="2003" spans="1:17" hidden="1">
      <c r="A2003" s="33" t="s">
        <v>7603</v>
      </c>
      <c r="B2003" s="33" t="s">
        <v>7604</v>
      </c>
      <c r="C2003" s="33" t="s">
        <v>3549</v>
      </c>
      <c r="D2003" s="33" t="s">
        <v>4068</v>
      </c>
      <c r="E2003" s="33" t="s">
        <v>7589</v>
      </c>
      <c r="G2003" s="33" t="s">
        <v>4068</v>
      </c>
      <c r="H2003" s="33" t="s">
        <v>3091</v>
      </c>
      <c r="I2003" s="33" t="s">
        <v>3091</v>
      </c>
      <c r="J2003" s="33" t="s">
        <v>7605</v>
      </c>
      <c r="K2003" s="33" t="s">
        <v>1791</v>
      </c>
      <c r="L2003" s="33" t="s">
        <v>1206</v>
      </c>
      <c r="M2003" s="33" t="str">
        <f>_xlfn.XLOOKUP(Tabela14[[#This Row],[Responsável]],Organograma!H:H,Organograma!G:G,"")</f>
        <v/>
      </c>
      <c r="Q2003" s="33" t="s">
        <v>7095</v>
      </c>
    </row>
    <row r="2004" spans="1:17">
      <c r="A2004" s="33" t="s">
        <v>7606</v>
      </c>
      <c r="B2004" s="33" t="s">
        <v>7607</v>
      </c>
      <c r="C2004" s="33" t="s">
        <v>3549</v>
      </c>
      <c r="D2004" s="33" t="s">
        <v>4068</v>
      </c>
      <c r="E2004" s="33" t="s">
        <v>6658</v>
      </c>
      <c r="G2004" s="33" t="s">
        <v>4068</v>
      </c>
      <c r="H2004" s="33" t="s">
        <v>3091</v>
      </c>
      <c r="I2004" s="33" t="s">
        <v>3091</v>
      </c>
      <c r="J2004" s="33" t="s">
        <v>7608</v>
      </c>
      <c r="K2004" s="33" t="s">
        <v>1791</v>
      </c>
      <c r="L2004" s="33" t="s">
        <v>1206</v>
      </c>
      <c r="M2004" s="33" t="str">
        <f>_xlfn.XLOOKUP(Tabela14[[#This Row],[Responsável]],Organograma!H:H,Organograma!G:G,"")</f>
        <v/>
      </c>
      <c r="Q2004" s="33" t="s">
        <v>7095</v>
      </c>
    </row>
    <row r="2005" spans="1:17">
      <c r="A2005" s="33" t="s">
        <v>7609</v>
      </c>
      <c r="B2005" s="33" t="s">
        <v>7610</v>
      </c>
      <c r="C2005" s="33" t="s">
        <v>3549</v>
      </c>
      <c r="D2005" s="33" t="s">
        <v>4068</v>
      </c>
      <c r="E2005" s="33" t="s">
        <v>6658</v>
      </c>
      <c r="G2005" s="33" t="s">
        <v>4068</v>
      </c>
      <c r="H2005" s="33" t="s">
        <v>3091</v>
      </c>
      <c r="I2005" s="33" t="s">
        <v>3091</v>
      </c>
      <c r="J2005" s="33" t="s">
        <v>7611</v>
      </c>
      <c r="K2005" s="33" t="s">
        <v>1791</v>
      </c>
      <c r="L2005" s="33" t="s">
        <v>1206</v>
      </c>
      <c r="M2005" s="33" t="str">
        <f>_xlfn.XLOOKUP(Tabela14[[#This Row],[Responsável]],Organograma!H:H,Organograma!G:G,"")</f>
        <v/>
      </c>
      <c r="Q2005" s="33" t="s">
        <v>7095</v>
      </c>
    </row>
    <row r="2006" spans="1:17" hidden="1">
      <c r="A2006" s="33" t="s">
        <v>7612</v>
      </c>
      <c r="B2006" s="33" t="s">
        <v>7613</v>
      </c>
      <c r="C2006" s="33" t="s">
        <v>3549</v>
      </c>
      <c r="D2006" s="33" t="s">
        <v>6819</v>
      </c>
      <c r="E2006" s="33" t="s">
        <v>6609</v>
      </c>
      <c r="G2006" s="33" t="s">
        <v>4068</v>
      </c>
      <c r="H2006" s="33" t="s">
        <v>3091</v>
      </c>
      <c r="I2006" s="33" t="s">
        <v>3091</v>
      </c>
      <c r="J2006" s="33" t="s">
        <v>7614</v>
      </c>
      <c r="K2006" s="33" t="s">
        <v>6611</v>
      </c>
      <c r="L2006" s="33" t="s">
        <v>3091</v>
      </c>
      <c r="M2006" s="33" t="str">
        <f>_xlfn.XLOOKUP(Tabela14[[#This Row],[Responsável]],Organograma!H:H,Organograma!G:G,"")</f>
        <v/>
      </c>
      <c r="Q2006" s="33" t="s">
        <v>7095</v>
      </c>
    </row>
    <row r="2007" spans="1:17" hidden="1">
      <c r="A2007" s="33" t="s">
        <v>7615</v>
      </c>
      <c r="B2007" s="33" t="s">
        <v>7616</v>
      </c>
      <c r="C2007" s="33" t="s">
        <v>3549</v>
      </c>
      <c r="D2007" s="33" t="s">
        <v>6819</v>
      </c>
      <c r="E2007" s="33" t="s">
        <v>6609</v>
      </c>
      <c r="G2007" s="33" t="s">
        <v>4068</v>
      </c>
      <c r="H2007" s="33" t="s">
        <v>3091</v>
      </c>
      <c r="I2007" s="33" t="s">
        <v>3091</v>
      </c>
      <c r="J2007" s="33" t="s">
        <v>7617</v>
      </c>
      <c r="K2007" s="33" t="s">
        <v>6611</v>
      </c>
      <c r="L2007" s="33" t="s">
        <v>3091</v>
      </c>
      <c r="M2007" s="33" t="str">
        <f>_xlfn.XLOOKUP(Tabela14[[#This Row],[Responsável]],Organograma!H:H,Organograma!G:G,"")</f>
        <v/>
      </c>
      <c r="Q2007" s="33" t="s">
        <v>7095</v>
      </c>
    </row>
    <row r="2008" spans="1:17">
      <c r="A2008" s="33" t="s">
        <v>7618</v>
      </c>
      <c r="B2008" s="33" t="s">
        <v>7619</v>
      </c>
      <c r="C2008" s="33" t="s">
        <v>3549</v>
      </c>
      <c r="D2008" s="33" t="s">
        <v>53</v>
      </c>
      <c r="E2008" s="33" t="s">
        <v>7093</v>
      </c>
      <c r="G2008" s="33" t="s">
        <v>4068</v>
      </c>
      <c r="H2008" s="33" t="s">
        <v>3091</v>
      </c>
      <c r="I2008" s="33" t="s">
        <v>3091</v>
      </c>
      <c r="J2008" s="33" t="s">
        <v>7620</v>
      </c>
      <c r="K2008" s="33" t="s">
        <v>6611</v>
      </c>
      <c r="L2008" s="33" t="s">
        <v>3696</v>
      </c>
      <c r="M2008" s="33" t="str">
        <f>_xlfn.XLOOKUP(Tabela14[[#This Row],[Responsável]],Organograma!H:H,Organograma!G:G,"")</f>
        <v>GRSS - Gerenciamento de Resíduos de Serviço de Saúde</v>
      </c>
      <c r="Q2008" s="33" t="s">
        <v>7095</v>
      </c>
    </row>
    <row r="2009" spans="1:17" hidden="1">
      <c r="A2009" s="33" t="s">
        <v>7621</v>
      </c>
      <c r="B2009" s="33" t="s">
        <v>7622</v>
      </c>
      <c r="C2009" s="33" t="s">
        <v>3549</v>
      </c>
      <c r="D2009" s="33" t="s">
        <v>37</v>
      </c>
      <c r="E2009" s="33" t="s">
        <v>6609</v>
      </c>
      <c r="G2009" s="33" t="s">
        <v>4068</v>
      </c>
      <c r="H2009" s="33" t="s">
        <v>3091</v>
      </c>
      <c r="I2009" s="33" t="s">
        <v>3091</v>
      </c>
      <c r="J2009" s="33" t="s">
        <v>7623</v>
      </c>
      <c r="K2009" s="33" t="s">
        <v>6611</v>
      </c>
      <c r="L2009" s="33" t="s">
        <v>3091</v>
      </c>
      <c r="M2009" s="33" t="str">
        <f>_xlfn.XLOOKUP(Tabela14[[#This Row],[Responsável]],Organograma!H:H,Organograma!G:G,"")</f>
        <v>TI - Serviço de Tecnologia de Informação</v>
      </c>
      <c r="Q2009" s="33" t="s">
        <v>7095</v>
      </c>
    </row>
    <row r="2010" spans="1:17" hidden="1">
      <c r="A2010" s="33" t="s">
        <v>7624</v>
      </c>
      <c r="B2010" s="33" t="s">
        <v>7625</v>
      </c>
      <c r="C2010" s="33" t="s">
        <v>3549</v>
      </c>
      <c r="D2010" s="33" t="s">
        <v>35</v>
      </c>
      <c r="E2010" s="33" t="s">
        <v>6609</v>
      </c>
      <c r="G2010" s="33" t="s">
        <v>4068</v>
      </c>
      <c r="H2010" s="33" t="s">
        <v>3091</v>
      </c>
      <c r="I2010" s="33" t="s">
        <v>3091</v>
      </c>
      <c r="J2010" s="33" t="s">
        <v>7626</v>
      </c>
      <c r="K2010" s="33" t="s">
        <v>6611</v>
      </c>
      <c r="L2010" s="33" t="s">
        <v>3091</v>
      </c>
      <c r="M2010" s="33" t="str">
        <f>_xlfn.XLOOKUP(Tabela14[[#This Row],[Responsável]],Organograma!H:H,Organograma!G:G,"")</f>
        <v>SESMT - Serviço Especializado em Segurança e Medicina do Trabalho</v>
      </c>
      <c r="Q2010" s="33" t="s">
        <v>7095</v>
      </c>
    </row>
    <row r="2011" spans="1:17" hidden="1">
      <c r="A2011" s="33" t="s">
        <v>7627</v>
      </c>
      <c r="B2011" s="33" t="s">
        <v>7628</v>
      </c>
      <c r="C2011" s="33" t="s">
        <v>3549</v>
      </c>
      <c r="D2011" s="33" t="s">
        <v>4398</v>
      </c>
      <c r="E2011" s="33" t="s">
        <v>6609</v>
      </c>
      <c r="G2011" s="33" t="s">
        <v>4068</v>
      </c>
      <c r="H2011" s="33" t="s">
        <v>3091</v>
      </c>
      <c r="I2011" s="33" t="s">
        <v>3091</v>
      </c>
      <c r="J2011" s="33" t="s">
        <v>7629</v>
      </c>
      <c r="K2011" s="33" t="s">
        <v>6611</v>
      </c>
      <c r="L2011" s="33" t="s">
        <v>3091</v>
      </c>
      <c r="M2011" s="33" t="str">
        <f>_xlfn.XLOOKUP(Tabela14[[#This Row],[Responsável]],Organograma!H:H,Organograma!G:G,"")</f>
        <v/>
      </c>
      <c r="Q2011" s="33" t="s">
        <v>7095</v>
      </c>
    </row>
    <row r="2012" spans="1:17" hidden="1">
      <c r="A2012" s="33" t="s">
        <v>7630</v>
      </c>
      <c r="B2012" s="33" t="s">
        <v>7631</v>
      </c>
      <c r="C2012" s="33" t="s">
        <v>3549</v>
      </c>
      <c r="D2012" s="33" t="s">
        <v>14</v>
      </c>
      <c r="E2012" s="33" t="s">
        <v>6600</v>
      </c>
      <c r="G2012" s="33" t="s">
        <v>4068</v>
      </c>
      <c r="H2012" s="33" t="s">
        <v>3091</v>
      </c>
      <c r="I2012" s="33" t="s">
        <v>3091</v>
      </c>
      <c r="J2012" s="33" t="s">
        <v>7632</v>
      </c>
      <c r="K2012" s="33" t="s">
        <v>6602</v>
      </c>
      <c r="L2012" s="33" t="s">
        <v>3500</v>
      </c>
      <c r="M2012" s="33" t="str">
        <f>_xlfn.XLOOKUP(Tabela14[[#This Row],[Responsável]],Organograma!H:H,Organograma!G:G,"")</f>
        <v>SUP - Suprimentos</v>
      </c>
      <c r="Q2012" s="33" t="s">
        <v>7095</v>
      </c>
    </row>
    <row r="2013" spans="1:17" hidden="1">
      <c r="A2013" s="33" t="s">
        <v>7633</v>
      </c>
      <c r="B2013" s="33" t="s">
        <v>7634</v>
      </c>
      <c r="C2013" s="33" t="s">
        <v>3549</v>
      </c>
      <c r="D2013" s="33" t="s">
        <v>14</v>
      </c>
      <c r="E2013" s="33" t="s">
        <v>6600</v>
      </c>
      <c r="G2013" s="33" t="s">
        <v>4068</v>
      </c>
      <c r="H2013" s="33" t="s">
        <v>3175</v>
      </c>
      <c r="I2013" s="33" t="s">
        <v>3175</v>
      </c>
      <c r="J2013" s="33" t="s">
        <v>7635</v>
      </c>
      <c r="K2013" s="33" t="s">
        <v>6602</v>
      </c>
      <c r="L2013" s="33" t="s">
        <v>3242</v>
      </c>
      <c r="M2013" s="33" t="str">
        <f>_xlfn.XLOOKUP(Tabela14[[#This Row],[Responsável]],Organograma!H:H,Organograma!G:G,"")</f>
        <v>SUP - Suprimentos</v>
      </c>
      <c r="Q2013" s="33" t="s">
        <v>7095</v>
      </c>
    </row>
    <row r="2014" spans="1:17" hidden="1">
      <c r="A2014" s="33" t="s">
        <v>7636</v>
      </c>
      <c r="B2014" s="33" t="s">
        <v>7637</v>
      </c>
      <c r="C2014" s="33" t="s">
        <v>3549</v>
      </c>
      <c r="D2014" s="33" t="s">
        <v>10</v>
      </c>
      <c r="E2014" s="33" t="s">
        <v>6609</v>
      </c>
      <c r="G2014" s="33" t="s">
        <v>4068</v>
      </c>
      <c r="H2014" s="33" t="s">
        <v>3175</v>
      </c>
      <c r="I2014" s="33" t="s">
        <v>3175</v>
      </c>
      <c r="J2014" s="33" t="s">
        <v>7638</v>
      </c>
      <c r="K2014" s="33" t="s">
        <v>6611</v>
      </c>
      <c r="L2014" s="33" t="s">
        <v>3175</v>
      </c>
      <c r="M2014" s="33" t="str">
        <f>_xlfn.XLOOKUP(Tabela14[[#This Row],[Responsável]],Organograma!H:H,Organograma!G:G,"")</f>
        <v>ENG - Núcleo de Engenharia Clínica</v>
      </c>
      <c r="Q2014" s="33" t="s">
        <v>7095</v>
      </c>
    </row>
    <row r="2015" spans="1:17" hidden="1">
      <c r="A2015" s="33" t="s">
        <v>7639</v>
      </c>
      <c r="B2015" s="33" t="s">
        <v>7640</v>
      </c>
      <c r="C2015" s="33" t="s">
        <v>3549</v>
      </c>
      <c r="D2015" s="33" t="s">
        <v>10</v>
      </c>
      <c r="E2015" s="33" t="s">
        <v>6609</v>
      </c>
      <c r="G2015" s="33" t="s">
        <v>4068</v>
      </c>
      <c r="H2015" s="33" t="s">
        <v>3175</v>
      </c>
      <c r="I2015" s="33" t="s">
        <v>3175</v>
      </c>
      <c r="J2015" s="33" t="s">
        <v>7641</v>
      </c>
      <c r="K2015" s="33" t="s">
        <v>6611</v>
      </c>
      <c r="L2015" s="33" t="s">
        <v>3175</v>
      </c>
      <c r="M2015" s="33" t="str">
        <f>_xlfn.XLOOKUP(Tabela14[[#This Row],[Responsável]],Organograma!H:H,Organograma!G:G,"")</f>
        <v>ENG - Núcleo de Engenharia Clínica</v>
      </c>
      <c r="Q2015" s="33" t="s">
        <v>7095</v>
      </c>
    </row>
    <row r="2016" spans="1:17">
      <c r="A2016" s="33" t="s">
        <v>7642</v>
      </c>
      <c r="B2016" s="33" t="s">
        <v>7643</v>
      </c>
      <c r="C2016" s="33" t="s">
        <v>3549</v>
      </c>
      <c r="D2016" s="33" t="s">
        <v>4068</v>
      </c>
      <c r="E2016" s="33" t="s">
        <v>6658</v>
      </c>
      <c r="G2016" s="33" t="s">
        <v>4068</v>
      </c>
      <c r="H2016" s="33" t="s">
        <v>3175</v>
      </c>
      <c r="I2016" s="33" t="s">
        <v>3175</v>
      </c>
      <c r="J2016" s="33" t="s">
        <v>7644</v>
      </c>
      <c r="K2016" s="33" t="s">
        <v>1791</v>
      </c>
      <c r="L2016" s="33" t="s">
        <v>1206</v>
      </c>
      <c r="M2016" s="33" t="str">
        <f>_xlfn.XLOOKUP(Tabela14[[#This Row],[Responsável]],Organograma!H:H,Organograma!G:G,"")</f>
        <v/>
      </c>
      <c r="Q2016" s="33" t="s">
        <v>7095</v>
      </c>
    </row>
    <row r="2017" spans="1:17">
      <c r="A2017" s="33" t="s">
        <v>7645</v>
      </c>
      <c r="B2017" s="33" t="s">
        <v>7646</v>
      </c>
      <c r="C2017" s="33" t="s">
        <v>3549</v>
      </c>
      <c r="D2017" s="33" t="s">
        <v>4068</v>
      </c>
      <c r="E2017" s="33" t="s">
        <v>6658</v>
      </c>
      <c r="G2017" s="33" t="s">
        <v>4068</v>
      </c>
      <c r="H2017" s="33" t="s">
        <v>3175</v>
      </c>
      <c r="I2017" s="33" t="s">
        <v>3175</v>
      </c>
      <c r="J2017" s="33" t="s">
        <v>7647</v>
      </c>
      <c r="K2017" s="33" t="s">
        <v>1791</v>
      </c>
      <c r="L2017" s="33" t="s">
        <v>1206</v>
      </c>
      <c r="M2017" s="33" t="str">
        <f>_xlfn.XLOOKUP(Tabela14[[#This Row],[Responsável]],Organograma!H:H,Organograma!G:G,"")</f>
        <v/>
      </c>
      <c r="Q2017" s="33" t="s">
        <v>7095</v>
      </c>
    </row>
    <row r="2018" spans="1:17">
      <c r="A2018" s="33" t="s">
        <v>7648</v>
      </c>
      <c r="B2018" s="33" t="s">
        <v>7649</v>
      </c>
      <c r="C2018" s="33" t="s">
        <v>3549</v>
      </c>
      <c r="D2018" s="33" t="s">
        <v>4068</v>
      </c>
      <c r="E2018" s="33" t="s">
        <v>6658</v>
      </c>
      <c r="G2018" s="33" t="s">
        <v>4068</v>
      </c>
      <c r="H2018" s="33" t="s">
        <v>3175</v>
      </c>
      <c r="I2018" s="33" t="s">
        <v>3175</v>
      </c>
      <c r="J2018" s="33" t="s">
        <v>7650</v>
      </c>
      <c r="K2018" s="33" t="s">
        <v>1791</v>
      </c>
      <c r="L2018" s="33" t="s">
        <v>1206</v>
      </c>
      <c r="M2018" s="33" t="str">
        <f>_xlfn.XLOOKUP(Tabela14[[#This Row],[Responsável]],Organograma!H:H,Organograma!G:G,"")</f>
        <v/>
      </c>
      <c r="Q2018" s="33" t="s">
        <v>7095</v>
      </c>
    </row>
    <row r="2019" spans="1:17">
      <c r="A2019" s="33" t="s">
        <v>7651</v>
      </c>
      <c r="B2019" s="33" t="s">
        <v>7652</v>
      </c>
      <c r="C2019" s="33" t="s">
        <v>3549</v>
      </c>
      <c r="D2019" s="33" t="s">
        <v>4068</v>
      </c>
      <c r="E2019" s="33" t="s">
        <v>3976</v>
      </c>
      <c r="G2019" s="33" t="s">
        <v>4068</v>
      </c>
      <c r="H2019" s="33" t="s">
        <v>3175</v>
      </c>
      <c r="I2019" s="33" t="s">
        <v>3175</v>
      </c>
      <c r="J2019" s="33" t="s">
        <v>7653</v>
      </c>
      <c r="K2019" s="33" t="s">
        <v>1791</v>
      </c>
      <c r="L2019" s="33" t="s">
        <v>3273</v>
      </c>
      <c r="M2019" s="33" t="str">
        <f>_xlfn.XLOOKUP(Tabela14[[#This Row],[Responsável]],Organograma!H:H,Organograma!G:G,"")</f>
        <v/>
      </c>
      <c r="Q2019" s="33" t="s">
        <v>7095</v>
      </c>
    </row>
    <row r="2020" spans="1:17" hidden="1">
      <c r="A2020" s="33" t="s">
        <v>7654</v>
      </c>
      <c r="B2020" s="33" t="s">
        <v>7655</v>
      </c>
      <c r="C2020" s="33" t="s">
        <v>3549</v>
      </c>
      <c r="D2020" s="33" t="s">
        <v>67</v>
      </c>
      <c r="E2020" s="33" t="s">
        <v>6609</v>
      </c>
      <c r="G2020" s="33" t="s">
        <v>4068</v>
      </c>
      <c r="H2020" s="33" t="s">
        <v>3175</v>
      </c>
      <c r="I2020" s="33" t="s">
        <v>3175</v>
      </c>
      <c r="J2020" s="33" t="s">
        <v>7656</v>
      </c>
      <c r="K2020" s="33" t="s">
        <v>6611</v>
      </c>
      <c r="L2020" s="33" t="s">
        <v>3175</v>
      </c>
      <c r="M2020" s="33" t="str">
        <f>_xlfn.XLOOKUP(Tabela14[[#This Row],[Responsável]],Organograma!H:H,Organograma!G:G,"")</f>
        <v>CC - Centro Cirúrgico</v>
      </c>
      <c r="Q2020" s="33" t="s">
        <v>7095</v>
      </c>
    </row>
    <row r="2021" spans="1:17">
      <c r="A2021" s="33" t="s">
        <v>7657</v>
      </c>
      <c r="B2021" s="33" t="s">
        <v>7658</v>
      </c>
      <c r="C2021" s="33" t="s">
        <v>3549</v>
      </c>
      <c r="D2021" s="33" t="s">
        <v>4068</v>
      </c>
      <c r="E2021" s="33" t="s">
        <v>3976</v>
      </c>
      <c r="G2021" s="33" t="s">
        <v>4068</v>
      </c>
      <c r="H2021" s="33" t="s">
        <v>3175</v>
      </c>
      <c r="I2021" s="33" t="s">
        <v>3175</v>
      </c>
      <c r="J2021" s="33" t="s">
        <v>7659</v>
      </c>
      <c r="K2021" s="33" t="s">
        <v>1791</v>
      </c>
      <c r="L2021" s="33" t="s">
        <v>4612</v>
      </c>
      <c r="M2021" s="33" t="str">
        <f>_xlfn.XLOOKUP(Tabela14[[#This Row],[Responsável]],Organograma!H:H,Organograma!G:G,"")</f>
        <v/>
      </c>
      <c r="Q2021" s="33" t="s">
        <v>7095</v>
      </c>
    </row>
    <row r="2022" spans="1:17">
      <c r="A2022" s="33" t="s">
        <v>7660</v>
      </c>
      <c r="B2022" s="33" t="s">
        <v>7661</v>
      </c>
      <c r="C2022" s="33" t="s">
        <v>3549</v>
      </c>
      <c r="D2022" s="33" t="s">
        <v>4068</v>
      </c>
      <c r="E2022" s="33" t="s">
        <v>6658</v>
      </c>
      <c r="G2022" s="33" t="s">
        <v>4068</v>
      </c>
      <c r="H2022" s="33" t="s">
        <v>3175</v>
      </c>
      <c r="I2022" s="33" t="s">
        <v>3175</v>
      </c>
      <c r="J2022" s="33" t="s">
        <v>7662</v>
      </c>
      <c r="K2022" s="33" t="s">
        <v>1791</v>
      </c>
      <c r="L2022" s="33" t="s">
        <v>1206</v>
      </c>
      <c r="M2022" s="33" t="str">
        <f>_xlfn.XLOOKUP(Tabela14[[#This Row],[Responsável]],Organograma!H:H,Organograma!G:G,"")</f>
        <v/>
      </c>
      <c r="Q2022" s="33" t="s">
        <v>7095</v>
      </c>
    </row>
    <row r="2023" spans="1:17" hidden="1">
      <c r="A2023" s="33" t="s">
        <v>7663</v>
      </c>
      <c r="B2023" s="33" t="s">
        <v>7664</v>
      </c>
      <c r="C2023" s="33" t="s">
        <v>3549</v>
      </c>
      <c r="D2023" s="33" t="s">
        <v>90</v>
      </c>
      <c r="E2023" s="33" t="s">
        <v>6609</v>
      </c>
      <c r="G2023" s="33" t="s">
        <v>4068</v>
      </c>
      <c r="H2023" s="33" t="s">
        <v>3175</v>
      </c>
      <c r="I2023" s="33" t="s">
        <v>3175</v>
      </c>
      <c r="J2023" s="33" t="s">
        <v>7665</v>
      </c>
      <c r="K2023" s="33" t="s">
        <v>6611</v>
      </c>
      <c r="L2023" s="33" t="s">
        <v>3175</v>
      </c>
      <c r="M2023" s="33" t="str">
        <f>_xlfn.XLOOKUP(Tabela14[[#This Row],[Responsável]],Organograma!H:H,Organograma!G:G,"")</f>
        <v>PSICO - Unidade de Atendimento a Saúde Mental</v>
      </c>
      <c r="Q2023" s="33" t="s">
        <v>7095</v>
      </c>
    </row>
    <row r="2024" spans="1:17" hidden="1">
      <c r="A2024" s="33" t="s">
        <v>7666</v>
      </c>
      <c r="B2024" s="33" t="s">
        <v>7667</v>
      </c>
      <c r="C2024" s="33" t="s">
        <v>3549</v>
      </c>
      <c r="D2024" s="33" t="s">
        <v>90</v>
      </c>
      <c r="E2024" s="33" t="s">
        <v>6609</v>
      </c>
      <c r="G2024" s="33" t="s">
        <v>4068</v>
      </c>
      <c r="H2024" s="33" t="s">
        <v>3175</v>
      </c>
      <c r="I2024" s="33" t="s">
        <v>3175</v>
      </c>
      <c r="J2024" s="33" t="s">
        <v>7668</v>
      </c>
      <c r="K2024" s="33" t="s">
        <v>6611</v>
      </c>
      <c r="L2024" s="33" t="s">
        <v>3175</v>
      </c>
      <c r="M2024" s="33" t="str">
        <f>_xlfn.XLOOKUP(Tabela14[[#This Row],[Responsável]],Organograma!H:H,Organograma!G:G,"")</f>
        <v>PSICO - Unidade de Atendimento a Saúde Mental</v>
      </c>
      <c r="Q2024" s="33" t="s">
        <v>7095</v>
      </c>
    </row>
    <row r="2025" spans="1:17" hidden="1">
      <c r="A2025" s="33" t="s">
        <v>7669</v>
      </c>
      <c r="B2025" s="33" t="s">
        <v>7670</v>
      </c>
      <c r="C2025" s="33" t="s">
        <v>3549</v>
      </c>
      <c r="D2025" s="33" t="s">
        <v>90</v>
      </c>
      <c r="E2025" s="33" t="s">
        <v>6609</v>
      </c>
      <c r="G2025" s="33" t="s">
        <v>4068</v>
      </c>
      <c r="H2025" s="33" t="s">
        <v>3175</v>
      </c>
      <c r="I2025" s="33" t="s">
        <v>3175</v>
      </c>
      <c r="J2025" s="33" t="s">
        <v>7671</v>
      </c>
      <c r="K2025" s="33" t="s">
        <v>6611</v>
      </c>
      <c r="L2025" s="33" t="s">
        <v>3175</v>
      </c>
      <c r="M2025" s="33" t="str">
        <f>_xlfn.XLOOKUP(Tabela14[[#This Row],[Responsável]],Organograma!H:H,Organograma!G:G,"")</f>
        <v>PSICO - Unidade de Atendimento a Saúde Mental</v>
      </c>
      <c r="Q2025" s="33" t="s">
        <v>7095</v>
      </c>
    </row>
    <row r="2026" spans="1:17" hidden="1">
      <c r="A2026" s="33" t="s">
        <v>7672</v>
      </c>
      <c r="B2026" s="33" t="s">
        <v>7673</v>
      </c>
      <c r="C2026" s="33" t="s">
        <v>3549</v>
      </c>
      <c r="D2026" s="33" t="s">
        <v>90</v>
      </c>
      <c r="E2026" s="33" t="s">
        <v>6609</v>
      </c>
      <c r="G2026" s="33" t="s">
        <v>4068</v>
      </c>
      <c r="H2026" s="33" t="s">
        <v>3175</v>
      </c>
      <c r="I2026" s="33" t="s">
        <v>3175</v>
      </c>
      <c r="J2026" s="33" t="s">
        <v>7674</v>
      </c>
      <c r="K2026" s="33" t="s">
        <v>6611</v>
      </c>
      <c r="L2026" s="33" t="s">
        <v>3175</v>
      </c>
      <c r="M2026" s="33" t="str">
        <f>_xlfn.XLOOKUP(Tabela14[[#This Row],[Responsável]],Organograma!H:H,Organograma!G:G,"")</f>
        <v>PSICO - Unidade de Atendimento a Saúde Mental</v>
      </c>
      <c r="Q2026" s="33" t="s">
        <v>7095</v>
      </c>
    </row>
    <row r="2027" spans="1:17" hidden="1">
      <c r="A2027" s="33" t="s">
        <v>7675</v>
      </c>
      <c r="B2027" s="33" t="s">
        <v>7676</v>
      </c>
      <c r="C2027" s="33" t="s">
        <v>3549</v>
      </c>
      <c r="D2027" s="33" t="s">
        <v>6684</v>
      </c>
      <c r="E2027" s="33" t="s">
        <v>6609</v>
      </c>
      <c r="G2027" s="33" t="s">
        <v>4068</v>
      </c>
      <c r="H2027" s="33" t="s">
        <v>3175</v>
      </c>
      <c r="I2027" s="33" t="s">
        <v>3175</v>
      </c>
      <c r="J2027" s="33" t="s">
        <v>7677</v>
      </c>
      <c r="K2027" s="33" t="s">
        <v>6611</v>
      </c>
      <c r="L2027" s="33" t="s">
        <v>3175</v>
      </c>
      <c r="M2027" s="33" t="str">
        <f>_xlfn.XLOOKUP(Tabela14[[#This Row],[Responsável]],Organograma!H:H,Organograma!G:G,"")</f>
        <v/>
      </c>
      <c r="Q2027" s="33" t="s">
        <v>7095</v>
      </c>
    </row>
    <row r="2028" spans="1:17" hidden="1">
      <c r="A2028" s="33" t="s">
        <v>7678</v>
      </c>
      <c r="B2028" s="33" t="s">
        <v>7679</v>
      </c>
      <c r="C2028" s="33" t="s">
        <v>3549</v>
      </c>
      <c r="D2028" s="33" t="s">
        <v>90</v>
      </c>
      <c r="E2028" s="33" t="s">
        <v>6609</v>
      </c>
      <c r="G2028" s="33" t="s">
        <v>4068</v>
      </c>
      <c r="H2028" s="33" t="s">
        <v>3175</v>
      </c>
      <c r="I2028" s="33" t="s">
        <v>3175</v>
      </c>
      <c r="J2028" s="33" t="s">
        <v>7680</v>
      </c>
      <c r="K2028" s="33" t="s">
        <v>6611</v>
      </c>
      <c r="L2028" s="33" t="s">
        <v>3175</v>
      </c>
      <c r="M2028" s="33" t="str">
        <f>_xlfn.XLOOKUP(Tabela14[[#This Row],[Responsável]],Organograma!H:H,Organograma!G:G,"")</f>
        <v>PSICO - Unidade de Atendimento a Saúde Mental</v>
      </c>
      <c r="Q2028" s="33" t="s">
        <v>7095</v>
      </c>
    </row>
    <row r="2029" spans="1:17">
      <c r="A2029" s="33" t="s">
        <v>7681</v>
      </c>
      <c r="B2029" s="33" t="s">
        <v>7682</v>
      </c>
      <c r="C2029" s="33" t="s">
        <v>3549</v>
      </c>
      <c r="D2029" s="33" t="s">
        <v>65</v>
      </c>
      <c r="E2029" s="33" t="s">
        <v>7018</v>
      </c>
      <c r="G2029" s="33" t="s">
        <v>4068</v>
      </c>
      <c r="H2029" s="33" t="s">
        <v>3194</v>
      </c>
      <c r="I2029" s="33" t="s">
        <v>3194</v>
      </c>
      <c r="J2029" s="33" t="s">
        <v>7683</v>
      </c>
      <c r="K2029" s="33" t="s">
        <v>6737</v>
      </c>
      <c r="L2029" s="33" t="s">
        <v>3672</v>
      </c>
      <c r="M2029" s="33" t="str">
        <f>_xlfn.XLOOKUP(Tabela14[[#This Row],[Responsável]],Organograma!H:H,Organograma!G:G,"")</f>
        <v>CGO - Unidade de Internação Ginecobstétrica</v>
      </c>
      <c r="Q2029" s="33" t="s">
        <v>7095</v>
      </c>
    </row>
    <row r="2030" spans="1:17">
      <c r="A2030" s="33" t="s">
        <v>7684</v>
      </c>
      <c r="B2030" s="33" t="s">
        <v>7685</v>
      </c>
      <c r="C2030" s="33" t="s">
        <v>3549</v>
      </c>
      <c r="D2030" s="33" t="s">
        <v>65</v>
      </c>
      <c r="E2030" s="33" t="s">
        <v>7018</v>
      </c>
      <c r="G2030" s="33" t="s">
        <v>4068</v>
      </c>
      <c r="H2030" s="33" t="s">
        <v>3194</v>
      </c>
      <c r="I2030" s="33" t="s">
        <v>3194</v>
      </c>
      <c r="J2030" s="33" t="s">
        <v>7686</v>
      </c>
      <c r="K2030" s="33" t="s">
        <v>6737</v>
      </c>
      <c r="L2030" s="33" t="s">
        <v>3672</v>
      </c>
      <c r="M2030" s="33" t="str">
        <f>_xlfn.XLOOKUP(Tabela14[[#This Row],[Responsável]],Organograma!H:H,Organograma!G:G,"")</f>
        <v>CGO - Unidade de Internação Ginecobstétrica</v>
      </c>
      <c r="Q2030" s="33" t="s">
        <v>7095</v>
      </c>
    </row>
    <row r="2031" spans="1:17">
      <c r="A2031" s="33" t="s">
        <v>7687</v>
      </c>
      <c r="B2031" s="33" t="s">
        <v>7688</v>
      </c>
      <c r="C2031" s="33" t="s">
        <v>3549</v>
      </c>
      <c r="D2031" s="33" t="s">
        <v>4068</v>
      </c>
      <c r="E2031" s="33" t="s">
        <v>3976</v>
      </c>
      <c r="G2031" s="33" t="s">
        <v>4068</v>
      </c>
      <c r="H2031" s="33" t="s">
        <v>3194</v>
      </c>
      <c r="I2031" s="33" t="s">
        <v>3194</v>
      </c>
      <c r="J2031" s="33" t="s">
        <v>7689</v>
      </c>
      <c r="K2031" s="33" t="s">
        <v>1791</v>
      </c>
      <c r="L2031" s="33" t="s">
        <v>1206</v>
      </c>
      <c r="M2031" s="33" t="str">
        <f>_xlfn.XLOOKUP(Tabela14[[#This Row],[Responsável]],Organograma!H:H,Organograma!G:G,"")</f>
        <v/>
      </c>
      <c r="Q2031" s="33" t="s">
        <v>7095</v>
      </c>
    </row>
    <row r="2032" spans="1:17">
      <c r="A2032" s="33" t="s">
        <v>7690</v>
      </c>
      <c r="B2032" s="33" t="s">
        <v>7691</v>
      </c>
      <c r="C2032" s="33" t="s">
        <v>3549</v>
      </c>
      <c r="D2032" s="33" t="s">
        <v>4068</v>
      </c>
      <c r="E2032" s="33" t="s">
        <v>3976</v>
      </c>
      <c r="G2032" s="33" t="s">
        <v>4068</v>
      </c>
      <c r="H2032" s="33" t="s">
        <v>3194</v>
      </c>
      <c r="I2032" s="33" t="s">
        <v>3194</v>
      </c>
      <c r="J2032" s="33" t="s">
        <v>7692</v>
      </c>
      <c r="K2032" s="33" t="s">
        <v>1791</v>
      </c>
      <c r="L2032" s="33" t="s">
        <v>1206</v>
      </c>
      <c r="M2032" s="33" t="str">
        <f>_xlfn.XLOOKUP(Tabela14[[#This Row],[Responsável]],Organograma!H:H,Organograma!G:G,"")</f>
        <v/>
      </c>
      <c r="Q2032" s="33" t="s">
        <v>7095</v>
      </c>
    </row>
    <row r="2033" spans="1:17">
      <c r="A2033" s="33" t="s">
        <v>7693</v>
      </c>
      <c r="B2033" s="33" t="s">
        <v>7694</v>
      </c>
      <c r="C2033" s="33" t="s">
        <v>3549</v>
      </c>
      <c r="D2033" s="33" t="s">
        <v>4068</v>
      </c>
      <c r="E2033" s="33" t="s">
        <v>6658</v>
      </c>
      <c r="G2033" s="33" t="s">
        <v>4068</v>
      </c>
      <c r="H2033" s="33" t="s">
        <v>3194</v>
      </c>
      <c r="I2033" s="33" t="s">
        <v>3194</v>
      </c>
      <c r="J2033" s="33" t="s">
        <v>7695</v>
      </c>
      <c r="K2033" s="33" t="s">
        <v>1791</v>
      </c>
      <c r="L2033" s="33" t="s">
        <v>1206</v>
      </c>
      <c r="M2033" s="33" t="str">
        <f>_xlfn.XLOOKUP(Tabela14[[#This Row],[Responsável]],Organograma!H:H,Organograma!G:G,"")</f>
        <v/>
      </c>
      <c r="Q2033" s="33" t="s">
        <v>7095</v>
      </c>
    </row>
    <row r="2034" spans="1:17">
      <c r="A2034" s="33" t="s">
        <v>7696</v>
      </c>
      <c r="B2034" s="33" t="s">
        <v>7697</v>
      </c>
      <c r="C2034" s="33" t="s">
        <v>3549</v>
      </c>
      <c r="D2034" s="33" t="s">
        <v>4068</v>
      </c>
      <c r="E2034" s="33" t="s">
        <v>6658</v>
      </c>
      <c r="G2034" s="33" t="s">
        <v>4068</v>
      </c>
      <c r="H2034" s="33" t="s">
        <v>3194</v>
      </c>
      <c r="I2034" s="33" t="s">
        <v>3194</v>
      </c>
      <c r="J2034" s="33" t="s">
        <v>7698</v>
      </c>
      <c r="K2034" s="33" t="s">
        <v>1791</v>
      </c>
      <c r="L2034" s="33" t="s">
        <v>1206</v>
      </c>
      <c r="M2034" s="33" t="str">
        <f>_xlfn.XLOOKUP(Tabela14[[#This Row],[Responsável]],Organograma!H:H,Organograma!G:G,"")</f>
        <v/>
      </c>
      <c r="Q2034" s="33" t="s">
        <v>7095</v>
      </c>
    </row>
    <row r="2035" spans="1:17">
      <c r="A2035" s="33" t="s">
        <v>7699</v>
      </c>
      <c r="B2035" s="33" t="s">
        <v>7700</v>
      </c>
      <c r="C2035" s="33" t="s">
        <v>3549</v>
      </c>
      <c r="D2035" s="33" t="s">
        <v>4068</v>
      </c>
      <c r="E2035" s="33" t="s">
        <v>6658</v>
      </c>
      <c r="G2035" s="33" t="s">
        <v>4068</v>
      </c>
      <c r="H2035" s="33" t="s">
        <v>3194</v>
      </c>
      <c r="I2035" s="33" t="s">
        <v>3194</v>
      </c>
      <c r="J2035" s="33" t="s">
        <v>7701</v>
      </c>
      <c r="K2035" s="33" t="s">
        <v>1791</v>
      </c>
      <c r="L2035" s="33" t="s">
        <v>1206</v>
      </c>
      <c r="M2035" s="33" t="str">
        <f>_xlfn.XLOOKUP(Tabela14[[#This Row],[Responsável]],Organograma!H:H,Organograma!G:G,"")</f>
        <v/>
      </c>
      <c r="Q2035" s="33" t="s">
        <v>7095</v>
      </c>
    </row>
    <row r="2036" spans="1:17">
      <c r="A2036" s="33" t="s">
        <v>7702</v>
      </c>
      <c r="B2036" s="33" t="s">
        <v>7703</v>
      </c>
      <c r="C2036" s="33" t="s">
        <v>3549</v>
      </c>
      <c r="D2036" s="33" t="s">
        <v>4068</v>
      </c>
      <c r="E2036" s="33" t="s">
        <v>6658</v>
      </c>
      <c r="G2036" s="33" t="s">
        <v>4068</v>
      </c>
      <c r="H2036" s="33" t="s">
        <v>3194</v>
      </c>
      <c r="I2036" s="33" t="s">
        <v>3194</v>
      </c>
      <c r="J2036" s="33" t="s">
        <v>7704</v>
      </c>
      <c r="K2036" s="33" t="s">
        <v>1791</v>
      </c>
      <c r="L2036" s="33" t="s">
        <v>1206</v>
      </c>
      <c r="M2036" s="33" t="str">
        <f>_xlfn.XLOOKUP(Tabela14[[#This Row],[Responsável]],Organograma!H:H,Organograma!G:G,"")</f>
        <v/>
      </c>
      <c r="Q2036" s="33" t="s">
        <v>7095</v>
      </c>
    </row>
    <row r="2037" spans="1:17">
      <c r="A2037" s="33" t="s">
        <v>7705</v>
      </c>
      <c r="B2037" s="33" t="s">
        <v>7706</v>
      </c>
      <c r="C2037" s="33" t="s">
        <v>3549</v>
      </c>
      <c r="D2037" s="33" t="s">
        <v>4068</v>
      </c>
      <c r="E2037" s="33" t="s">
        <v>6658</v>
      </c>
      <c r="G2037" s="33" t="s">
        <v>4068</v>
      </c>
      <c r="H2037" s="33" t="s">
        <v>3194</v>
      </c>
      <c r="I2037" s="33" t="s">
        <v>3194</v>
      </c>
      <c r="J2037" s="33" t="s">
        <v>7707</v>
      </c>
      <c r="K2037" s="33" t="s">
        <v>1791</v>
      </c>
      <c r="L2037" s="33" t="s">
        <v>1206</v>
      </c>
      <c r="M2037" s="33" t="str">
        <f>_xlfn.XLOOKUP(Tabela14[[#This Row],[Responsável]],Organograma!H:H,Organograma!G:G,"")</f>
        <v/>
      </c>
      <c r="Q2037" s="33" t="s">
        <v>7095</v>
      </c>
    </row>
    <row r="2038" spans="1:17">
      <c r="A2038" s="33" t="s">
        <v>7708</v>
      </c>
      <c r="B2038" s="33" t="s">
        <v>7709</v>
      </c>
      <c r="C2038" s="33" t="s">
        <v>3549</v>
      </c>
      <c r="D2038" s="33" t="s">
        <v>4068</v>
      </c>
      <c r="E2038" s="33" t="s">
        <v>6658</v>
      </c>
      <c r="G2038" s="33" t="s">
        <v>4068</v>
      </c>
      <c r="H2038" s="33" t="s">
        <v>3194</v>
      </c>
      <c r="I2038" s="33" t="s">
        <v>3194</v>
      </c>
      <c r="J2038" s="33" t="s">
        <v>7710</v>
      </c>
      <c r="K2038" s="33" t="s">
        <v>1791</v>
      </c>
      <c r="L2038" s="33" t="s">
        <v>1206</v>
      </c>
      <c r="M2038" s="33" t="str">
        <f>_xlfn.XLOOKUP(Tabela14[[#This Row],[Responsável]],Organograma!H:H,Organograma!G:G,"")</f>
        <v/>
      </c>
      <c r="Q2038" s="33" t="s">
        <v>7095</v>
      </c>
    </row>
    <row r="2039" spans="1:17">
      <c r="A2039" s="33" t="s">
        <v>7711</v>
      </c>
      <c r="B2039" s="33" t="s">
        <v>7712</v>
      </c>
      <c r="C2039" s="33" t="s">
        <v>3549</v>
      </c>
      <c r="D2039" s="33" t="s">
        <v>4068</v>
      </c>
      <c r="E2039" s="33" t="s">
        <v>6658</v>
      </c>
      <c r="G2039" s="33" t="s">
        <v>4068</v>
      </c>
      <c r="H2039" s="33" t="s">
        <v>3194</v>
      </c>
      <c r="I2039" s="33" t="s">
        <v>3194</v>
      </c>
      <c r="J2039" s="33" t="s">
        <v>7713</v>
      </c>
      <c r="K2039" s="33" t="s">
        <v>1791</v>
      </c>
      <c r="L2039" s="33" t="s">
        <v>1206</v>
      </c>
      <c r="M2039" s="33" t="str">
        <f>_xlfn.XLOOKUP(Tabela14[[#This Row],[Responsável]],Organograma!H:H,Organograma!G:G,"")</f>
        <v/>
      </c>
      <c r="Q2039" s="33" t="s">
        <v>7095</v>
      </c>
    </row>
    <row r="2040" spans="1:17">
      <c r="A2040" s="33" t="s">
        <v>7714</v>
      </c>
      <c r="B2040" s="33" t="s">
        <v>7715</v>
      </c>
      <c r="C2040" s="33" t="s">
        <v>3549</v>
      </c>
      <c r="D2040" s="33" t="s">
        <v>4068</v>
      </c>
      <c r="E2040" s="33" t="s">
        <v>6658</v>
      </c>
      <c r="G2040" s="33" t="s">
        <v>4068</v>
      </c>
      <c r="H2040" s="33" t="s">
        <v>3194</v>
      </c>
      <c r="I2040" s="33" t="s">
        <v>3194</v>
      </c>
      <c r="J2040" s="33" t="s">
        <v>7716</v>
      </c>
      <c r="K2040" s="33" t="s">
        <v>1791</v>
      </c>
      <c r="L2040" s="33" t="s">
        <v>1206</v>
      </c>
      <c r="M2040" s="33" t="str">
        <f>_xlfn.XLOOKUP(Tabela14[[#This Row],[Responsável]],Organograma!H:H,Organograma!G:G,"")</f>
        <v/>
      </c>
      <c r="Q2040" s="33" t="s">
        <v>7095</v>
      </c>
    </row>
    <row r="2041" spans="1:17">
      <c r="A2041" s="33" t="s">
        <v>7717</v>
      </c>
      <c r="B2041" s="33" t="s">
        <v>7718</v>
      </c>
      <c r="C2041" s="33" t="s">
        <v>3549</v>
      </c>
      <c r="D2041" s="33" t="s">
        <v>4068</v>
      </c>
      <c r="E2041" s="33" t="s">
        <v>6658</v>
      </c>
      <c r="G2041" s="33" t="s">
        <v>4068</v>
      </c>
      <c r="H2041" s="33" t="s">
        <v>3194</v>
      </c>
      <c r="I2041" s="33" t="s">
        <v>3194</v>
      </c>
      <c r="J2041" s="33" t="s">
        <v>7719</v>
      </c>
      <c r="K2041" s="33" t="s">
        <v>1791</v>
      </c>
      <c r="L2041" s="33" t="s">
        <v>1206</v>
      </c>
      <c r="M2041" s="33" t="str">
        <f>_xlfn.XLOOKUP(Tabela14[[#This Row],[Responsável]],Organograma!H:H,Organograma!G:G,"")</f>
        <v/>
      </c>
      <c r="Q2041" s="33" t="s">
        <v>7095</v>
      </c>
    </row>
    <row r="2042" spans="1:17">
      <c r="A2042" s="33" t="s">
        <v>7720</v>
      </c>
      <c r="B2042" s="33" t="s">
        <v>7721</v>
      </c>
      <c r="C2042" s="33" t="s">
        <v>3549</v>
      </c>
      <c r="D2042" s="33" t="s">
        <v>4068</v>
      </c>
      <c r="E2042" s="33" t="s">
        <v>3976</v>
      </c>
      <c r="G2042" s="33" t="s">
        <v>4068</v>
      </c>
      <c r="H2042" s="33" t="s">
        <v>3194</v>
      </c>
      <c r="I2042" s="33" t="s">
        <v>3194</v>
      </c>
      <c r="J2042" s="33" t="s">
        <v>7722</v>
      </c>
      <c r="K2042" s="33" t="s">
        <v>1791</v>
      </c>
      <c r="L2042" s="33" t="s">
        <v>1206</v>
      </c>
      <c r="M2042" s="33" t="str">
        <f>_xlfn.XLOOKUP(Tabela14[[#This Row],[Responsável]],Organograma!H:H,Organograma!G:G,"")</f>
        <v/>
      </c>
      <c r="Q2042" s="33" t="s">
        <v>7095</v>
      </c>
    </row>
    <row r="2043" spans="1:17" hidden="1">
      <c r="A2043" s="33" t="s">
        <v>7723</v>
      </c>
      <c r="B2043" s="33" t="s">
        <v>7724</v>
      </c>
      <c r="C2043" s="33" t="s">
        <v>3549</v>
      </c>
      <c r="D2043" s="33" t="s">
        <v>14</v>
      </c>
      <c r="E2043" s="33" t="s">
        <v>6600</v>
      </c>
      <c r="G2043" s="33" t="s">
        <v>4068</v>
      </c>
      <c r="H2043" s="33" t="s">
        <v>3242</v>
      </c>
      <c r="I2043" s="33" t="s">
        <v>3242</v>
      </c>
      <c r="J2043" s="33" t="s">
        <v>7725</v>
      </c>
      <c r="K2043" s="33" t="s">
        <v>6602</v>
      </c>
      <c r="L2043" s="33" t="s">
        <v>3562</v>
      </c>
      <c r="M2043" s="33" t="str">
        <f>_xlfn.XLOOKUP(Tabela14[[#This Row],[Responsável]],Organograma!H:H,Organograma!G:G,"")</f>
        <v>SUP - Suprimentos</v>
      </c>
      <c r="Q2043" s="33" t="s">
        <v>7095</v>
      </c>
    </row>
    <row r="2044" spans="1:17" hidden="1">
      <c r="A2044" s="33" t="s">
        <v>5279</v>
      </c>
      <c r="B2044" s="33" t="s">
        <v>7726</v>
      </c>
      <c r="C2044" s="33" t="s">
        <v>1785</v>
      </c>
      <c r="D2044" s="33" t="s">
        <v>4068</v>
      </c>
      <c r="E2044" s="33" t="s">
        <v>1808</v>
      </c>
      <c r="G2044" s="33" t="s">
        <v>3836</v>
      </c>
      <c r="H2044" s="33" t="s">
        <v>3072</v>
      </c>
      <c r="I2044" s="33" t="s">
        <v>3072</v>
      </c>
      <c r="J2044" s="33" t="s">
        <v>5281</v>
      </c>
      <c r="K2044" s="33" t="s">
        <v>1791</v>
      </c>
      <c r="L2044" s="33" t="s">
        <v>3072</v>
      </c>
      <c r="M2044" s="33" t="str">
        <f>_xlfn.XLOOKUP(Tabela14[[#This Row],[Responsável]],Organograma!H:H,Organograma!G:G,"")</f>
        <v/>
      </c>
      <c r="Q2044" s="33" t="s">
        <v>7095</v>
      </c>
    </row>
    <row r="2045" spans="1:17" hidden="1">
      <c r="A2045" s="33" t="s">
        <v>5270</v>
      </c>
      <c r="B2045" s="33" t="s">
        <v>7727</v>
      </c>
      <c r="C2045" s="33" t="s">
        <v>1785</v>
      </c>
      <c r="D2045" s="33" t="s">
        <v>4068</v>
      </c>
      <c r="E2045" s="33" t="s">
        <v>1808</v>
      </c>
      <c r="G2045" s="33" t="s">
        <v>3836</v>
      </c>
      <c r="H2045" s="33" t="s">
        <v>3365</v>
      </c>
      <c r="I2045" s="33" t="s">
        <v>3365</v>
      </c>
      <c r="J2045" s="33" t="s">
        <v>5272</v>
      </c>
      <c r="K2045" s="33" t="s">
        <v>1791</v>
      </c>
      <c r="L2045" s="33" t="s">
        <v>3365</v>
      </c>
      <c r="M2045" s="33" t="str">
        <f>_xlfn.XLOOKUP(Tabela14[[#This Row],[Responsável]],Organograma!H:H,Organograma!G:G,"")</f>
        <v/>
      </c>
      <c r="Q2045" s="33" t="s">
        <v>7095</v>
      </c>
    </row>
    <row r="2046" spans="1:17" hidden="1">
      <c r="A2046" s="33" t="s">
        <v>5273</v>
      </c>
      <c r="B2046" s="33" t="s">
        <v>7728</v>
      </c>
      <c r="C2046" s="33" t="s">
        <v>1785</v>
      </c>
      <c r="D2046" s="33" t="s">
        <v>4068</v>
      </c>
      <c r="E2046" s="33" t="s">
        <v>1808</v>
      </c>
      <c r="G2046" s="33" t="s">
        <v>3836</v>
      </c>
      <c r="H2046" s="33" t="s">
        <v>3365</v>
      </c>
      <c r="I2046" s="33" t="s">
        <v>3365</v>
      </c>
      <c r="J2046" s="33" t="s">
        <v>5275</v>
      </c>
      <c r="K2046" s="33" t="s">
        <v>1791</v>
      </c>
      <c r="L2046" s="33" t="s">
        <v>3365</v>
      </c>
      <c r="M2046" s="33" t="str">
        <f>_xlfn.XLOOKUP(Tabela14[[#This Row],[Responsável]],Organograma!H:H,Organograma!G:G,"")</f>
        <v/>
      </c>
      <c r="Q2046" s="33" t="s">
        <v>7095</v>
      </c>
    </row>
    <row r="2047" spans="1:17" hidden="1">
      <c r="A2047" s="33" t="s">
        <v>7729</v>
      </c>
      <c r="B2047" s="33" t="s">
        <v>7730</v>
      </c>
      <c r="C2047" s="33" t="s">
        <v>2443</v>
      </c>
      <c r="D2047" s="33" t="s">
        <v>5229</v>
      </c>
      <c r="E2047" s="33" t="s">
        <v>2471</v>
      </c>
      <c r="G2047" s="33" t="s">
        <v>5229</v>
      </c>
      <c r="H2047" s="33" t="s">
        <v>3463</v>
      </c>
      <c r="I2047" s="33" t="s">
        <v>3463</v>
      </c>
      <c r="J2047" s="33" t="s">
        <v>7731</v>
      </c>
      <c r="K2047" s="33" t="s">
        <v>2471</v>
      </c>
      <c r="L2047" s="33" t="s">
        <v>3463</v>
      </c>
      <c r="M2047" s="33" t="str">
        <f>_xlfn.XLOOKUP(Tabela14[[#This Row],[Responsável]],Organograma!H:H,Organograma!G:G,"")</f>
        <v/>
      </c>
      <c r="Q2047" s="33" t="s">
        <v>7095</v>
      </c>
    </row>
    <row r="2048" spans="1:17" hidden="1">
      <c r="A2048" s="33" t="s">
        <v>5261</v>
      </c>
      <c r="B2048" s="33" t="s">
        <v>7732</v>
      </c>
      <c r="C2048" s="33" t="s">
        <v>1785</v>
      </c>
      <c r="D2048" s="33" t="s">
        <v>4068</v>
      </c>
      <c r="E2048" s="33" t="s">
        <v>1808</v>
      </c>
      <c r="G2048" s="33" t="s">
        <v>3836</v>
      </c>
      <c r="H2048" s="33" t="s">
        <v>3463</v>
      </c>
      <c r="I2048" s="33" t="s">
        <v>3463</v>
      </c>
      <c r="J2048" s="33" t="s">
        <v>5263</v>
      </c>
      <c r="K2048" s="33" t="s">
        <v>1791</v>
      </c>
      <c r="L2048" s="33" t="s">
        <v>3463</v>
      </c>
      <c r="M2048" s="33" t="str">
        <f>_xlfn.XLOOKUP(Tabela14[[#This Row],[Responsável]],Organograma!H:H,Organograma!G:G,"")</f>
        <v/>
      </c>
      <c r="Q2048" s="33" t="s">
        <v>7095</v>
      </c>
    </row>
    <row r="2049" spans="1:17">
      <c r="A2049" s="33" t="s">
        <v>7733</v>
      </c>
      <c r="B2049" s="33" t="s">
        <v>7734</v>
      </c>
      <c r="C2049" s="33" t="s">
        <v>3549</v>
      </c>
      <c r="D2049" s="33" t="s">
        <v>6665</v>
      </c>
      <c r="E2049" s="33" t="s">
        <v>7018</v>
      </c>
      <c r="G2049" s="33" t="s">
        <v>4068</v>
      </c>
      <c r="H2049" s="33" t="s">
        <v>3475</v>
      </c>
      <c r="I2049" s="33" t="s">
        <v>3475</v>
      </c>
      <c r="J2049" s="33" t="s">
        <v>7735</v>
      </c>
      <c r="K2049" s="33" t="s">
        <v>6737</v>
      </c>
      <c r="L2049" s="33" t="s">
        <v>3564</v>
      </c>
      <c r="M2049" s="33" t="str">
        <f>_xlfn.XLOOKUP(Tabela14[[#This Row],[Responsável]],Organograma!H:H,Organograma!G:G,"")</f>
        <v/>
      </c>
      <c r="Q2049" s="33" t="s">
        <v>7095</v>
      </c>
    </row>
    <row r="2050" spans="1:17" hidden="1">
      <c r="A2050" s="33" t="s">
        <v>7736</v>
      </c>
      <c r="B2050" s="33" t="s">
        <v>7737</v>
      </c>
      <c r="C2050" s="33" t="s">
        <v>3549</v>
      </c>
      <c r="D2050" s="33" t="s">
        <v>71</v>
      </c>
      <c r="E2050" s="33" t="s">
        <v>6609</v>
      </c>
      <c r="G2050" s="33" t="s">
        <v>4068</v>
      </c>
      <c r="H2050" s="33" t="s">
        <v>3475</v>
      </c>
      <c r="I2050" s="33" t="s">
        <v>3475</v>
      </c>
      <c r="J2050" s="33" t="s">
        <v>7738</v>
      </c>
      <c r="K2050" s="33" t="s">
        <v>6611</v>
      </c>
      <c r="L2050" s="33" t="s">
        <v>3475</v>
      </c>
      <c r="M2050" s="33" t="str">
        <f>_xlfn.XLOOKUP(Tabela14[[#This Row],[Responsável]],Organograma!H:H,Organograma!G:G,"")</f>
        <v>BLH - Banco de Leite Humano</v>
      </c>
      <c r="Q2050" s="33" t="s">
        <v>7095</v>
      </c>
    </row>
    <row r="2051" spans="1:17" hidden="1">
      <c r="A2051" s="33" t="s">
        <v>7739</v>
      </c>
      <c r="B2051" s="33" t="s">
        <v>7740</v>
      </c>
      <c r="C2051" s="33" t="s">
        <v>3549</v>
      </c>
      <c r="D2051" s="33" t="s">
        <v>67</v>
      </c>
      <c r="E2051" s="33" t="s">
        <v>6600</v>
      </c>
      <c r="G2051" s="33" t="s">
        <v>4068</v>
      </c>
      <c r="H2051" s="33" t="s">
        <v>3475</v>
      </c>
      <c r="I2051" s="33" t="s">
        <v>3475</v>
      </c>
      <c r="J2051" s="33" t="s">
        <v>7741</v>
      </c>
      <c r="K2051" s="33" t="s">
        <v>6602</v>
      </c>
      <c r="L2051" s="33" t="s">
        <v>3562</v>
      </c>
      <c r="M2051" s="33" t="str">
        <f>_xlfn.XLOOKUP(Tabela14[[#This Row],[Responsável]],Organograma!H:H,Organograma!G:G,"")</f>
        <v>CC - Centro Cirúrgico</v>
      </c>
      <c r="Q2051" s="33" t="s">
        <v>7095</v>
      </c>
    </row>
    <row r="2052" spans="1:17">
      <c r="A2052" s="33" t="s">
        <v>7742</v>
      </c>
      <c r="B2052" s="33" t="s">
        <v>7743</v>
      </c>
      <c r="C2052" s="33" t="s">
        <v>3549</v>
      </c>
      <c r="D2052" s="33" t="s">
        <v>4068</v>
      </c>
      <c r="E2052" s="33" t="s">
        <v>3976</v>
      </c>
      <c r="G2052" s="33" t="s">
        <v>4068</v>
      </c>
      <c r="H2052" s="33" t="s">
        <v>3475</v>
      </c>
      <c r="I2052" s="33" t="s">
        <v>3475</v>
      </c>
      <c r="J2052" s="33" t="s">
        <v>7744</v>
      </c>
      <c r="K2052" s="33" t="s">
        <v>1791</v>
      </c>
      <c r="L2052" s="33" t="s">
        <v>1206</v>
      </c>
      <c r="M2052" s="33" t="str">
        <f>_xlfn.XLOOKUP(Tabela14[[#This Row],[Responsável]],Organograma!H:H,Organograma!G:G,"")</f>
        <v/>
      </c>
      <c r="Q2052" s="33" t="s">
        <v>7095</v>
      </c>
    </row>
    <row r="2053" spans="1:17">
      <c r="A2053" s="33" t="s">
        <v>7745</v>
      </c>
      <c r="B2053" s="33" t="s">
        <v>7746</v>
      </c>
      <c r="C2053" s="33" t="s">
        <v>3549</v>
      </c>
      <c r="D2053" s="33" t="s">
        <v>4068</v>
      </c>
      <c r="E2053" s="33" t="s">
        <v>3976</v>
      </c>
      <c r="G2053" s="33" t="s">
        <v>4068</v>
      </c>
      <c r="H2053" s="33" t="s">
        <v>3475</v>
      </c>
      <c r="I2053" s="33" t="s">
        <v>3475</v>
      </c>
      <c r="J2053" s="33" t="s">
        <v>7747</v>
      </c>
      <c r="K2053" s="33" t="s">
        <v>1791</v>
      </c>
      <c r="L2053" s="33" t="s">
        <v>1206</v>
      </c>
      <c r="M2053" s="33" t="str">
        <f>_xlfn.XLOOKUP(Tabela14[[#This Row],[Responsável]],Organograma!H:H,Organograma!G:G,"")</f>
        <v/>
      </c>
      <c r="Q2053" s="33" t="s">
        <v>7095</v>
      </c>
    </row>
    <row r="2054" spans="1:17">
      <c r="A2054" s="33" t="s">
        <v>7748</v>
      </c>
      <c r="B2054" s="33" t="s">
        <v>7749</v>
      </c>
      <c r="C2054" s="33" t="s">
        <v>3549</v>
      </c>
      <c r="D2054" s="33" t="s">
        <v>4068</v>
      </c>
      <c r="E2054" s="33" t="s">
        <v>3976</v>
      </c>
      <c r="G2054" s="33" t="s">
        <v>4068</v>
      </c>
      <c r="H2054" s="33" t="s">
        <v>3475</v>
      </c>
      <c r="I2054" s="33" t="s">
        <v>3475</v>
      </c>
      <c r="J2054" s="33" t="s">
        <v>7750</v>
      </c>
      <c r="K2054" s="33" t="s">
        <v>1791</v>
      </c>
      <c r="L2054" s="33" t="s">
        <v>1206</v>
      </c>
      <c r="M2054" s="33" t="str">
        <f>_xlfn.XLOOKUP(Tabela14[[#This Row],[Responsável]],Organograma!H:H,Organograma!G:G,"")</f>
        <v/>
      </c>
      <c r="Q2054" s="33" t="s">
        <v>7095</v>
      </c>
    </row>
    <row r="2055" spans="1:17" hidden="1">
      <c r="A2055" s="33" t="s">
        <v>7751</v>
      </c>
      <c r="B2055" s="33" t="s">
        <v>7752</v>
      </c>
      <c r="C2055" s="33" t="s">
        <v>3549</v>
      </c>
      <c r="D2055" s="33" t="s">
        <v>67</v>
      </c>
      <c r="E2055" s="33" t="s">
        <v>6600</v>
      </c>
      <c r="G2055" s="33" t="s">
        <v>4068</v>
      </c>
      <c r="H2055" s="33" t="s">
        <v>3475</v>
      </c>
      <c r="I2055" s="33" t="s">
        <v>3475</v>
      </c>
      <c r="J2055" s="33" t="s">
        <v>7753</v>
      </c>
      <c r="K2055" s="33" t="s">
        <v>6602</v>
      </c>
      <c r="L2055" s="33" t="s">
        <v>3562</v>
      </c>
      <c r="M2055" s="33" t="str">
        <f>_xlfn.XLOOKUP(Tabela14[[#This Row],[Responsável]],Organograma!H:H,Organograma!G:G,"")</f>
        <v>CC - Centro Cirúrgico</v>
      </c>
      <c r="Q2055" s="33" t="s">
        <v>7095</v>
      </c>
    </row>
    <row r="2056" spans="1:17">
      <c r="A2056" s="33" t="s">
        <v>7754</v>
      </c>
      <c r="B2056" s="33" t="s">
        <v>7755</v>
      </c>
      <c r="C2056" s="33" t="s">
        <v>3549</v>
      </c>
      <c r="D2056" s="33" t="s">
        <v>6665</v>
      </c>
      <c r="E2056" s="33" t="s">
        <v>7018</v>
      </c>
      <c r="G2056" s="33" t="s">
        <v>4068</v>
      </c>
      <c r="H2056" s="33" t="s">
        <v>3475</v>
      </c>
      <c r="I2056" s="33" t="s">
        <v>3475</v>
      </c>
      <c r="J2056" s="33" t="s">
        <v>7756</v>
      </c>
      <c r="K2056" s="33" t="s">
        <v>6737</v>
      </c>
      <c r="L2056" s="33" t="s">
        <v>3564</v>
      </c>
      <c r="M2056" s="33" t="str">
        <f>_xlfn.XLOOKUP(Tabela14[[#This Row],[Responsável]],Organograma!H:H,Organograma!G:G,"")</f>
        <v/>
      </c>
      <c r="Q2056" s="33" t="s">
        <v>7095</v>
      </c>
    </row>
    <row r="2057" spans="1:17">
      <c r="A2057" s="33" t="s">
        <v>7757</v>
      </c>
      <c r="B2057" s="33" t="s">
        <v>7758</v>
      </c>
      <c r="C2057" s="33" t="s">
        <v>3549</v>
      </c>
      <c r="D2057" s="33" t="s">
        <v>4068</v>
      </c>
      <c r="E2057" s="33" t="s">
        <v>3976</v>
      </c>
      <c r="G2057" s="33" t="s">
        <v>4068</v>
      </c>
      <c r="H2057" s="33" t="s">
        <v>3475</v>
      </c>
      <c r="I2057" s="33" t="s">
        <v>3475</v>
      </c>
      <c r="J2057" s="33" t="s">
        <v>7759</v>
      </c>
      <c r="K2057" s="33" t="s">
        <v>1791</v>
      </c>
      <c r="L2057" s="33" t="s">
        <v>1206</v>
      </c>
      <c r="M2057" s="33" t="str">
        <f>_xlfn.XLOOKUP(Tabela14[[#This Row],[Responsável]],Organograma!H:H,Organograma!G:G,"")</f>
        <v/>
      </c>
      <c r="Q2057" s="33" t="s">
        <v>7095</v>
      </c>
    </row>
    <row r="2058" spans="1:17">
      <c r="A2058" s="33" t="s">
        <v>7760</v>
      </c>
      <c r="B2058" s="33" t="s">
        <v>7761</v>
      </c>
      <c r="C2058" s="33" t="s">
        <v>3549</v>
      </c>
      <c r="D2058" s="33" t="s">
        <v>4068</v>
      </c>
      <c r="E2058" s="33" t="s">
        <v>3976</v>
      </c>
      <c r="G2058" s="33" t="s">
        <v>4068</v>
      </c>
      <c r="H2058" s="33" t="s">
        <v>3475</v>
      </c>
      <c r="I2058" s="33" t="s">
        <v>3475</v>
      </c>
      <c r="J2058" s="33" t="s">
        <v>7762</v>
      </c>
      <c r="K2058" s="33" t="s">
        <v>1791</v>
      </c>
      <c r="L2058" s="33" t="s">
        <v>1206</v>
      </c>
      <c r="M2058" s="33" t="str">
        <f>_xlfn.XLOOKUP(Tabela14[[#This Row],[Responsável]],Organograma!H:H,Organograma!G:G,"")</f>
        <v/>
      </c>
      <c r="Q2058" s="33" t="s">
        <v>7095</v>
      </c>
    </row>
    <row r="2059" spans="1:17" hidden="1">
      <c r="A2059" s="33" t="s">
        <v>7763</v>
      </c>
      <c r="B2059" s="33" t="s">
        <v>7764</v>
      </c>
      <c r="C2059" s="33" t="s">
        <v>3549</v>
      </c>
      <c r="D2059" s="33" t="s">
        <v>67</v>
      </c>
      <c r="E2059" s="33" t="s">
        <v>6600</v>
      </c>
      <c r="G2059" s="33" t="s">
        <v>4068</v>
      </c>
      <c r="H2059" s="33" t="s">
        <v>3475</v>
      </c>
      <c r="I2059" s="33" t="s">
        <v>3475</v>
      </c>
      <c r="J2059" s="33" t="s">
        <v>7765</v>
      </c>
      <c r="K2059" s="33" t="s">
        <v>6602</v>
      </c>
      <c r="L2059" s="33" t="s">
        <v>3527</v>
      </c>
      <c r="M2059" s="33" t="str">
        <f>_xlfn.XLOOKUP(Tabela14[[#This Row],[Responsável]],Organograma!H:H,Organograma!G:G,"")</f>
        <v>CC - Centro Cirúrgico</v>
      </c>
      <c r="Q2059" s="33" t="s">
        <v>7095</v>
      </c>
    </row>
    <row r="2060" spans="1:17" hidden="1">
      <c r="A2060" s="33" t="s">
        <v>7766</v>
      </c>
      <c r="B2060" s="33" t="s">
        <v>7767</v>
      </c>
      <c r="C2060" s="33" t="s">
        <v>3549</v>
      </c>
      <c r="D2060" s="33" t="s">
        <v>67</v>
      </c>
      <c r="E2060" s="33" t="s">
        <v>6600</v>
      </c>
      <c r="G2060" s="33" t="s">
        <v>4068</v>
      </c>
      <c r="H2060" s="33" t="s">
        <v>3475</v>
      </c>
      <c r="I2060" s="33" t="s">
        <v>3475</v>
      </c>
      <c r="J2060" s="33" t="s">
        <v>7768</v>
      </c>
      <c r="K2060" s="33" t="s">
        <v>6602</v>
      </c>
      <c r="L2060" s="33" t="s">
        <v>3527</v>
      </c>
      <c r="M2060" s="33" t="str">
        <f>_xlfn.XLOOKUP(Tabela14[[#This Row],[Responsável]],Organograma!H:H,Organograma!G:G,"")</f>
        <v>CC - Centro Cirúrgico</v>
      </c>
      <c r="Q2060" s="33" t="s">
        <v>7095</v>
      </c>
    </row>
    <row r="2061" spans="1:17" hidden="1">
      <c r="A2061" s="33" t="s">
        <v>7769</v>
      </c>
      <c r="B2061" s="33" t="s">
        <v>7770</v>
      </c>
      <c r="C2061" s="33" t="s">
        <v>3549</v>
      </c>
      <c r="D2061" s="33" t="s">
        <v>67</v>
      </c>
      <c r="E2061" s="33" t="s">
        <v>6609</v>
      </c>
      <c r="G2061" s="33" t="s">
        <v>4068</v>
      </c>
      <c r="H2061" s="33" t="s">
        <v>3475</v>
      </c>
      <c r="I2061" s="33" t="s">
        <v>3475</v>
      </c>
      <c r="J2061" s="33" t="s">
        <v>7771</v>
      </c>
      <c r="K2061" s="33" t="s">
        <v>6611</v>
      </c>
      <c r="L2061" s="33" t="s">
        <v>3475</v>
      </c>
      <c r="M2061" s="33" t="str">
        <f>_xlfn.XLOOKUP(Tabela14[[#This Row],[Responsável]],Organograma!H:H,Organograma!G:G,"")</f>
        <v>CC - Centro Cirúrgico</v>
      </c>
      <c r="Q2061" s="33" t="s">
        <v>7095</v>
      </c>
    </row>
    <row r="2062" spans="1:17">
      <c r="A2062" s="33" t="s">
        <v>7772</v>
      </c>
      <c r="B2062" s="33" t="s">
        <v>7773</v>
      </c>
      <c r="C2062" s="33" t="s">
        <v>3549</v>
      </c>
      <c r="D2062" s="33" t="s">
        <v>65</v>
      </c>
      <c r="E2062" s="33" t="s">
        <v>7018</v>
      </c>
      <c r="G2062" s="33" t="s">
        <v>4068</v>
      </c>
      <c r="H2062" s="33" t="s">
        <v>3475</v>
      </c>
      <c r="I2062" s="33" t="s">
        <v>3475</v>
      </c>
      <c r="J2062" s="33" t="s">
        <v>7774</v>
      </c>
      <c r="K2062" s="33" t="s">
        <v>6737</v>
      </c>
      <c r="L2062" s="33" t="s">
        <v>3672</v>
      </c>
      <c r="M2062" s="33" t="str">
        <f>_xlfn.XLOOKUP(Tabela14[[#This Row],[Responsável]],Organograma!H:H,Organograma!G:G,"")</f>
        <v>CGO - Unidade de Internação Ginecobstétrica</v>
      </c>
      <c r="Q2062" s="33" t="s">
        <v>7095</v>
      </c>
    </row>
    <row r="2063" spans="1:17">
      <c r="A2063" s="33" t="s">
        <v>7775</v>
      </c>
      <c r="B2063" s="33" t="s">
        <v>7776</v>
      </c>
      <c r="C2063" s="33" t="s">
        <v>3549</v>
      </c>
      <c r="D2063" s="33" t="s">
        <v>65</v>
      </c>
      <c r="E2063" s="33" t="s">
        <v>7018</v>
      </c>
      <c r="G2063" s="33" t="s">
        <v>4068</v>
      </c>
      <c r="H2063" s="33" t="s">
        <v>3251</v>
      </c>
      <c r="I2063" s="33" t="s">
        <v>3251</v>
      </c>
      <c r="J2063" s="33" t="s">
        <v>7777</v>
      </c>
      <c r="K2063" s="33" t="s">
        <v>6737</v>
      </c>
      <c r="L2063" s="33" t="s">
        <v>3672</v>
      </c>
      <c r="M2063" s="33" t="str">
        <f>_xlfn.XLOOKUP(Tabela14[[#This Row],[Responsável]],Organograma!H:H,Organograma!G:G,"")</f>
        <v>CGO - Unidade de Internação Ginecobstétrica</v>
      </c>
      <c r="Q2063" s="33" t="s">
        <v>7095</v>
      </c>
    </row>
    <row r="2064" spans="1:17">
      <c r="A2064" s="33" t="s">
        <v>7778</v>
      </c>
      <c r="B2064" s="33" t="s">
        <v>7779</v>
      </c>
      <c r="C2064" s="33" t="s">
        <v>3549</v>
      </c>
      <c r="D2064" s="33" t="s">
        <v>65</v>
      </c>
      <c r="E2064" s="33" t="s">
        <v>7018</v>
      </c>
      <c r="G2064" s="33" t="s">
        <v>4068</v>
      </c>
      <c r="H2064" s="33" t="s">
        <v>3251</v>
      </c>
      <c r="I2064" s="33" t="s">
        <v>3251</v>
      </c>
      <c r="J2064" s="33" t="s">
        <v>7780</v>
      </c>
      <c r="K2064" s="33" t="s">
        <v>6737</v>
      </c>
      <c r="L2064" s="33" t="s">
        <v>3672</v>
      </c>
      <c r="M2064" s="33" t="str">
        <f>_xlfn.XLOOKUP(Tabela14[[#This Row],[Responsável]],Organograma!H:H,Organograma!G:G,"")</f>
        <v>CGO - Unidade de Internação Ginecobstétrica</v>
      </c>
      <c r="Q2064" s="33" t="s">
        <v>7095</v>
      </c>
    </row>
    <row r="2065" spans="1:17">
      <c r="A2065" s="33" t="s">
        <v>7781</v>
      </c>
      <c r="B2065" s="33" t="s">
        <v>7782</v>
      </c>
      <c r="C2065" s="33" t="s">
        <v>3549</v>
      </c>
      <c r="D2065" s="33" t="s">
        <v>4068</v>
      </c>
      <c r="E2065" s="33" t="s">
        <v>3976</v>
      </c>
      <c r="G2065" s="33" t="s">
        <v>4068</v>
      </c>
      <c r="H2065" s="33" t="s">
        <v>3251</v>
      </c>
      <c r="I2065" s="33" t="s">
        <v>3251</v>
      </c>
      <c r="J2065" s="33" t="s">
        <v>7783</v>
      </c>
      <c r="K2065" s="33" t="s">
        <v>1791</v>
      </c>
      <c r="L2065" s="33" t="s">
        <v>1206</v>
      </c>
      <c r="M2065" s="33" t="str">
        <f>_xlfn.XLOOKUP(Tabela14[[#This Row],[Responsável]],Organograma!H:H,Organograma!G:G,"")</f>
        <v/>
      </c>
      <c r="Q2065" s="33" t="s">
        <v>7095</v>
      </c>
    </row>
    <row r="2066" spans="1:17">
      <c r="A2066" s="33" t="s">
        <v>7784</v>
      </c>
      <c r="B2066" s="33" t="s">
        <v>7785</v>
      </c>
      <c r="C2066" s="33" t="s">
        <v>3549</v>
      </c>
      <c r="D2066" s="33" t="s">
        <v>65</v>
      </c>
      <c r="E2066" s="33" t="s">
        <v>7018</v>
      </c>
      <c r="G2066" s="33" t="s">
        <v>4068</v>
      </c>
      <c r="H2066" s="33" t="s">
        <v>3251</v>
      </c>
      <c r="I2066" s="33" t="s">
        <v>3251</v>
      </c>
      <c r="J2066" s="33" t="s">
        <v>7786</v>
      </c>
      <c r="K2066" s="33" t="s">
        <v>6737</v>
      </c>
      <c r="L2066" s="33" t="s">
        <v>3672</v>
      </c>
      <c r="M2066" s="33" t="str">
        <f>_xlfn.XLOOKUP(Tabela14[[#This Row],[Responsável]],Organograma!H:H,Organograma!G:G,"")</f>
        <v>CGO - Unidade de Internação Ginecobstétrica</v>
      </c>
      <c r="Q2066" s="33" t="s">
        <v>7095</v>
      </c>
    </row>
    <row r="2067" spans="1:17" hidden="1">
      <c r="A2067" s="33" t="s">
        <v>7787</v>
      </c>
      <c r="B2067" s="33" t="s">
        <v>7788</v>
      </c>
      <c r="C2067" s="33" t="s">
        <v>3549</v>
      </c>
      <c r="D2067" s="33" t="s">
        <v>67</v>
      </c>
      <c r="E2067" s="33" t="s">
        <v>6600</v>
      </c>
      <c r="G2067" s="33" t="s">
        <v>4068</v>
      </c>
      <c r="H2067" s="33" t="s">
        <v>3251</v>
      </c>
      <c r="I2067" s="33" t="s">
        <v>3251</v>
      </c>
      <c r="J2067" s="33" t="s">
        <v>7789</v>
      </c>
      <c r="K2067" s="33" t="s">
        <v>6602</v>
      </c>
      <c r="L2067" s="33" t="s">
        <v>3527</v>
      </c>
      <c r="M2067" s="33" t="str">
        <f>_xlfn.XLOOKUP(Tabela14[[#This Row],[Responsável]],Organograma!H:H,Organograma!G:G,"")</f>
        <v>CC - Centro Cirúrgico</v>
      </c>
      <c r="Q2067" s="33" t="s">
        <v>7095</v>
      </c>
    </row>
    <row r="2068" spans="1:17" hidden="1">
      <c r="A2068" s="33" t="s">
        <v>5497</v>
      </c>
      <c r="B2068" s="33" t="s">
        <v>7790</v>
      </c>
      <c r="C2068" s="33" t="s">
        <v>5499</v>
      </c>
      <c r="D2068" s="33" t="s">
        <v>4068</v>
      </c>
      <c r="E2068" s="33" t="s">
        <v>1808</v>
      </c>
      <c r="G2068" s="33" t="s">
        <v>5500</v>
      </c>
      <c r="H2068" s="33" t="s">
        <v>3544</v>
      </c>
      <c r="I2068" s="33" t="s">
        <v>3544</v>
      </c>
      <c r="J2068" s="33" t="s">
        <v>5501</v>
      </c>
      <c r="K2068" s="33" t="s">
        <v>1791</v>
      </c>
      <c r="L2068" s="33" t="s">
        <v>3544</v>
      </c>
      <c r="M2068" s="33" t="str">
        <f>_xlfn.XLOOKUP(Tabela14[[#This Row],[Responsável]],Organograma!H:H,Organograma!G:G,"")</f>
        <v/>
      </c>
      <c r="Q2068" s="33" t="s">
        <v>7095</v>
      </c>
    </row>
    <row r="2069" spans="1:17" hidden="1">
      <c r="A2069" s="33" t="s">
        <v>7791</v>
      </c>
      <c r="B2069" s="33" t="s">
        <v>7792</v>
      </c>
      <c r="C2069" s="33" t="s">
        <v>3549</v>
      </c>
      <c r="D2069" s="33" t="s">
        <v>67</v>
      </c>
      <c r="E2069" s="33" t="s">
        <v>6600</v>
      </c>
      <c r="G2069" s="33" t="s">
        <v>4068</v>
      </c>
      <c r="H2069" s="33" t="s">
        <v>3551</v>
      </c>
      <c r="I2069" s="33" t="s">
        <v>3551</v>
      </c>
      <c r="J2069" s="33" t="s">
        <v>7793</v>
      </c>
      <c r="K2069" s="33" t="s">
        <v>6602</v>
      </c>
      <c r="L2069" s="33" t="s">
        <v>3562</v>
      </c>
      <c r="M2069" s="33" t="str">
        <f>_xlfn.XLOOKUP(Tabela14[[#This Row],[Responsável]],Organograma!H:H,Organograma!G:G,"")</f>
        <v>CC - Centro Cirúrgico</v>
      </c>
      <c r="Q2069" s="33" t="s">
        <v>7095</v>
      </c>
    </row>
    <row r="2070" spans="1:17" hidden="1">
      <c r="A2070" s="33" t="s">
        <v>7794</v>
      </c>
      <c r="B2070" s="33" t="s">
        <v>7795</v>
      </c>
      <c r="C2070" s="33" t="s">
        <v>3549</v>
      </c>
      <c r="D2070" s="33" t="s">
        <v>6819</v>
      </c>
      <c r="E2070" s="33" t="s">
        <v>6609</v>
      </c>
      <c r="G2070" s="33" t="s">
        <v>4068</v>
      </c>
      <c r="H2070" s="33" t="s">
        <v>3551</v>
      </c>
      <c r="I2070" s="33" t="s">
        <v>3551</v>
      </c>
      <c r="J2070" s="33" t="s">
        <v>7796</v>
      </c>
      <c r="K2070" s="33" t="s">
        <v>6611</v>
      </c>
      <c r="L2070" s="33" t="s">
        <v>3551</v>
      </c>
      <c r="M2070" s="33" t="str">
        <f>_xlfn.XLOOKUP(Tabela14[[#This Row],[Responsável]],Organograma!H:H,Organograma!G:G,"")</f>
        <v/>
      </c>
      <c r="Q2070" s="33" t="s">
        <v>7095</v>
      </c>
    </row>
    <row r="2071" spans="1:17" hidden="1">
      <c r="A2071" s="33" t="s">
        <v>7797</v>
      </c>
      <c r="B2071" s="33" t="s">
        <v>7798</v>
      </c>
      <c r="C2071" s="33" t="s">
        <v>3549</v>
      </c>
      <c r="D2071" s="33" t="s">
        <v>3467</v>
      </c>
      <c r="E2071" s="33" t="s">
        <v>6609</v>
      </c>
      <c r="G2071" s="33" t="s">
        <v>4068</v>
      </c>
      <c r="H2071" s="33" t="s">
        <v>3551</v>
      </c>
      <c r="I2071" s="33" t="s">
        <v>3551</v>
      </c>
      <c r="J2071" s="33" t="s">
        <v>7799</v>
      </c>
      <c r="K2071" s="33" t="s">
        <v>6611</v>
      </c>
      <c r="L2071" s="33" t="s">
        <v>3551</v>
      </c>
      <c r="M2071" s="33" t="str">
        <f>_xlfn.XLOOKUP(Tabela14[[#This Row],[Responsável]],Organograma!H:H,Organograma!G:G,"")</f>
        <v/>
      </c>
      <c r="Q2071" s="33" t="s">
        <v>7095</v>
      </c>
    </row>
    <row r="2072" spans="1:17" hidden="1">
      <c r="A2072" s="33" t="s">
        <v>7800</v>
      </c>
      <c r="B2072" s="33" t="s">
        <v>7801</v>
      </c>
      <c r="C2072" s="33" t="s">
        <v>3549</v>
      </c>
      <c r="D2072" s="33" t="s">
        <v>3467</v>
      </c>
      <c r="E2072" s="33" t="s">
        <v>6609</v>
      </c>
      <c r="G2072" s="33" t="s">
        <v>4068</v>
      </c>
      <c r="H2072" s="33" t="s">
        <v>3551</v>
      </c>
      <c r="I2072" s="33" t="s">
        <v>3551</v>
      </c>
      <c r="J2072" s="33" t="s">
        <v>7802</v>
      </c>
      <c r="K2072" s="33" t="s">
        <v>6611</v>
      </c>
      <c r="L2072" s="33" t="s">
        <v>3551</v>
      </c>
      <c r="M2072" s="33" t="str">
        <f>_xlfn.XLOOKUP(Tabela14[[#This Row],[Responsável]],Organograma!H:H,Organograma!G:G,"")</f>
        <v/>
      </c>
      <c r="Q2072" s="33" t="s">
        <v>7095</v>
      </c>
    </row>
    <row r="2073" spans="1:17" hidden="1">
      <c r="A2073" s="33" t="s">
        <v>3606</v>
      </c>
      <c r="B2073" s="33" t="s">
        <v>7803</v>
      </c>
      <c r="C2073" s="33" t="s">
        <v>1831</v>
      </c>
      <c r="D2073" s="33" t="s">
        <v>7804</v>
      </c>
      <c r="E2073" s="33" t="s">
        <v>1836</v>
      </c>
      <c r="G2073" s="33" t="s">
        <v>3608</v>
      </c>
      <c r="H2073" s="33" t="s">
        <v>3551</v>
      </c>
      <c r="I2073" s="33" t="s">
        <v>3551</v>
      </c>
      <c r="J2073" s="33" t="s">
        <v>7805</v>
      </c>
      <c r="K2073" s="33" t="s">
        <v>6898</v>
      </c>
      <c r="L2073" s="33" t="s">
        <v>3597</v>
      </c>
      <c r="M2073" s="33" t="str">
        <f>_xlfn.XLOOKUP(Tabela14[[#This Row],[Responsável]],Organograma!H:H,Organograma!G:G,"")</f>
        <v/>
      </c>
      <c r="Q2073" s="33" t="s">
        <v>7095</v>
      </c>
    </row>
    <row r="2074" spans="1:17" hidden="1">
      <c r="A2074" s="33" t="s">
        <v>7806</v>
      </c>
      <c r="B2074" s="33" t="s">
        <v>7807</v>
      </c>
      <c r="C2074" s="33" t="s">
        <v>3549</v>
      </c>
      <c r="D2074" s="33" t="s">
        <v>4068</v>
      </c>
      <c r="E2074" s="33" t="s">
        <v>1836</v>
      </c>
      <c r="G2074" s="33" t="s">
        <v>4068</v>
      </c>
      <c r="H2074" s="33" t="s">
        <v>3551</v>
      </c>
      <c r="I2074" s="33" t="s">
        <v>3551</v>
      </c>
      <c r="J2074" s="33" t="s">
        <v>7808</v>
      </c>
      <c r="K2074" s="33" t="s">
        <v>1791</v>
      </c>
      <c r="L2074" s="33" t="s">
        <v>1206</v>
      </c>
      <c r="M2074" s="33" t="str">
        <f>_xlfn.XLOOKUP(Tabela14[[#This Row],[Responsável]],Organograma!H:H,Organograma!G:G,"")</f>
        <v/>
      </c>
      <c r="Q2074" s="33" t="s">
        <v>7095</v>
      </c>
    </row>
    <row r="2075" spans="1:17" hidden="1">
      <c r="A2075" s="33" t="s">
        <v>7809</v>
      </c>
      <c r="B2075" s="33" t="s">
        <v>7810</v>
      </c>
      <c r="C2075" s="33" t="s">
        <v>3549</v>
      </c>
      <c r="D2075" s="33" t="s">
        <v>3467</v>
      </c>
      <c r="E2075" s="33" t="s">
        <v>6609</v>
      </c>
      <c r="G2075" s="33" t="s">
        <v>4068</v>
      </c>
      <c r="H2075" s="33" t="s">
        <v>3551</v>
      </c>
      <c r="I2075" s="33" t="s">
        <v>3551</v>
      </c>
      <c r="J2075" s="33" t="s">
        <v>7811</v>
      </c>
      <c r="K2075" s="33" t="s">
        <v>6611</v>
      </c>
      <c r="L2075" s="33" t="s">
        <v>3551</v>
      </c>
      <c r="M2075" s="33" t="str">
        <f>_xlfn.XLOOKUP(Tabela14[[#This Row],[Responsável]],Organograma!H:H,Organograma!G:G,"")</f>
        <v/>
      </c>
      <c r="Q2075" s="33" t="s">
        <v>7095</v>
      </c>
    </row>
    <row r="2076" spans="1:17" hidden="1">
      <c r="A2076" s="33" t="s">
        <v>7812</v>
      </c>
      <c r="B2076" s="33" t="s">
        <v>7813</v>
      </c>
      <c r="C2076" s="33" t="s">
        <v>3549</v>
      </c>
      <c r="D2076" s="33" t="s">
        <v>3467</v>
      </c>
      <c r="E2076" s="33" t="s">
        <v>6609</v>
      </c>
      <c r="G2076" s="33" t="s">
        <v>4068</v>
      </c>
      <c r="H2076" s="33" t="s">
        <v>3551</v>
      </c>
      <c r="I2076" s="33" t="s">
        <v>3551</v>
      </c>
      <c r="J2076" s="33" t="s">
        <v>7814</v>
      </c>
      <c r="K2076" s="33" t="s">
        <v>6611</v>
      </c>
      <c r="L2076" s="33" t="s">
        <v>3551</v>
      </c>
      <c r="M2076" s="33" t="str">
        <f>_xlfn.XLOOKUP(Tabela14[[#This Row],[Responsável]],Organograma!H:H,Organograma!G:G,"")</f>
        <v/>
      </c>
      <c r="Q2076" s="33" t="s">
        <v>7095</v>
      </c>
    </row>
    <row r="2077" spans="1:17" hidden="1">
      <c r="A2077" s="33" t="s">
        <v>7815</v>
      </c>
      <c r="B2077" s="33" t="s">
        <v>7816</v>
      </c>
      <c r="C2077" s="33" t="s">
        <v>3549</v>
      </c>
      <c r="D2077" s="33" t="s">
        <v>3467</v>
      </c>
      <c r="E2077" s="33" t="s">
        <v>6609</v>
      </c>
      <c r="G2077" s="33" t="s">
        <v>4068</v>
      </c>
      <c r="H2077" s="33" t="s">
        <v>3551</v>
      </c>
      <c r="I2077" s="33" t="s">
        <v>3551</v>
      </c>
      <c r="J2077" s="33" t="s">
        <v>7817</v>
      </c>
      <c r="K2077" s="33" t="s">
        <v>6611</v>
      </c>
      <c r="L2077" s="33" t="s">
        <v>3551</v>
      </c>
      <c r="M2077" s="33" t="str">
        <f>_xlfn.XLOOKUP(Tabela14[[#This Row],[Responsável]],Organograma!H:H,Organograma!G:G,"")</f>
        <v/>
      </c>
      <c r="Q2077" s="33" t="s">
        <v>7095</v>
      </c>
    </row>
    <row r="2078" spans="1:17" hidden="1">
      <c r="A2078" s="33" t="s">
        <v>7818</v>
      </c>
      <c r="B2078" s="33" t="s">
        <v>7819</v>
      </c>
      <c r="C2078" s="33" t="s">
        <v>3549</v>
      </c>
      <c r="D2078" s="33" t="s">
        <v>64</v>
      </c>
      <c r="E2078" s="33" t="s">
        <v>6600</v>
      </c>
      <c r="G2078" s="33" t="s">
        <v>4068</v>
      </c>
      <c r="H2078" s="33" t="s">
        <v>3551</v>
      </c>
      <c r="I2078" s="33" t="s">
        <v>3551</v>
      </c>
      <c r="J2078" s="33" t="s">
        <v>7820</v>
      </c>
      <c r="K2078" s="33" t="s">
        <v>6602</v>
      </c>
      <c r="L2078" s="33" t="s">
        <v>5753</v>
      </c>
      <c r="M2078" s="33" t="str">
        <f>_xlfn.XLOOKUP(Tabela14[[#This Row],[Responsável]],Organograma!H:H,Organograma!G:G,"")</f>
        <v>PAM - Pronto Atendimento Materno</v>
      </c>
      <c r="Q2078" s="33" t="s">
        <v>7095</v>
      </c>
    </row>
    <row r="2079" spans="1:17" hidden="1">
      <c r="A2079" s="33" t="s">
        <v>7821</v>
      </c>
      <c r="B2079" s="33" t="s">
        <v>7822</v>
      </c>
      <c r="C2079" s="33" t="s">
        <v>3549</v>
      </c>
      <c r="D2079" s="33" t="s">
        <v>6941</v>
      </c>
      <c r="E2079" s="33" t="s">
        <v>6609</v>
      </c>
      <c r="G2079" s="33" t="s">
        <v>4068</v>
      </c>
      <c r="H2079" s="33" t="s">
        <v>3551</v>
      </c>
      <c r="I2079" s="33" t="s">
        <v>3551</v>
      </c>
      <c r="J2079" s="33" t="s">
        <v>7823</v>
      </c>
      <c r="K2079" s="33" t="s">
        <v>6611</v>
      </c>
      <c r="L2079" s="33" t="s">
        <v>3551</v>
      </c>
      <c r="M2079" s="33" t="str">
        <f>_xlfn.XLOOKUP(Tabela14[[#This Row],[Responsável]],Organograma!H:H,Organograma!G:G,"")</f>
        <v/>
      </c>
      <c r="Q2079" s="33" t="s">
        <v>7095</v>
      </c>
    </row>
    <row r="2080" spans="1:17" hidden="1">
      <c r="A2080" s="33" t="s">
        <v>7824</v>
      </c>
      <c r="B2080" s="33" t="s">
        <v>7825</v>
      </c>
      <c r="C2080" s="33" t="s">
        <v>3549</v>
      </c>
      <c r="D2080" s="33" t="s">
        <v>51</v>
      </c>
      <c r="E2080" s="33" t="s">
        <v>6609</v>
      </c>
      <c r="G2080" s="33" t="s">
        <v>4068</v>
      </c>
      <c r="H2080" s="33" t="s">
        <v>3551</v>
      </c>
      <c r="I2080" s="33" t="s">
        <v>3551</v>
      </c>
      <c r="J2080" s="33" t="s">
        <v>7826</v>
      </c>
      <c r="K2080" s="33" t="s">
        <v>6611</v>
      </c>
      <c r="L2080" s="33" t="s">
        <v>3551</v>
      </c>
      <c r="M2080" s="33" t="str">
        <f>_xlfn.XLOOKUP(Tabela14[[#This Row],[Responsável]],Organograma!H:H,Organograma!G:G,"")</f>
        <v>FIS - Fisioterapia</v>
      </c>
      <c r="Q2080" s="33" t="s">
        <v>7095</v>
      </c>
    </row>
    <row r="2081" spans="1:17" hidden="1">
      <c r="A2081" s="33" t="s">
        <v>7827</v>
      </c>
      <c r="B2081" s="33" t="s">
        <v>7828</v>
      </c>
      <c r="C2081" s="33" t="s">
        <v>3549</v>
      </c>
      <c r="D2081" s="33" t="s">
        <v>6684</v>
      </c>
      <c r="E2081" s="33" t="s">
        <v>6609</v>
      </c>
      <c r="G2081" s="33" t="s">
        <v>4068</v>
      </c>
      <c r="H2081" s="33" t="s">
        <v>3551</v>
      </c>
      <c r="I2081" s="33" t="s">
        <v>3551</v>
      </c>
      <c r="J2081" s="33" t="s">
        <v>7829</v>
      </c>
      <c r="K2081" s="33" t="s">
        <v>6611</v>
      </c>
      <c r="L2081" s="33" t="s">
        <v>3551</v>
      </c>
      <c r="M2081" s="33" t="str">
        <f>_xlfn.XLOOKUP(Tabela14[[#This Row],[Responsável]],Organograma!H:H,Organograma!G:G,"")</f>
        <v/>
      </c>
      <c r="Q2081" s="33" t="s">
        <v>7095</v>
      </c>
    </row>
    <row r="2082" spans="1:17" hidden="1">
      <c r="A2082" s="33" t="s">
        <v>3606</v>
      </c>
      <c r="B2082" s="33" t="s">
        <v>7830</v>
      </c>
      <c r="C2082" s="33" t="s">
        <v>1831</v>
      </c>
      <c r="D2082" s="33" t="s">
        <v>4068</v>
      </c>
      <c r="E2082" s="33" t="s">
        <v>1836</v>
      </c>
      <c r="G2082" s="33" t="s">
        <v>3608</v>
      </c>
      <c r="H2082" s="33" t="s">
        <v>3562</v>
      </c>
      <c r="I2082" s="33" t="s">
        <v>3562</v>
      </c>
      <c r="J2082" s="33" t="s">
        <v>7831</v>
      </c>
      <c r="K2082" s="33" t="s">
        <v>1791</v>
      </c>
      <c r="L2082" s="33" t="s">
        <v>1206</v>
      </c>
      <c r="M2082" s="33" t="str">
        <f>_xlfn.XLOOKUP(Tabela14[[#This Row],[Responsável]],Organograma!H:H,Organograma!G:G,"")</f>
        <v/>
      </c>
      <c r="Q2082" s="33" t="s">
        <v>7095</v>
      </c>
    </row>
    <row r="2083" spans="1:17" hidden="1">
      <c r="A2083" s="33" t="s">
        <v>3606</v>
      </c>
      <c r="B2083" s="33" t="s">
        <v>7832</v>
      </c>
      <c r="C2083" s="33" t="s">
        <v>1831</v>
      </c>
      <c r="D2083" s="33" t="s">
        <v>4068</v>
      </c>
      <c r="E2083" s="33" t="s">
        <v>1808</v>
      </c>
      <c r="G2083" s="33" t="s">
        <v>3608</v>
      </c>
      <c r="H2083" s="33" t="s">
        <v>3562</v>
      </c>
      <c r="I2083" s="33" t="s">
        <v>3562</v>
      </c>
      <c r="J2083" s="33" t="s">
        <v>5496</v>
      </c>
      <c r="K2083" s="33" t="s">
        <v>1791</v>
      </c>
      <c r="L2083" s="33" t="s">
        <v>3562</v>
      </c>
      <c r="M2083" s="33" t="str">
        <f>_xlfn.XLOOKUP(Tabela14[[#This Row],[Responsável]],Organograma!H:H,Organograma!G:G,"")</f>
        <v/>
      </c>
      <c r="Q2083" s="33" t="s">
        <v>7095</v>
      </c>
    </row>
    <row r="2084" spans="1:17">
      <c r="A2084" s="33" t="s">
        <v>7833</v>
      </c>
      <c r="B2084" s="33" t="s">
        <v>7834</v>
      </c>
      <c r="C2084" s="33" t="s">
        <v>3549</v>
      </c>
      <c r="D2084" s="33" t="s">
        <v>4068</v>
      </c>
      <c r="E2084" s="33" t="s">
        <v>6658</v>
      </c>
      <c r="G2084" s="33" t="s">
        <v>4068</v>
      </c>
      <c r="H2084" s="33" t="s">
        <v>3562</v>
      </c>
      <c r="I2084" s="33" t="s">
        <v>3562</v>
      </c>
      <c r="J2084" s="33" t="s">
        <v>7835</v>
      </c>
      <c r="K2084" s="33" t="s">
        <v>1791</v>
      </c>
      <c r="L2084" s="33" t="s">
        <v>1206</v>
      </c>
      <c r="M2084" s="33" t="str">
        <f>_xlfn.XLOOKUP(Tabela14[[#This Row],[Responsável]],Organograma!H:H,Organograma!G:G,"")</f>
        <v/>
      </c>
      <c r="Q2084" s="33" t="s">
        <v>7095</v>
      </c>
    </row>
    <row r="2085" spans="1:17" hidden="1">
      <c r="A2085" s="33" t="s">
        <v>7836</v>
      </c>
      <c r="B2085" s="33" t="s">
        <v>7837</v>
      </c>
      <c r="C2085" s="33" t="s">
        <v>3549</v>
      </c>
      <c r="D2085" s="33" t="s">
        <v>90</v>
      </c>
      <c r="E2085" s="33" t="s">
        <v>6609</v>
      </c>
      <c r="G2085" s="33" t="s">
        <v>4068</v>
      </c>
      <c r="H2085" s="33" t="s">
        <v>3562</v>
      </c>
      <c r="I2085" s="33" t="s">
        <v>3562</v>
      </c>
      <c r="J2085" s="33" t="s">
        <v>7838</v>
      </c>
      <c r="K2085" s="33" t="s">
        <v>6611</v>
      </c>
      <c r="L2085" s="33" t="s">
        <v>3562</v>
      </c>
      <c r="M2085" s="33" t="str">
        <f>_xlfn.XLOOKUP(Tabela14[[#This Row],[Responsável]],Organograma!H:H,Organograma!G:G,"")</f>
        <v>PSICO - Unidade de Atendimento a Saúde Mental</v>
      </c>
      <c r="Q2085" s="33" t="s">
        <v>7095</v>
      </c>
    </row>
    <row r="2086" spans="1:17">
      <c r="A2086" s="33" t="s">
        <v>7839</v>
      </c>
      <c r="B2086" s="33" t="s">
        <v>7840</v>
      </c>
      <c r="C2086" s="33" t="s">
        <v>3549</v>
      </c>
      <c r="D2086" s="33" t="s">
        <v>4068</v>
      </c>
      <c r="E2086" s="33" t="s">
        <v>6658</v>
      </c>
      <c r="G2086" s="33" t="s">
        <v>4068</v>
      </c>
      <c r="H2086" s="33" t="s">
        <v>3562</v>
      </c>
      <c r="I2086" s="33" t="s">
        <v>3562</v>
      </c>
      <c r="J2086" s="33" t="s">
        <v>7841</v>
      </c>
      <c r="K2086" s="33" t="s">
        <v>1791</v>
      </c>
      <c r="L2086" s="33" t="s">
        <v>1206</v>
      </c>
      <c r="M2086" s="33" t="str">
        <f>_xlfn.XLOOKUP(Tabela14[[#This Row],[Responsável]],Organograma!H:H,Organograma!G:G,"")</f>
        <v/>
      </c>
      <c r="Q2086" s="33" t="s">
        <v>7095</v>
      </c>
    </row>
    <row r="2087" spans="1:17" hidden="1">
      <c r="A2087" s="33" t="s">
        <v>7842</v>
      </c>
      <c r="B2087" s="33" t="s">
        <v>7843</v>
      </c>
      <c r="C2087" s="33" t="s">
        <v>3549</v>
      </c>
      <c r="D2087" s="33" t="s">
        <v>6684</v>
      </c>
      <c r="E2087" s="33" t="s">
        <v>6609</v>
      </c>
      <c r="G2087" s="33" t="s">
        <v>4068</v>
      </c>
      <c r="H2087" s="33" t="s">
        <v>3562</v>
      </c>
      <c r="I2087" s="33" t="s">
        <v>3562</v>
      </c>
      <c r="J2087" s="33" t="s">
        <v>7844</v>
      </c>
      <c r="K2087" s="33" t="s">
        <v>6611</v>
      </c>
      <c r="L2087" s="33" t="s">
        <v>3562</v>
      </c>
      <c r="M2087" s="33" t="str">
        <f>_xlfn.XLOOKUP(Tabela14[[#This Row],[Responsável]],Organograma!H:H,Organograma!G:G,"")</f>
        <v/>
      </c>
      <c r="Q2087" s="33" t="s">
        <v>7095</v>
      </c>
    </row>
    <row r="2088" spans="1:17">
      <c r="A2088" s="33" t="s">
        <v>7845</v>
      </c>
      <c r="B2088" s="33" t="s">
        <v>7846</v>
      </c>
      <c r="C2088" s="33" t="s">
        <v>3549</v>
      </c>
      <c r="D2088" s="33" t="s">
        <v>4068</v>
      </c>
      <c r="E2088" s="33" t="s">
        <v>6658</v>
      </c>
      <c r="G2088" s="33" t="s">
        <v>4068</v>
      </c>
      <c r="H2088" s="33" t="s">
        <v>3562</v>
      </c>
      <c r="I2088" s="33" t="s">
        <v>3562</v>
      </c>
      <c r="J2088" s="33" t="s">
        <v>7847</v>
      </c>
      <c r="K2088" s="33" t="s">
        <v>1791</v>
      </c>
      <c r="L2088" s="33" t="s">
        <v>1206</v>
      </c>
      <c r="M2088" s="33" t="str">
        <f>_xlfn.XLOOKUP(Tabela14[[#This Row],[Responsável]],Organograma!H:H,Organograma!G:G,"")</f>
        <v/>
      </c>
      <c r="Q2088" s="33" t="s">
        <v>7095</v>
      </c>
    </row>
    <row r="2089" spans="1:17">
      <c r="A2089" s="33" t="s">
        <v>7848</v>
      </c>
      <c r="B2089" s="33" t="s">
        <v>7849</v>
      </c>
      <c r="C2089" s="33" t="s">
        <v>3549</v>
      </c>
      <c r="D2089" s="33" t="s">
        <v>4068</v>
      </c>
      <c r="E2089" s="33" t="s">
        <v>6658</v>
      </c>
      <c r="G2089" s="33" t="s">
        <v>4068</v>
      </c>
      <c r="H2089" s="33" t="s">
        <v>3562</v>
      </c>
      <c r="I2089" s="33" t="s">
        <v>3562</v>
      </c>
      <c r="J2089" s="33" t="s">
        <v>7850</v>
      </c>
      <c r="K2089" s="33" t="s">
        <v>1791</v>
      </c>
      <c r="L2089" s="33" t="s">
        <v>1206</v>
      </c>
      <c r="M2089" s="33" t="str">
        <f>_xlfn.XLOOKUP(Tabela14[[#This Row],[Responsável]],Organograma!H:H,Organograma!G:G,"")</f>
        <v/>
      </c>
      <c r="Q2089" s="33" t="s">
        <v>7095</v>
      </c>
    </row>
    <row r="2090" spans="1:17">
      <c r="A2090" s="33" t="s">
        <v>7851</v>
      </c>
      <c r="B2090" s="33" t="s">
        <v>7852</v>
      </c>
      <c r="C2090" s="33" t="s">
        <v>3549</v>
      </c>
      <c r="D2090" s="33" t="s">
        <v>6892</v>
      </c>
      <c r="E2090" s="33" t="s">
        <v>7093</v>
      </c>
      <c r="G2090" s="33" t="s">
        <v>4068</v>
      </c>
      <c r="H2090" s="33" t="s">
        <v>3562</v>
      </c>
      <c r="I2090" s="33" t="s">
        <v>3562</v>
      </c>
      <c r="J2090" s="33" t="s">
        <v>7853</v>
      </c>
      <c r="K2090" s="33" t="s">
        <v>6611</v>
      </c>
      <c r="L2090" s="33" t="s">
        <v>4039</v>
      </c>
      <c r="M2090" s="33" t="str">
        <f>_xlfn.XLOOKUP(Tabela14[[#This Row],[Responsável]],Organograma!H:H,Organograma!G:G,"")</f>
        <v/>
      </c>
      <c r="Q2090" s="33" t="s">
        <v>7095</v>
      </c>
    </row>
    <row r="2091" spans="1:17" hidden="1">
      <c r="A2091" s="33" t="s">
        <v>7854</v>
      </c>
      <c r="B2091" s="33" t="s">
        <v>7855</v>
      </c>
      <c r="C2091" s="33" t="s">
        <v>3549</v>
      </c>
      <c r="D2091" s="33" t="s">
        <v>57</v>
      </c>
      <c r="E2091" s="33" t="s">
        <v>6609</v>
      </c>
      <c r="G2091" s="33" t="s">
        <v>4068</v>
      </c>
      <c r="H2091" s="33" t="s">
        <v>3562</v>
      </c>
      <c r="I2091" s="33" t="s">
        <v>3562</v>
      </c>
      <c r="J2091" s="33" t="s">
        <v>7856</v>
      </c>
      <c r="K2091" s="33" t="s">
        <v>6611</v>
      </c>
      <c r="L2091" s="33" t="s">
        <v>3562</v>
      </c>
      <c r="M2091" s="33" t="str">
        <f>_xlfn.XLOOKUP(Tabela14[[#This Row],[Responsável]],Organograma!H:H,Organograma!G:G,"")</f>
        <v>AMB - Unidade Ambulatorial</v>
      </c>
      <c r="Q2091" s="33" t="s">
        <v>7095</v>
      </c>
    </row>
    <row r="2092" spans="1:17" hidden="1">
      <c r="A2092" s="33" t="s">
        <v>7857</v>
      </c>
      <c r="B2092" s="33" t="s">
        <v>7858</v>
      </c>
      <c r="C2092" s="33" t="s">
        <v>3549</v>
      </c>
      <c r="D2092" s="33" t="s">
        <v>7212</v>
      </c>
      <c r="E2092" s="33" t="s">
        <v>6609</v>
      </c>
      <c r="G2092" s="33" t="s">
        <v>4068</v>
      </c>
      <c r="H2092" s="33" t="s">
        <v>3562</v>
      </c>
      <c r="I2092" s="33" t="s">
        <v>3562</v>
      </c>
      <c r="J2092" s="33" t="s">
        <v>7859</v>
      </c>
      <c r="K2092" s="33" t="s">
        <v>6611</v>
      </c>
      <c r="L2092" s="33" t="s">
        <v>3562</v>
      </c>
      <c r="M2092" s="33" t="str">
        <f>_xlfn.XLOOKUP(Tabela14[[#This Row],[Responsável]],Organograma!H:H,Organograma!G:G,"")</f>
        <v/>
      </c>
      <c r="Q2092" s="33" t="s">
        <v>7095</v>
      </c>
    </row>
    <row r="2093" spans="1:17" hidden="1">
      <c r="A2093" s="33" t="s">
        <v>7860</v>
      </c>
      <c r="B2093" s="33" t="s">
        <v>7861</v>
      </c>
      <c r="C2093" s="33" t="s">
        <v>3549</v>
      </c>
      <c r="D2093" s="33" t="s">
        <v>7212</v>
      </c>
      <c r="E2093" s="33" t="s">
        <v>6609</v>
      </c>
      <c r="G2093" s="33" t="s">
        <v>4068</v>
      </c>
      <c r="H2093" s="33" t="s">
        <v>3562</v>
      </c>
      <c r="I2093" s="33" t="s">
        <v>3562</v>
      </c>
      <c r="J2093" s="33" t="s">
        <v>7862</v>
      </c>
      <c r="K2093" s="33" t="s">
        <v>6611</v>
      </c>
      <c r="L2093" s="33" t="s">
        <v>3562</v>
      </c>
      <c r="M2093" s="33" t="str">
        <f>_xlfn.XLOOKUP(Tabela14[[#This Row],[Responsável]],Organograma!H:H,Organograma!G:G,"")</f>
        <v/>
      </c>
      <c r="Q2093" s="33" t="s">
        <v>7095</v>
      </c>
    </row>
    <row r="2094" spans="1:17" hidden="1">
      <c r="A2094" s="33" t="s">
        <v>7863</v>
      </c>
      <c r="B2094" s="33" t="s">
        <v>7864</v>
      </c>
      <c r="C2094" s="33" t="s">
        <v>3549</v>
      </c>
      <c r="D2094" s="33" t="s">
        <v>7212</v>
      </c>
      <c r="E2094" s="33" t="s">
        <v>6609</v>
      </c>
      <c r="G2094" s="33" t="s">
        <v>4068</v>
      </c>
      <c r="H2094" s="33" t="s">
        <v>3562</v>
      </c>
      <c r="I2094" s="33" t="s">
        <v>3562</v>
      </c>
      <c r="J2094" s="33" t="s">
        <v>7865</v>
      </c>
      <c r="K2094" s="33" t="s">
        <v>6611</v>
      </c>
      <c r="L2094" s="33" t="s">
        <v>3562</v>
      </c>
      <c r="M2094" s="33" t="str">
        <f>_xlfn.XLOOKUP(Tabela14[[#This Row],[Responsável]],Organograma!H:H,Organograma!G:G,"")</f>
        <v/>
      </c>
      <c r="Q2094" s="33" t="s">
        <v>7095</v>
      </c>
    </row>
    <row r="2095" spans="1:17" hidden="1">
      <c r="A2095" s="33" t="s">
        <v>7866</v>
      </c>
      <c r="B2095" s="33" t="s">
        <v>7867</v>
      </c>
      <c r="C2095" s="33" t="s">
        <v>3549</v>
      </c>
      <c r="D2095" s="33" t="s">
        <v>44</v>
      </c>
      <c r="E2095" s="33" t="s">
        <v>6609</v>
      </c>
      <c r="G2095" s="33" t="s">
        <v>4068</v>
      </c>
      <c r="H2095" s="33" t="s">
        <v>3562</v>
      </c>
      <c r="I2095" s="33" t="s">
        <v>3562</v>
      </c>
      <c r="J2095" s="33" t="s">
        <v>7868</v>
      </c>
      <c r="K2095" s="33" t="s">
        <v>6611</v>
      </c>
      <c r="L2095" s="33" t="s">
        <v>3562</v>
      </c>
      <c r="M2095" s="33" t="str">
        <f>_xlfn.XLOOKUP(Tabela14[[#This Row],[Responsável]],Organograma!H:H,Organograma!G:G,"")</f>
        <v>NGAH - Núcleo de Gestão de Atendimento e Humanização</v>
      </c>
      <c r="Q2095" s="33" t="s">
        <v>7095</v>
      </c>
    </row>
    <row r="2096" spans="1:17" hidden="1">
      <c r="A2096" s="33" t="s">
        <v>7869</v>
      </c>
      <c r="B2096" s="33" t="s">
        <v>7870</v>
      </c>
      <c r="C2096" s="33" t="s">
        <v>3549</v>
      </c>
      <c r="D2096" s="33" t="s">
        <v>71</v>
      </c>
      <c r="E2096" s="33" t="s">
        <v>6609</v>
      </c>
      <c r="G2096" s="33" t="s">
        <v>4068</v>
      </c>
      <c r="H2096" s="33" t="s">
        <v>3562</v>
      </c>
      <c r="I2096" s="33" t="s">
        <v>3562</v>
      </c>
      <c r="J2096" s="33" t="s">
        <v>7871</v>
      </c>
      <c r="K2096" s="33" t="s">
        <v>6611</v>
      </c>
      <c r="L2096" s="33" t="s">
        <v>3562</v>
      </c>
      <c r="M2096" s="33" t="str">
        <f>_xlfn.XLOOKUP(Tabela14[[#This Row],[Responsável]],Organograma!H:H,Organograma!G:G,"")</f>
        <v>BLH - Banco de Leite Humano</v>
      </c>
      <c r="Q2096" s="33" t="s">
        <v>7095</v>
      </c>
    </row>
    <row r="2097" spans="1:17" hidden="1">
      <c r="A2097" s="33" t="s">
        <v>7872</v>
      </c>
      <c r="B2097" s="33" t="s">
        <v>7873</v>
      </c>
      <c r="C2097" s="33" t="s">
        <v>3549</v>
      </c>
      <c r="D2097" s="33" t="s">
        <v>64</v>
      </c>
      <c r="E2097" s="33" t="s">
        <v>6600</v>
      </c>
      <c r="G2097" s="33" t="s">
        <v>4068</v>
      </c>
      <c r="H2097" s="33" t="s">
        <v>3562</v>
      </c>
      <c r="I2097" s="33" t="s">
        <v>3562</v>
      </c>
      <c r="J2097" s="33" t="s">
        <v>7874</v>
      </c>
      <c r="K2097" s="33" t="s">
        <v>6602</v>
      </c>
      <c r="L2097" s="33" t="s">
        <v>5753</v>
      </c>
      <c r="M2097" s="33" t="str">
        <f>_xlfn.XLOOKUP(Tabela14[[#This Row],[Responsável]],Organograma!H:H,Organograma!G:G,"")</f>
        <v>PAM - Pronto Atendimento Materno</v>
      </c>
      <c r="Q2097" s="33" t="s">
        <v>7095</v>
      </c>
    </row>
    <row r="2098" spans="1:17" hidden="1">
      <c r="A2098" s="33" t="s">
        <v>7875</v>
      </c>
      <c r="B2098" s="33" t="s">
        <v>7876</v>
      </c>
      <c r="C2098" s="33" t="s">
        <v>3549</v>
      </c>
      <c r="D2098" s="33" t="s">
        <v>64</v>
      </c>
      <c r="E2098" s="33" t="s">
        <v>6600</v>
      </c>
      <c r="G2098" s="33" t="s">
        <v>4068</v>
      </c>
      <c r="H2098" s="33" t="s">
        <v>3562</v>
      </c>
      <c r="I2098" s="33" t="s">
        <v>3562</v>
      </c>
      <c r="J2098" s="33" t="s">
        <v>7877</v>
      </c>
      <c r="K2098" s="33" t="s">
        <v>6602</v>
      </c>
      <c r="L2098" s="33" t="s">
        <v>5753</v>
      </c>
      <c r="M2098" s="33" t="str">
        <f>_xlfn.XLOOKUP(Tabela14[[#This Row],[Responsável]],Organograma!H:H,Organograma!G:G,"")</f>
        <v>PAM - Pronto Atendimento Materno</v>
      </c>
      <c r="Q2098" s="33" t="s">
        <v>7095</v>
      </c>
    </row>
    <row r="2099" spans="1:17" hidden="1">
      <c r="A2099" s="33" t="s">
        <v>7878</v>
      </c>
      <c r="B2099" s="33" t="s">
        <v>7879</v>
      </c>
      <c r="C2099" s="33" t="s">
        <v>3549</v>
      </c>
      <c r="D2099" s="33" t="s">
        <v>64</v>
      </c>
      <c r="E2099" s="33" t="s">
        <v>6600</v>
      </c>
      <c r="G2099" s="33" t="s">
        <v>4068</v>
      </c>
      <c r="H2099" s="33" t="s">
        <v>3562</v>
      </c>
      <c r="I2099" s="33" t="s">
        <v>3562</v>
      </c>
      <c r="J2099" s="33" t="s">
        <v>7880</v>
      </c>
      <c r="K2099" s="33" t="s">
        <v>6602</v>
      </c>
      <c r="L2099" s="33" t="s">
        <v>5753</v>
      </c>
      <c r="M2099" s="33" t="str">
        <f>_xlfn.XLOOKUP(Tabela14[[#This Row],[Responsável]],Organograma!H:H,Organograma!G:G,"")</f>
        <v>PAM - Pronto Atendimento Materno</v>
      </c>
      <c r="Q2099" s="33" t="s">
        <v>7095</v>
      </c>
    </row>
    <row r="2100" spans="1:17">
      <c r="A2100" s="33" t="s">
        <v>7881</v>
      </c>
      <c r="B2100" s="33" t="s">
        <v>7882</v>
      </c>
      <c r="C2100" s="33" t="s">
        <v>3549</v>
      </c>
      <c r="D2100" s="33" t="s">
        <v>4068</v>
      </c>
      <c r="E2100" s="33" t="s">
        <v>6658</v>
      </c>
      <c r="G2100" s="33" t="s">
        <v>4068</v>
      </c>
      <c r="H2100" s="33" t="s">
        <v>3562</v>
      </c>
      <c r="I2100" s="33" t="s">
        <v>3562</v>
      </c>
      <c r="J2100" s="33" t="s">
        <v>7883</v>
      </c>
      <c r="K2100" s="33" t="s">
        <v>1791</v>
      </c>
      <c r="L2100" s="33" t="s">
        <v>1206</v>
      </c>
      <c r="M2100" s="33" t="str">
        <f>_xlfn.XLOOKUP(Tabela14[[#This Row],[Responsável]],Organograma!H:H,Organograma!G:G,"")</f>
        <v/>
      </c>
      <c r="Q2100" s="33" t="s">
        <v>7095</v>
      </c>
    </row>
    <row r="2101" spans="1:17">
      <c r="A2101" s="33" t="s">
        <v>7884</v>
      </c>
      <c r="B2101" s="33" t="s">
        <v>7885</v>
      </c>
      <c r="C2101" s="33" t="s">
        <v>3549</v>
      </c>
      <c r="D2101" s="33" t="s">
        <v>4068</v>
      </c>
      <c r="E2101" s="33" t="s">
        <v>935</v>
      </c>
      <c r="G2101" s="33" t="s">
        <v>4068</v>
      </c>
      <c r="H2101" s="33" t="s">
        <v>3562</v>
      </c>
      <c r="I2101" s="33" t="s">
        <v>3562</v>
      </c>
      <c r="J2101" s="33" t="s">
        <v>7886</v>
      </c>
      <c r="K2101" s="33" t="s">
        <v>6898</v>
      </c>
      <c r="L2101" s="33" t="s">
        <v>4039</v>
      </c>
      <c r="M2101" s="33" t="str">
        <f>_xlfn.XLOOKUP(Tabela14[[#This Row],[Responsável]],Organograma!H:H,Organograma!G:G,"")</f>
        <v/>
      </c>
      <c r="Q2101" s="33" t="s">
        <v>7095</v>
      </c>
    </row>
    <row r="2102" spans="1:17" hidden="1">
      <c r="A2102" s="33" t="s">
        <v>7887</v>
      </c>
      <c r="B2102" s="33" t="s">
        <v>7888</v>
      </c>
      <c r="C2102" s="33" t="s">
        <v>3549</v>
      </c>
      <c r="D2102" s="33" t="s">
        <v>6684</v>
      </c>
      <c r="E2102" s="33" t="s">
        <v>6609</v>
      </c>
      <c r="G2102" s="33" t="s">
        <v>4068</v>
      </c>
      <c r="H2102" s="33" t="s">
        <v>3562</v>
      </c>
      <c r="I2102" s="33" t="s">
        <v>3562</v>
      </c>
      <c r="J2102" s="33" t="s">
        <v>7889</v>
      </c>
      <c r="K2102" s="33" t="s">
        <v>6611</v>
      </c>
      <c r="L2102" s="33" t="s">
        <v>3562</v>
      </c>
      <c r="M2102" s="33" t="str">
        <f>_xlfn.XLOOKUP(Tabela14[[#This Row],[Responsável]],Organograma!H:H,Organograma!G:G,"")</f>
        <v/>
      </c>
      <c r="Q2102" s="33" t="s">
        <v>7095</v>
      </c>
    </row>
    <row r="2103" spans="1:17">
      <c r="A2103" s="33" t="s">
        <v>7890</v>
      </c>
      <c r="B2103" s="33" t="s">
        <v>7891</v>
      </c>
      <c r="C2103" s="33" t="s">
        <v>3549</v>
      </c>
      <c r="D2103" s="33" t="s">
        <v>4068</v>
      </c>
      <c r="E2103" s="33" t="s">
        <v>935</v>
      </c>
      <c r="G2103" s="33" t="s">
        <v>4068</v>
      </c>
      <c r="H2103" s="33" t="s">
        <v>3562</v>
      </c>
      <c r="I2103" s="33" t="s">
        <v>3562</v>
      </c>
      <c r="J2103" s="33" t="s">
        <v>7892</v>
      </c>
      <c r="K2103" s="33" t="s">
        <v>6898</v>
      </c>
      <c r="L2103" s="33" t="s">
        <v>3696</v>
      </c>
      <c r="M2103" s="33" t="str">
        <f>_xlfn.XLOOKUP(Tabela14[[#This Row],[Responsável]],Organograma!H:H,Organograma!G:G,"")</f>
        <v/>
      </c>
      <c r="Q2103" s="33" t="s">
        <v>7095</v>
      </c>
    </row>
    <row r="2104" spans="1:17">
      <c r="A2104" s="33" t="s">
        <v>7893</v>
      </c>
      <c r="B2104" s="33" t="s">
        <v>7894</v>
      </c>
      <c r="C2104" s="33" t="s">
        <v>3549</v>
      </c>
      <c r="D2104" s="33" t="s">
        <v>4068</v>
      </c>
      <c r="E2104" s="33" t="s">
        <v>6658</v>
      </c>
      <c r="G2104" s="33" t="s">
        <v>4068</v>
      </c>
      <c r="H2104" s="33" t="s">
        <v>3562</v>
      </c>
      <c r="I2104" s="33" t="s">
        <v>3562</v>
      </c>
      <c r="J2104" s="33" t="s">
        <v>7895</v>
      </c>
      <c r="K2104" s="33" t="s">
        <v>1791</v>
      </c>
      <c r="L2104" s="33" t="s">
        <v>1206</v>
      </c>
      <c r="M2104" s="33" t="str">
        <f>_xlfn.XLOOKUP(Tabela14[[#This Row],[Responsável]],Organograma!H:H,Organograma!G:G,"")</f>
        <v/>
      </c>
      <c r="Q2104" s="33" t="s">
        <v>7095</v>
      </c>
    </row>
    <row r="2105" spans="1:17">
      <c r="A2105" s="33" t="s">
        <v>7896</v>
      </c>
      <c r="B2105" s="33" t="s">
        <v>7897</v>
      </c>
      <c r="C2105" s="33" t="s">
        <v>3549</v>
      </c>
      <c r="D2105" s="33" t="s">
        <v>4068</v>
      </c>
      <c r="E2105" s="33" t="s">
        <v>3976</v>
      </c>
      <c r="G2105" s="33" t="s">
        <v>4068</v>
      </c>
      <c r="H2105" s="33" t="s">
        <v>3562</v>
      </c>
      <c r="I2105" s="33" t="s">
        <v>3562</v>
      </c>
      <c r="J2105" s="33" t="s">
        <v>7898</v>
      </c>
      <c r="K2105" s="33" t="s">
        <v>6898</v>
      </c>
      <c r="L2105" s="33" t="s">
        <v>3966</v>
      </c>
      <c r="M2105" s="33" t="str">
        <f>_xlfn.XLOOKUP(Tabela14[[#This Row],[Responsável]],Organograma!H:H,Organograma!G:G,"")</f>
        <v/>
      </c>
      <c r="Q2105" s="33" t="s">
        <v>7095</v>
      </c>
    </row>
    <row r="2106" spans="1:17" hidden="1">
      <c r="A2106" s="33" t="s">
        <v>7899</v>
      </c>
      <c r="B2106" s="33" t="s">
        <v>7900</v>
      </c>
      <c r="C2106" s="33" t="s">
        <v>3549</v>
      </c>
      <c r="D2106" s="33" t="s">
        <v>10</v>
      </c>
      <c r="E2106" s="33" t="s">
        <v>6609</v>
      </c>
      <c r="G2106" s="33" t="s">
        <v>4068</v>
      </c>
      <c r="H2106" s="33" t="s">
        <v>3562</v>
      </c>
      <c r="I2106" s="33" t="s">
        <v>3562</v>
      </c>
      <c r="J2106" s="33" t="s">
        <v>7901</v>
      </c>
      <c r="K2106" s="33" t="s">
        <v>6611</v>
      </c>
      <c r="L2106" s="33" t="s">
        <v>3562</v>
      </c>
      <c r="M2106" s="33" t="str">
        <f>_xlfn.XLOOKUP(Tabela14[[#This Row],[Responsável]],Organograma!H:H,Organograma!G:G,"")</f>
        <v>ENG - Núcleo de Engenharia Clínica</v>
      </c>
      <c r="Q2106" s="33" t="s">
        <v>7095</v>
      </c>
    </row>
    <row r="2107" spans="1:17" hidden="1">
      <c r="A2107" s="33" t="s">
        <v>7902</v>
      </c>
      <c r="B2107" s="33" t="s">
        <v>7903</v>
      </c>
      <c r="C2107" s="33" t="s">
        <v>3549</v>
      </c>
      <c r="D2107" s="33" t="s">
        <v>21</v>
      </c>
      <c r="E2107" s="33" t="s">
        <v>6600</v>
      </c>
      <c r="G2107" s="33" t="s">
        <v>4068</v>
      </c>
      <c r="H2107" s="33" t="s">
        <v>3562</v>
      </c>
      <c r="I2107" s="33" t="s">
        <v>3562</v>
      </c>
      <c r="J2107" s="33" t="s">
        <v>7904</v>
      </c>
      <c r="K2107" s="33" t="s">
        <v>6602</v>
      </c>
      <c r="L2107" s="33" t="s">
        <v>3633</v>
      </c>
      <c r="M2107" s="33" t="str">
        <f>_xlfn.XLOOKUP(Tabela14[[#This Row],[Responsável]],Organograma!H:H,Organograma!G:G,"")</f>
        <v>DAF - Diretoria Administrativa/Financeira</v>
      </c>
      <c r="Q2107" s="33" t="s">
        <v>7095</v>
      </c>
    </row>
    <row r="2108" spans="1:17" hidden="1">
      <c r="A2108" s="33" t="s">
        <v>7905</v>
      </c>
      <c r="B2108" s="33" t="s">
        <v>7906</v>
      </c>
      <c r="C2108" s="33" t="s">
        <v>3549</v>
      </c>
      <c r="D2108" s="33" t="s">
        <v>10</v>
      </c>
      <c r="E2108" s="33" t="s">
        <v>6609</v>
      </c>
      <c r="G2108" s="33" t="s">
        <v>4068</v>
      </c>
      <c r="H2108" s="33" t="s">
        <v>3562</v>
      </c>
      <c r="I2108" s="33" t="s">
        <v>3562</v>
      </c>
      <c r="J2108" s="33" t="s">
        <v>7907</v>
      </c>
      <c r="K2108" s="33" t="s">
        <v>6611</v>
      </c>
      <c r="L2108" s="33" t="s">
        <v>3562</v>
      </c>
      <c r="M2108" s="33" t="str">
        <f>_xlfn.XLOOKUP(Tabela14[[#This Row],[Responsável]],Organograma!H:H,Organograma!G:G,"")</f>
        <v>ENG - Núcleo de Engenharia Clínica</v>
      </c>
      <c r="Q2108" s="33" t="s">
        <v>7095</v>
      </c>
    </row>
    <row r="2109" spans="1:17" hidden="1">
      <c r="A2109" s="33" t="s">
        <v>7908</v>
      </c>
      <c r="B2109" s="33" t="s">
        <v>7909</v>
      </c>
      <c r="C2109" s="33" t="s">
        <v>3549</v>
      </c>
      <c r="D2109" s="33" t="s">
        <v>64</v>
      </c>
      <c r="E2109" s="33" t="s">
        <v>6600</v>
      </c>
      <c r="G2109" s="33" t="s">
        <v>4068</v>
      </c>
      <c r="H2109" s="33" t="s">
        <v>3562</v>
      </c>
      <c r="I2109" s="33" t="s">
        <v>3562</v>
      </c>
      <c r="J2109" s="33" t="s">
        <v>7910</v>
      </c>
      <c r="K2109" s="33" t="s">
        <v>6602</v>
      </c>
      <c r="L2109" s="33" t="s">
        <v>3696</v>
      </c>
      <c r="M2109" s="33" t="str">
        <f>_xlfn.XLOOKUP(Tabela14[[#This Row],[Responsável]],Organograma!H:H,Organograma!G:G,"")</f>
        <v>PAM - Pronto Atendimento Materno</v>
      </c>
      <c r="Q2109" s="33" t="s">
        <v>7095</v>
      </c>
    </row>
    <row r="2110" spans="1:17" hidden="1">
      <c r="A2110" s="33" t="s">
        <v>7911</v>
      </c>
      <c r="B2110" s="33" t="s">
        <v>7912</v>
      </c>
      <c r="C2110" s="33" t="s">
        <v>3549</v>
      </c>
      <c r="D2110" s="33" t="s">
        <v>64</v>
      </c>
      <c r="E2110" s="33" t="s">
        <v>6600</v>
      </c>
      <c r="G2110" s="33" t="s">
        <v>4068</v>
      </c>
      <c r="H2110" s="33" t="s">
        <v>3562</v>
      </c>
      <c r="I2110" s="33" t="s">
        <v>3562</v>
      </c>
      <c r="J2110" s="33" t="s">
        <v>7913</v>
      </c>
      <c r="K2110" s="33" t="s">
        <v>6602</v>
      </c>
      <c r="L2110" s="33" t="s">
        <v>3696</v>
      </c>
      <c r="M2110" s="33" t="str">
        <f>_xlfn.XLOOKUP(Tabela14[[#This Row],[Responsável]],Organograma!H:H,Organograma!G:G,"")</f>
        <v>PAM - Pronto Atendimento Materno</v>
      </c>
      <c r="Q2110" s="33" t="s">
        <v>7095</v>
      </c>
    </row>
    <row r="2111" spans="1:17">
      <c r="A2111" s="33" t="s">
        <v>7914</v>
      </c>
      <c r="B2111" s="33" t="s">
        <v>7915</v>
      </c>
      <c r="C2111" s="33" t="s">
        <v>3549</v>
      </c>
      <c r="D2111" s="33" t="s">
        <v>4068</v>
      </c>
      <c r="E2111" s="33" t="s">
        <v>3976</v>
      </c>
      <c r="G2111" s="33" t="s">
        <v>4068</v>
      </c>
      <c r="H2111" s="33" t="s">
        <v>3562</v>
      </c>
      <c r="I2111" s="33" t="s">
        <v>3562</v>
      </c>
      <c r="J2111" s="33" t="s">
        <v>7916</v>
      </c>
      <c r="K2111" s="33" t="s">
        <v>6898</v>
      </c>
      <c r="L2111" s="33" t="s">
        <v>4039</v>
      </c>
      <c r="M2111" s="33" t="str">
        <f>_xlfn.XLOOKUP(Tabela14[[#This Row],[Responsável]],Organograma!H:H,Organograma!G:G,"")</f>
        <v/>
      </c>
      <c r="Q2111" s="33" t="s">
        <v>7095</v>
      </c>
    </row>
    <row r="2112" spans="1:17" hidden="1">
      <c r="A2112" s="33" t="s">
        <v>7917</v>
      </c>
      <c r="B2112" s="33" t="s">
        <v>7918</v>
      </c>
      <c r="C2112" s="33" t="s">
        <v>3549</v>
      </c>
      <c r="D2112" s="33" t="s">
        <v>67</v>
      </c>
      <c r="E2112" s="33" t="s">
        <v>6600</v>
      </c>
      <c r="G2112" s="33" t="s">
        <v>4068</v>
      </c>
      <c r="H2112" s="33" t="s">
        <v>3562</v>
      </c>
      <c r="I2112" s="33" t="s">
        <v>3562</v>
      </c>
      <c r="J2112" s="33" t="s">
        <v>7919</v>
      </c>
      <c r="K2112" s="33" t="s">
        <v>6602</v>
      </c>
      <c r="L2112" s="33" t="s">
        <v>3597</v>
      </c>
      <c r="M2112" s="33" t="str">
        <f>_xlfn.XLOOKUP(Tabela14[[#This Row],[Responsável]],Organograma!H:H,Organograma!G:G,"")</f>
        <v>CC - Centro Cirúrgico</v>
      </c>
      <c r="Q2112" s="33" t="s">
        <v>7095</v>
      </c>
    </row>
    <row r="2113" spans="1:17" hidden="1">
      <c r="A2113" s="33" t="s">
        <v>7920</v>
      </c>
      <c r="B2113" s="33" t="s">
        <v>7921</v>
      </c>
      <c r="C2113" s="33" t="s">
        <v>3549</v>
      </c>
      <c r="D2113" s="33" t="s">
        <v>67</v>
      </c>
      <c r="E2113" s="33" t="s">
        <v>6600</v>
      </c>
      <c r="G2113" s="33" t="s">
        <v>4068</v>
      </c>
      <c r="H2113" s="33" t="s">
        <v>3562</v>
      </c>
      <c r="I2113" s="33" t="s">
        <v>3562</v>
      </c>
      <c r="J2113" s="33" t="s">
        <v>7922</v>
      </c>
      <c r="K2113" s="33" t="s">
        <v>6602</v>
      </c>
      <c r="L2113" s="33" t="s">
        <v>3597</v>
      </c>
      <c r="M2113" s="33" t="str">
        <f>_xlfn.XLOOKUP(Tabela14[[#This Row],[Responsável]],Organograma!H:H,Organograma!G:G,"")</f>
        <v>CC - Centro Cirúrgico</v>
      </c>
      <c r="Q2113" s="33" t="s">
        <v>7095</v>
      </c>
    </row>
    <row r="2114" spans="1:17" hidden="1">
      <c r="A2114" s="33" t="s">
        <v>7923</v>
      </c>
      <c r="B2114" s="33" t="s">
        <v>7924</v>
      </c>
      <c r="C2114" s="33" t="s">
        <v>3549</v>
      </c>
      <c r="D2114" s="33" t="s">
        <v>67</v>
      </c>
      <c r="E2114" s="33" t="s">
        <v>6600</v>
      </c>
      <c r="G2114" s="33" t="s">
        <v>4068</v>
      </c>
      <c r="H2114" s="33" t="s">
        <v>3562</v>
      </c>
      <c r="I2114" s="33" t="s">
        <v>3562</v>
      </c>
      <c r="J2114" s="33" t="s">
        <v>7925</v>
      </c>
      <c r="K2114" s="33" t="s">
        <v>6602</v>
      </c>
      <c r="L2114" s="33" t="s">
        <v>2647</v>
      </c>
      <c r="M2114" s="33" t="str">
        <f>_xlfn.XLOOKUP(Tabela14[[#This Row],[Responsável]],Organograma!H:H,Organograma!G:G,"")</f>
        <v>CC - Centro Cirúrgico</v>
      </c>
      <c r="Q2114" s="33" t="s">
        <v>7095</v>
      </c>
    </row>
    <row r="2115" spans="1:17" hidden="1">
      <c r="A2115" s="33" t="s">
        <v>7926</v>
      </c>
      <c r="B2115" s="33" t="s">
        <v>7927</v>
      </c>
      <c r="C2115" s="33" t="s">
        <v>3549</v>
      </c>
      <c r="D2115" s="33" t="s">
        <v>67</v>
      </c>
      <c r="E2115" s="33" t="s">
        <v>6600</v>
      </c>
      <c r="G2115" s="33" t="s">
        <v>4068</v>
      </c>
      <c r="H2115" s="33" t="s">
        <v>3562</v>
      </c>
      <c r="I2115" s="33" t="s">
        <v>3562</v>
      </c>
      <c r="J2115" s="33" t="s">
        <v>7928</v>
      </c>
      <c r="K2115" s="33" t="s">
        <v>6602</v>
      </c>
      <c r="L2115" s="33" t="s">
        <v>2647</v>
      </c>
      <c r="M2115" s="33" t="str">
        <f>_xlfn.XLOOKUP(Tabela14[[#This Row],[Responsável]],Organograma!H:H,Organograma!G:G,"")</f>
        <v>CC - Centro Cirúrgico</v>
      </c>
      <c r="Q2115" s="33" t="s">
        <v>7095</v>
      </c>
    </row>
    <row r="2116" spans="1:17">
      <c r="A2116" s="33" t="s">
        <v>7929</v>
      </c>
      <c r="B2116" s="33" t="s">
        <v>7930</v>
      </c>
      <c r="C2116" s="33" t="s">
        <v>3549</v>
      </c>
      <c r="D2116" s="33" t="s">
        <v>4068</v>
      </c>
      <c r="E2116" s="33" t="s">
        <v>3976</v>
      </c>
      <c r="G2116" s="33" t="s">
        <v>4068</v>
      </c>
      <c r="H2116" s="33" t="s">
        <v>3562</v>
      </c>
      <c r="I2116" s="33" t="s">
        <v>3562</v>
      </c>
      <c r="J2116" s="33" t="s">
        <v>7931</v>
      </c>
      <c r="K2116" s="33" t="s">
        <v>6898</v>
      </c>
      <c r="L2116" s="33" t="s">
        <v>3696</v>
      </c>
      <c r="M2116" s="33" t="str">
        <f>_xlfn.XLOOKUP(Tabela14[[#This Row],[Responsável]],Organograma!H:H,Organograma!G:G,"")</f>
        <v/>
      </c>
      <c r="Q2116" s="33" t="s">
        <v>7095</v>
      </c>
    </row>
    <row r="2117" spans="1:17">
      <c r="A2117" s="33" t="s">
        <v>7932</v>
      </c>
      <c r="B2117" s="33" t="s">
        <v>7933</v>
      </c>
      <c r="C2117" s="33" t="s">
        <v>3549</v>
      </c>
      <c r="D2117" s="33" t="s">
        <v>4068</v>
      </c>
      <c r="E2117" s="33" t="s">
        <v>3976</v>
      </c>
      <c r="G2117" s="33" t="s">
        <v>4068</v>
      </c>
      <c r="H2117" s="33" t="s">
        <v>3562</v>
      </c>
      <c r="I2117" s="33" t="s">
        <v>3562</v>
      </c>
      <c r="J2117" s="33" t="s">
        <v>7934</v>
      </c>
      <c r="K2117" s="33" t="s">
        <v>1791</v>
      </c>
      <c r="L2117" s="33" t="s">
        <v>1206</v>
      </c>
      <c r="M2117" s="33" t="str">
        <f>_xlfn.XLOOKUP(Tabela14[[#This Row],[Responsável]],Organograma!H:H,Organograma!G:G,"")</f>
        <v/>
      </c>
      <c r="Q2117" s="33" t="s">
        <v>7095</v>
      </c>
    </row>
    <row r="2118" spans="1:17">
      <c r="A2118" s="33" t="s">
        <v>7935</v>
      </c>
      <c r="B2118" s="33" t="s">
        <v>7936</v>
      </c>
      <c r="C2118" s="33" t="s">
        <v>3549</v>
      </c>
      <c r="D2118" s="33" t="s">
        <v>4068</v>
      </c>
      <c r="E2118" s="33" t="s">
        <v>3976</v>
      </c>
      <c r="G2118" s="33" t="s">
        <v>4068</v>
      </c>
      <c r="H2118" s="33" t="s">
        <v>3562</v>
      </c>
      <c r="I2118" s="33" t="s">
        <v>3562</v>
      </c>
      <c r="J2118" s="33" t="s">
        <v>7937</v>
      </c>
      <c r="K2118" s="33" t="s">
        <v>6898</v>
      </c>
      <c r="L2118" s="33" t="s">
        <v>3696</v>
      </c>
      <c r="M2118" s="33" t="str">
        <f>_xlfn.XLOOKUP(Tabela14[[#This Row],[Responsável]],Organograma!H:H,Organograma!G:G,"")</f>
        <v/>
      </c>
      <c r="Q2118" s="33" t="s">
        <v>7095</v>
      </c>
    </row>
    <row r="2119" spans="1:17" hidden="1">
      <c r="A2119" s="33" t="s">
        <v>7938</v>
      </c>
      <c r="B2119" s="33" t="s">
        <v>7939</v>
      </c>
      <c r="C2119" s="33" t="s">
        <v>3549</v>
      </c>
      <c r="D2119" s="33" t="s">
        <v>79</v>
      </c>
      <c r="E2119" s="33" t="s">
        <v>6609</v>
      </c>
      <c r="G2119" s="33" t="s">
        <v>4068</v>
      </c>
      <c r="H2119" s="33" t="s">
        <v>3562</v>
      </c>
      <c r="I2119" s="33" t="s">
        <v>3562</v>
      </c>
      <c r="J2119" s="33" t="s">
        <v>7940</v>
      </c>
      <c r="K2119" s="33" t="s">
        <v>6611</v>
      </c>
      <c r="L2119" s="33" t="s">
        <v>3562</v>
      </c>
      <c r="M2119" s="33" t="str">
        <f>_xlfn.XLOOKUP(Tabela14[[#This Row],[Responsável]],Organograma!H:H,Organograma!G:G,"")</f>
        <v>PED - Unidade de Internação Pediátrica</v>
      </c>
      <c r="Q2119" s="33" t="s">
        <v>7095</v>
      </c>
    </row>
    <row r="2120" spans="1:17">
      <c r="A2120" s="33" t="s">
        <v>7941</v>
      </c>
      <c r="B2120" s="33" t="s">
        <v>7942</v>
      </c>
      <c r="C2120" s="33" t="s">
        <v>3549</v>
      </c>
      <c r="D2120" s="33" t="s">
        <v>4068</v>
      </c>
      <c r="E2120" s="33" t="s">
        <v>935</v>
      </c>
      <c r="G2120" s="33" t="s">
        <v>4068</v>
      </c>
      <c r="H2120" s="33" t="s">
        <v>3562</v>
      </c>
      <c r="I2120" s="33" t="s">
        <v>3562</v>
      </c>
      <c r="J2120" s="33" t="s">
        <v>7943</v>
      </c>
      <c r="K2120" s="33" t="s">
        <v>6898</v>
      </c>
      <c r="L2120" s="33" t="s">
        <v>3562</v>
      </c>
      <c r="M2120" s="33" t="str">
        <f>_xlfn.XLOOKUP(Tabela14[[#This Row],[Responsável]],Organograma!H:H,Organograma!G:G,"")</f>
        <v/>
      </c>
      <c r="Q2120" s="33" t="s">
        <v>7095</v>
      </c>
    </row>
    <row r="2121" spans="1:17">
      <c r="A2121" s="33" t="s">
        <v>7944</v>
      </c>
      <c r="B2121" s="33" t="s">
        <v>7945</v>
      </c>
      <c r="C2121" s="33" t="s">
        <v>3549</v>
      </c>
      <c r="D2121" s="33" t="s">
        <v>4068</v>
      </c>
      <c r="E2121" s="33" t="s">
        <v>935</v>
      </c>
      <c r="G2121" s="33" t="s">
        <v>4068</v>
      </c>
      <c r="H2121" s="33" t="s">
        <v>3562</v>
      </c>
      <c r="I2121" s="33" t="s">
        <v>3562</v>
      </c>
      <c r="J2121" s="33" t="s">
        <v>7946</v>
      </c>
      <c r="K2121" s="33" t="s">
        <v>6898</v>
      </c>
      <c r="L2121" s="33" t="s">
        <v>3820</v>
      </c>
      <c r="M2121" s="33" t="str">
        <f>_xlfn.XLOOKUP(Tabela14[[#This Row],[Responsável]],Organograma!H:H,Organograma!G:G,"")</f>
        <v/>
      </c>
      <c r="Q2121" s="33" t="s">
        <v>7095</v>
      </c>
    </row>
    <row r="2122" spans="1:17">
      <c r="A2122" s="33" t="s">
        <v>7947</v>
      </c>
      <c r="B2122" s="33" t="s">
        <v>7948</v>
      </c>
      <c r="C2122" s="33" t="s">
        <v>3549</v>
      </c>
      <c r="D2122" s="33" t="s">
        <v>4068</v>
      </c>
      <c r="E2122" s="33" t="s">
        <v>935</v>
      </c>
      <c r="G2122" s="33" t="s">
        <v>4068</v>
      </c>
      <c r="H2122" s="33" t="s">
        <v>3562</v>
      </c>
      <c r="I2122" s="33" t="s">
        <v>3562</v>
      </c>
      <c r="J2122" s="33" t="s">
        <v>7949</v>
      </c>
      <c r="K2122" s="33" t="s">
        <v>6898</v>
      </c>
      <c r="L2122" s="33" t="s">
        <v>3562</v>
      </c>
      <c r="M2122" s="33" t="str">
        <f>_xlfn.XLOOKUP(Tabela14[[#This Row],[Responsável]],Organograma!H:H,Organograma!G:G,"")</f>
        <v/>
      </c>
      <c r="Q2122" s="33" t="s">
        <v>7095</v>
      </c>
    </row>
    <row r="2123" spans="1:17" hidden="1">
      <c r="A2123" s="33" t="s">
        <v>5492</v>
      </c>
      <c r="B2123" s="33" t="s">
        <v>7950</v>
      </c>
      <c r="C2123" s="33" t="s">
        <v>1831</v>
      </c>
      <c r="D2123" s="33" t="s">
        <v>4068</v>
      </c>
      <c r="E2123" s="33" t="s">
        <v>1808</v>
      </c>
      <c r="G2123" s="33" t="s">
        <v>3608</v>
      </c>
      <c r="H2123" s="33" t="s">
        <v>3597</v>
      </c>
      <c r="I2123" s="33" t="s">
        <v>3597</v>
      </c>
      <c r="J2123" s="33" t="s">
        <v>5494</v>
      </c>
      <c r="K2123" s="33" t="s">
        <v>1791</v>
      </c>
      <c r="L2123" s="33" t="s">
        <v>3597</v>
      </c>
      <c r="M2123" s="33" t="str">
        <f>_xlfn.XLOOKUP(Tabela14[[#This Row],[Responsável]],Organograma!H:H,Organograma!G:G,"")</f>
        <v/>
      </c>
      <c r="Q2123" s="33" t="s">
        <v>7095</v>
      </c>
    </row>
    <row r="2124" spans="1:17" hidden="1">
      <c r="A2124" s="33" t="s">
        <v>7951</v>
      </c>
      <c r="B2124" s="33" t="s">
        <v>7952</v>
      </c>
      <c r="C2124" s="33" t="s">
        <v>2147</v>
      </c>
      <c r="D2124" s="33" t="s">
        <v>4068</v>
      </c>
      <c r="E2124" s="33" t="s">
        <v>1836</v>
      </c>
      <c r="G2124" s="33" t="s">
        <v>4744</v>
      </c>
      <c r="H2124" s="33" t="s">
        <v>3672</v>
      </c>
      <c r="I2124" s="33" t="s">
        <v>3672</v>
      </c>
      <c r="J2124" s="33" t="s">
        <v>7953</v>
      </c>
      <c r="K2124" s="33" t="s">
        <v>6898</v>
      </c>
      <c r="L2124" s="33" t="s">
        <v>1206</v>
      </c>
      <c r="M2124" s="33" t="str">
        <f>_xlfn.XLOOKUP(Tabela14[[#This Row],[Responsável]],Organograma!H:H,Organograma!G:G,"")</f>
        <v/>
      </c>
      <c r="Q2124" s="33" t="s">
        <v>7095</v>
      </c>
    </row>
    <row r="2125" spans="1:17" hidden="1">
      <c r="A2125" s="33" t="s">
        <v>7954</v>
      </c>
      <c r="B2125" s="33" t="s">
        <v>7955</v>
      </c>
      <c r="C2125" s="33" t="s">
        <v>1785</v>
      </c>
      <c r="D2125" s="33" t="s">
        <v>4068</v>
      </c>
      <c r="E2125" s="33" t="s">
        <v>1836</v>
      </c>
      <c r="G2125" s="33" t="s">
        <v>3862</v>
      </c>
      <c r="H2125" s="33" t="s">
        <v>2647</v>
      </c>
      <c r="I2125" s="33" t="s">
        <v>2647</v>
      </c>
      <c r="J2125" s="33" t="s">
        <v>7956</v>
      </c>
      <c r="K2125" s="33" t="s">
        <v>6898</v>
      </c>
      <c r="L2125" s="33" t="s">
        <v>1206</v>
      </c>
      <c r="M2125" s="33" t="str">
        <f>_xlfn.XLOOKUP(Tabela14[[#This Row],[Responsável]],Organograma!H:H,Organograma!G:G,"")</f>
        <v/>
      </c>
      <c r="Q2125" s="33" t="s">
        <v>7095</v>
      </c>
    </row>
    <row r="2126" spans="1:17" hidden="1">
      <c r="A2126" s="33" t="s">
        <v>7957</v>
      </c>
      <c r="B2126" s="33" t="s">
        <v>7958</v>
      </c>
      <c r="C2126" s="33" t="s">
        <v>1785</v>
      </c>
      <c r="D2126" s="33" t="s">
        <v>4068</v>
      </c>
      <c r="E2126" s="33" t="s">
        <v>1836</v>
      </c>
      <c r="G2126" s="33" t="s">
        <v>3862</v>
      </c>
      <c r="H2126" s="33" t="s">
        <v>2647</v>
      </c>
      <c r="I2126" s="33" t="s">
        <v>2647</v>
      </c>
      <c r="J2126" s="33" t="s">
        <v>7959</v>
      </c>
      <c r="K2126" s="33" t="s">
        <v>6898</v>
      </c>
      <c r="L2126" s="33" t="s">
        <v>1206</v>
      </c>
      <c r="M2126" s="33" t="str">
        <f>_xlfn.XLOOKUP(Tabela14[[#This Row],[Responsável]],Organograma!H:H,Organograma!G:G,"")</f>
        <v/>
      </c>
      <c r="Q2126" s="33" t="s">
        <v>7095</v>
      </c>
    </row>
    <row r="2127" spans="1:17" hidden="1">
      <c r="A2127" s="33" t="s">
        <v>2093</v>
      </c>
      <c r="B2127" s="33" t="s">
        <v>7960</v>
      </c>
      <c r="C2127" s="33" t="s">
        <v>1831</v>
      </c>
      <c r="D2127" s="33" t="s">
        <v>7804</v>
      </c>
      <c r="E2127" s="33" t="s">
        <v>1836</v>
      </c>
      <c r="G2127" s="33" t="s">
        <v>3608</v>
      </c>
      <c r="H2127" s="33" t="s">
        <v>5753</v>
      </c>
      <c r="I2127" s="33" t="s">
        <v>5753</v>
      </c>
      <c r="J2127" s="33" t="s">
        <v>7961</v>
      </c>
      <c r="K2127" s="33" t="s">
        <v>6898</v>
      </c>
      <c r="L2127" s="33" t="s">
        <v>1206</v>
      </c>
      <c r="M2127" s="33" t="str">
        <f>_xlfn.XLOOKUP(Tabela14[[#This Row],[Responsável]],Organograma!H:H,Organograma!G:G,"")</f>
        <v/>
      </c>
      <c r="Q2127" s="33" t="s">
        <v>7095</v>
      </c>
    </row>
    <row r="2128" spans="1:17" hidden="1">
      <c r="A2128" s="33" t="s">
        <v>1951</v>
      </c>
      <c r="B2128" s="33" t="s">
        <v>7962</v>
      </c>
      <c r="C2128" s="33" t="s">
        <v>1831</v>
      </c>
      <c r="D2128" s="33" t="s">
        <v>7804</v>
      </c>
      <c r="E2128" s="33" t="s">
        <v>1836</v>
      </c>
      <c r="G2128" s="33" t="s">
        <v>3608</v>
      </c>
      <c r="H2128" s="33" t="s">
        <v>5753</v>
      </c>
      <c r="I2128" s="33" t="s">
        <v>5753</v>
      </c>
      <c r="J2128" s="33" t="s">
        <v>7963</v>
      </c>
      <c r="K2128" s="33" t="s">
        <v>6898</v>
      </c>
      <c r="L2128" s="33" t="s">
        <v>1206</v>
      </c>
      <c r="M2128" s="33" t="str">
        <f>_xlfn.XLOOKUP(Tabela14[[#This Row],[Responsável]],Organograma!H:H,Organograma!G:G,"")</f>
        <v/>
      </c>
      <c r="Q2128" s="33" t="s">
        <v>7095</v>
      </c>
    </row>
    <row r="2129" spans="1:17" hidden="1">
      <c r="A2129" s="33" t="s">
        <v>3606</v>
      </c>
      <c r="B2129" s="33" t="s">
        <v>7964</v>
      </c>
      <c r="C2129" s="33" t="s">
        <v>1831</v>
      </c>
      <c r="D2129" s="33" t="s">
        <v>4068</v>
      </c>
      <c r="E2129" s="33" t="s">
        <v>1836</v>
      </c>
      <c r="G2129" s="33" t="s">
        <v>3608</v>
      </c>
      <c r="H2129" s="33" t="s">
        <v>7965</v>
      </c>
      <c r="I2129" s="33" t="s">
        <v>7965</v>
      </c>
      <c r="J2129" s="33" t="s">
        <v>7966</v>
      </c>
      <c r="K2129" s="33" t="s">
        <v>6898</v>
      </c>
      <c r="L2129" s="33" t="s">
        <v>1206</v>
      </c>
      <c r="M2129" s="33" t="str">
        <f>_xlfn.XLOOKUP(Tabela14[[#This Row],[Responsável]],Organograma!H:H,Organograma!G:G,"")</f>
        <v/>
      </c>
      <c r="Q2129" s="33" t="s">
        <v>7095</v>
      </c>
    </row>
    <row r="2130" spans="1:17" hidden="1">
      <c r="A2130" s="33" t="s">
        <v>7081</v>
      </c>
      <c r="B2130" s="33" t="s">
        <v>7967</v>
      </c>
      <c r="C2130" s="33" t="s">
        <v>1831</v>
      </c>
      <c r="D2130" s="33" t="s">
        <v>4068</v>
      </c>
      <c r="E2130" s="33" t="s">
        <v>1808</v>
      </c>
      <c r="G2130" s="33" t="s">
        <v>7083</v>
      </c>
      <c r="H2130" s="33" t="s">
        <v>945</v>
      </c>
      <c r="I2130" s="33" t="s">
        <v>945</v>
      </c>
      <c r="J2130" s="33" t="s">
        <v>7084</v>
      </c>
      <c r="K2130" s="33" t="s">
        <v>1791</v>
      </c>
      <c r="L2130" s="33" t="s">
        <v>945</v>
      </c>
      <c r="M2130" s="33" t="str">
        <f>_xlfn.XLOOKUP(Tabela14[[#This Row],[Responsável]],Organograma!H:H,Organograma!G:G,"")</f>
        <v/>
      </c>
      <c r="Q2130" s="33" t="s">
        <v>7095</v>
      </c>
    </row>
    <row r="2131" spans="1:17" hidden="1">
      <c r="A2131" s="33" t="s">
        <v>7968</v>
      </c>
      <c r="B2131" s="33" t="s">
        <v>7969</v>
      </c>
      <c r="C2131" s="33" t="s">
        <v>3549</v>
      </c>
      <c r="D2131" s="33" t="s">
        <v>27</v>
      </c>
      <c r="E2131" s="33" t="s">
        <v>6609</v>
      </c>
      <c r="G2131" s="33" t="s">
        <v>4068</v>
      </c>
      <c r="H2131" s="33" t="s">
        <v>1152</v>
      </c>
      <c r="I2131" s="33" t="s">
        <v>1152</v>
      </c>
      <c r="J2131" s="33" t="s">
        <v>7970</v>
      </c>
      <c r="K2131" s="33" t="s">
        <v>6611</v>
      </c>
      <c r="L2131" s="33" t="s">
        <v>1152</v>
      </c>
      <c r="M2131" s="33" t="str">
        <f>_xlfn.XLOOKUP(Tabela14[[#This Row],[Responsável]],Organograma!H:H,Organograma!G:G,"")</f>
        <v>ALM - Almoxarifado</v>
      </c>
      <c r="Q2131" s="33" t="s">
        <v>7095</v>
      </c>
    </row>
    <row r="2132" spans="1:17" hidden="1">
      <c r="A2132" s="33" t="s">
        <v>7971</v>
      </c>
      <c r="B2132" s="33" t="s">
        <v>7972</v>
      </c>
      <c r="C2132" s="33" t="s">
        <v>3549</v>
      </c>
      <c r="D2132" s="33" t="s">
        <v>27</v>
      </c>
      <c r="E2132" s="33" t="s">
        <v>6609</v>
      </c>
      <c r="G2132" s="33" t="s">
        <v>4068</v>
      </c>
      <c r="H2132" s="33" t="s">
        <v>1152</v>
      </c>
      <c r="I2132" s="33" t="s">
        <v>1152</v>
      </c>
      <c r="J2132" s="33" t="s">
        <v>7973</v>
      </c>
      <c r="K2132" s="33" t="s">
        <v>6611</v>
      </c>
      <c r="L2132" s="33" t="s">
        <v>1152</v>
      </c>
      <c r="M2132" s="33" t="str">
        <f>_xlfn.XLOOKUP(Tabela14[[#This Row],[Responsável]],Organograma!H:H,Organograma!G:G,"")</f>
        <v>ALM - Almoxarifado</v>
      </c>
      <c r="Q2132" s="33" t="s">
        <v>7095</v>
      </c>
    </row>
    <row r="2133" spans="1:17" hidden="1">
      <c r="A2133" s="33" t="s">
        <v>7974</v>
      </c>
      <c r="B2133" s="33" t="s">
        <v>7975</v>
      </c>
      <c r="C2133" s="33" t="s">
        <v>3549</v>
      </c>
      <c r="D2133" s="33" t="s">
        <v>6819</v>
      </c>
      <c r="E2133" s="33" t="s">
        <v>6609</v>
      </c>
      <c r="G2133" s="33" t="s">
        <v>4068</v>
      </c>
      <c r="H2133" s="33" t="s">
        <v>1152</v>
      </c>
      <c r="I2133" s="33" t="s">
        <v>1152</v>
      </c>
      <c r="J2133" s="33" t="s">
        <v>7976</v>
      </c>
      <c r="K2133" s="33" t="s">
        <v>6611</v>
      </c>
      <c r="L2133" s="33" t="s">
        <v>1152</v>
      </c>
      <c r="M2133" s="33" t="str">
        <f>_xlfn.XLOOKUP(Tabela14[[#This Row],[Responsável]],Organograma!H:H,Organograma!G:G,"")</f>
        <v/>
      </c>
      <c r="Q2133" s="33" t="s">
        <v>7095</v>
      </c>
    </row>
    <row r="2134" spans="1:17" hidden="1">
      <c r="A2134" s="33" t="s">
        <v>7977</v>
      </c>
      <c r="B2134" s="33" t="s">
        <v>7978</v>
      </c>
      <c r="C2134" s="33" t="s">
        <v>3549</v>
      </c>
      <c r="D2134" s="33" t="s">
        <v>3323</v>
      </c>
      <c r="E2134" s="33" t="s">
        <v>6609</v>
      </c>
      <c r="G2134" s="33" t="s">
        <v>4068</v>
      </c>
      <c r="H2134" s="33" t="s">
        <v>1152</v>
      </c>
      <c r="I2134" s="33" t="s">
        <v>1152</v>
      </c>
      <c r="J2134" s="33" t="s">
        <v>7979</v>
      </c>
      <c r="K2134" s="33" t="s">
        <v>6611</v>
      </c>
      <c r="L2134" s="33" t="s">
        <v>1152</v>
      </c>
      <c r="M2134" s="33" t="str">
        <f>_xlfn.XLOOKUP(Tabela14[[#This Row],[Responsável]],Organograma!H:H,Organograma!G:G,"")</f>
        <v/>
      </c>
      <c r="Q2134" s="33" t="s">
        <v>7095</v>
      </c>
    </row>
    <row r="2135" spans="1:17" hidden="1">
      <c r="A2135" s="33" t="s">
        <v>7980</v>
      </c>
      <c r="B2135" s="33" t="s">
        <v>7981</v>
      </c>
      <c r="C2135" s="33" t="s">
        <v>3549</v>
      </c>
      <c r="D2135" s="33" t="s">
        <v>3323</v>
      </c>
      <c r="E2135" s="33" t="s">
        <v>6609</v>
      </c>
      <c r="G2135" s="33" t="s">
        <v>4068</v>
      </c>
      <c r="H2135" s="33" t="s">
        <v>1152</v>
      </c>
      <c r="I2135" s="33" t="s">
        <v>1152</v>
      </c>
      <c r="J2135" s="33" t="s">
        <v>7982</v>
      </c>
      <c r="K2135" s="33" t="s">
        <v>6611</v>
      </c>
      <c r="L2135" s="33" t="s">
        <v>1152</v>
      </c>
      <c r="M2135" s="33" t="str">
        <f>_xlfn.XLOOKUP(Tabela14[[#This Row],[Responsável]],Organograma!H:H,Organograma!G:G,"")</f>
        <v/>
      </c>
      <c r="Q2135" s="33" t="s">
        <v>7095</v>
      </c>
    </row>
    <row r="2136" spans="1:17" hidden="1">
      <c r="A2136" s="33" t="s">
        <v>7983</v>
      </c>
      <c r="B2136" s="33" t="s">
        <v>7984</v>
      </c>
      <c r="C2136" s="33" t="s">
        <v>3549</v>
      </c>
      <c r="D2136" s="33" t="s">
        <v>3323</v>
      </c>
      <c r="E2136" s="33" t="s">
        <v>6609</v>
      </c>
      <c r="G2136" s="33" t="s">
        <v>4068</v>
      </c>
      <c r="H2136" s="33" t="s">
        <v>1152</v>
      </c>
      <c r="I2136" s="33" t="s">
        <v>1152</v>
      </c>
      <c r="J2136" s="33" t="s">
        <v>7985</v>
      </c>
      <c r="K2136" s="33" t="s">
        <v>6611</v>
      </c>
      <c r="L2136" s="33" t="s">
        <v>1152</v>
      </c>
      <c r="M2136" s="33" t="str">
        <f>_xlfn.XLOOKUP(Tabela14[[#This Row],[Responsável]],Organograma!H:H,Organograma!G:G,"")</f>
        <v/>
      </c>
      <c r="Q2136" s="33" t="s">
        <v>7095</v>
      </c>
    </row>
    <row r="2137" spans="1:17" hidden="1">
      <c r="A2137" s="33" t="s">
        <v>7986</v>
      </c>
      <c r="B2137" s="33" t="s">
        <v>7987</v>
      </c>
      <c r="C2137" s="33" t="s">
        <v>3549</v>
      </c>
      <c r="D2137" s="33" t="s">
        <v>3323</v>
      </c>
      <c r="E2137" s="33" t="s">
        <v>6609</v>
      </c>
      <c r="G2137" s="33" t="s">
        <v>4068</v>
      </c>
      <c r="H2137" s="33" t="s">
        <v>1152</v>
      </c>
      <c r="I2137" s="33" t="s">
        <v>1152</v>
      </c>
      <c r="J2137" s="33" t="s">
        <v>7988</v>
      </c>
      <c r="K2137" s="33" t="s">
        <v>6611</v>
      </c>
      <c r="L2137" s="33" t="s">
        <v>1152</v>
      </c>
      <c r="M2137" s="33" t="str">
        <f>_xlfn.XLOOKUP(Tabela14[[#This Row],[Responsável]],Organograma!H:H,Organograma!G:G,"")</f>
        <v/>
      </c>
      <c r="Q2137" s="33" t="s">
        <v>7095</v>
      </c>
    </row>
    <row r="2138" spans="1:17" hidden="1">
      <c r="A2138" s="33" t="s">
        <v>7989</v>
      </c>
      <c r="B2138" s="33" t="s">
        <v>7990</v>
      </c>
      <c r="C2138" s="33" t="s">
        <v>3549</v>
      </c>
      <c r="D2138" s="33" t="s">
        <v>3323</v>
      </c>
      <c r="E2138" s="33" t="s">
        <v>6609</v>
      </c>
      <c r="G2138" s="33" t="s">
        <v>4068</v>
      </c>
      <c r="H2138" s="33" t="s">
        <v>1152</v>
      </c>
      <c r="I2138" s="33" t="s">
        <v>1152</v>
      </c>
      <c r="J2138" s="33" t="s">
        <v>7991</v>
      </c>
      <c r="K2138" s="33" t="s">
        <v>6611</v>
      </c>
      <c r="L2138" s="33" t="s">
        <v>1152</v>
      </c>
      <c r="M2138" s="33" t="str">
        <f>_xlfn.XLOOKUP(Tabela14[[#This Row],[Responsável]],Organograma!H:H,Organograma!G:G,"")</f>
        <v/>
      </c>
      <c r="Q2138" s="33" t="s">
        <v>7095</v>
      </c>
    </row>
    <row r="2139" spans="1:17" hidden="1">
      <c r="A2139" s="33" t="s">
        <v>7992</v>
      </c>
      <c r="B2139" s="33" t="s">
        <v>7993</v>
      </c>
      <c r="C2139" s="33" t="s">
        <v>3549</v>
      </c>
      <c r="D2139" s="33" t="s">
        <v>3323</v>
      </c>
      <c r="E2139" s="33" t="s">
        <v>6609</v>
      </c>
      <c r="G2139" s="33" t="s">
        <v>4068</v>
      </c>
      <c r="H2139" s="33" t="s">
        <v>1152</v>
      </c>
      <c r="I2139" s="33" t="s">
        <v>1152</v>
      </c>
      <c r="J2139" s="33" t="s">
        <v>7994</v>
      </c>
      <c r="K2139" s="33" t="s">
        <v>6611</v>
      </c>
      <c r="L2139" s="33" t="s">
        <v>1152</v>
      </c>
      <c r="M2139" s="33" t="str">
        <f>_xlfn.XLOOKUP(Tabela14[[#This Row],[Responsável]],Organograma!H:H,Organograma!G:G,"")</f>
        <v/>
      </c>
      <c r="Q2139" s="33" t="s">
        <v>7095</v>
      </c>
    </row>
    <row r="2140" spans="1:17" hidden="1">
      <c r="A2140" s="33" t="s">
        <v>7995</v>
      </c>
      <c r="B2140" s="33" t="s">
        <v>7996</v>
      </c>
      <c r="C2140" s="33" t="s">
        <v>3549</v>
      </c>
      <c r="D2140" s="33" t="s">
        <v>64</v>
      </c>
      <c r="E2140" s="33" t="s">
        <v>6600</v>
      </c>
      <c r="G2140" s="33" t="s">
        <v>4068</v>
      </c>
      <c r="H2140" s="33" t="s">
        <v>1152</v>
      </c>
      <c r="I2140" s="33" t="s">
        <v>1152</v>
      </c>
      <c r="J2140" s="33" t="s">
        <v>7997</v>
      </c>
      <c r="K2140" s="33" t="s">
        <v>6602</v>
      </c>
      <c r="L2140" s="33" t="s">
        <v>3696</v>
      </c>
      <c r="M2140" s="33" t="str">
        <f>_xlfn.XLOOKUP(Tabela14[[#This Row],[Responsável]],Organograma!H:H,Organograma!G:G,"")</f>
        <v>PAM - Pronto Atendimento Materno</v>
      </c>
      <c r="Q2140" s="33" t="s">
        <v>7095</v>
      </c>
    </row>
    <row r="2141" spans="1:17" hidden="1">
      <c r="A2141" s="33" t="s">
        <v>7998</v>
      </c>
      <c r="B2141" s="33" t="s">
        <v>7999</v>
      </c>
      <c r="C2141" s="33" t="s">
        <v>3549</v>
      </c>
      <c r="D2141" s="33" t="s">
        <v>65</v>
      </c>
      <c r="E2141" s="33" t="s">
        <v>6609</v>
      </c>
      <c r="G2141" s="33" t="s">
        <v>4068</v>
      </c>
      <c r="H2141" s="33" t="s">
        <v>1152</v>
      </c>
      <c r="I2141" s="33" t="s">
        <v>1152</v>
      </c>
      <c r="J2141" s="33" t="s">
        <v>8000</v>
      </c>
      <c r="K2141" s="33" t="s">
        <v>6611</v>
      </c>
      <c r="L2141" s="33" t="s">
        <v>1152</v>
      </c>
      <c r="M2141" s="33" t="str">
        <f>_xlfn.XLOOKUP(Tabela14[[#This Row],[Responsável]],Organograma!H:H,Organograma!G:G,"")</f>
        <v>CGO - Unidade de Internação Ginecobstétrica</v>
      </c>
      <c r="Q2141" s="33" t="s">
        <v>7095</v>
      </c>
    </row>
    <row r="2142" spans="1:17" hidden="1">
      <c r="A2142" s="33" t="s">
        <v>8001</v>
      </c>
      <c r="B2142" s="33" t="s">
        <v>8002</v>
      </c>
      <c r="C2142" s="33" t="s">
        <v>3549</v>
      </c>
      <c r="D2142" s="33" t="s">
        <v>64</v>
      </c>
      <c r="E2142" s="33" t="s">
        <v>6600</v>
      </c>
      <c r="G2142" s="33" t="s">
        <v>4068</v>
      </c>
      <c r="H2142" s="33" t="s">
        <v>1152</v>
      </c>
      <c r="I2142" s="33" t="s">
        <v>1152</v>
      </c>
      <c r="J2142" s="33" t="s">
        <v>8003</v>
      </c>
      <c r="K2142" s="33" t="s">
        <v>6602</v>
      </c>
      <c r="L2142" s="33" t="s">
        <v>3696</v>
      </c>
      <c r="M2142" s="33" t="str">
        <f>_xlfn.XLOOKUP(Tabela14[[#This Row],[Responsável]],Organograma!H:H,Organograma!G:G,"")</f>
        <v>PAM - Pronto Atendimento Materno</v>
      </c>
      <c r="Q2142" s="33" t="s">
        <v>7095</v>
      </c>
    </row>
    <row r="2143" spans="1:17" hidden="1">
      <c r="A2143" s="33" t="s">
        <v>8004</v>
      </c>
      <c r="B2143" s="33" t="s">
        <v>8005</v>
      </c>
      <c r="C2143" s="33" t="s">
        <v>3549</v>
      </c>
      <c r="D2143" s="33" t="s">
        <v>6840</v>
      </c>
      <c r="E2143" s="33" t="s">
        <v>6609</v>
      </c>
      <c r="G2143" s="33" t="s">
        <v>4068</v>
      </c>
      <c r="H2143" s="33" t="s">
        <v>1152</v>
      </c>
      <c r="I2143" s="33" t="s">
        <v>1152</v>
      </c>
      <c r="J2143" s="33" t="s">
        <v>8006</v>
      </c>
      <c r="K2143" s="33" t="s">
        <v>6611</v>
      </c>
      <c r="L2143" s="33" t="s">
        <v>1152</v>
      </c>
      <c r="M2143" s="33" t="str">
        <f>_xlfn.XLOOKUP(Tabela14[[#This Row],[Responsável]],Organograma!H:H,Organograma!G:G,"")</f>
        <v/>
      </c>
      <c r="Q2143" s="33" t="s">
        <v>7095</v>
      </c>
    </row>
    <row r="2144" spans="1:17" hidden="1">
      <c r="A2144" s="33" t="s">
        <v>8007</v>
      </c>
      <c r="B2144" s="33" t="s">
        <v>8008</v>
      </c>
      <c r="C2144" s="33" t="s">
        <v>3549</v>
      </c>
      <c r="D2144" s="33" t="s">
        <v>96</v>
      </c>
      <c r="E2144" s="33" t="s">
        <v>6609</v>
      </c>
      <c r="G2144" s="33" t="s">
        <v>4068</v>
      </c>
      <c r="H2144" s="33" t="s">
        <v>1152</v>
      </c>
      <c r="I2144" s="33" t="s">
        <v>1152</v>
      </c>
      <c r="J2144" s="33" t="s">
        <v>8009</v>
      </c>
      <c r="K2144" s="33" t="s">
        <v>6611</v>
      </c>
      <c r="L2144" s="33" t="s">
        <v>1152</v>
      </c>
      <c r="M2144" s="33" t="str">
        <f>_xlfn.XLOOKUP(Tabela14[[#This Row],[Responsável]],Organograma!H:H,Organograma!G:G,"")</f>
        <v>CME - Centro de Material e Esterilização</v>
      </c>
      <c r="Q2144" s="33" t="s">
        <v>7095</v>
      </c>
    </row>
    <row r="2145" spans="1:17" hidden="1">
      <c r="A2145" s="33" t="s">
        <v>8010</v>
      </c>
      <c r="B2145" s="33" t="s">
        <v>8011</v>
      </c>
      <c r="C2145" s="33" t="s">
        <v>3549</v>
      </c>
      <c r="D2145" s="33" t="s">
        <v>96</v>
      </c>
      <c r="E2145" s="33" t="s">
        <v>6609</v>
      </c>
      <c r="G2145" s="33" t="s">
        <v>4068</v>
      </c>
      <c r="H2145" s="33" t="s">
        <v>1152</v>
      </c>
      <c r="I2145" s="33" t="s">
        <v>1152</v>
      </c>
      <c r="J2145" s="33" t="s">
        <v>8012</v>
      </c>
      <c r="K2145" s="33" t="s">
        <v>6611</v>
      </c>
      <c r="L2145" s="33" t="s">
        <v>1152</v>
      </c>
      <c r="M2145" s="33" t="str">
        <f>_xlfn.XLOOKUP(Tabela14[[#This Row],[Responsável]],Organograma!H:H,Organograma!G:G,"")</f>
        <v>CME - Centro de Material e Esterilização</v>
      </c>
      <c r="Q2145" s="33" t="s">
        <v>7095</v>
      </c>
    </row>
    <row r="2146" spans="1:17" hidden="1">
      <c r="A2146" s="33" t="s">
        <v>8013</v>
      </c>
      <c r="B2146" s="33" t="s">
        <v>8014</v>
      </c>
      <c r="C2146" s="33" t="s">
        <v>3549</v>
      </c>
      <c r="D2146" s="33" t="s">
        <v>81</v>
      </c>
      <c r="E2146" s="33" t="s">
        <v>6609</v>
      </c>
      <c r="G2146" s="33" t="s">
        <v>4068</v>
      </c>
      <c r="H2146" s="33" t="s">
        <v>1152</v>
      </c>
      <c r="I2146" s="33" t="s">
        <v>1152</v>
      </c>
      <c r="J2146" s="33" t="s">
        <v>8015</v>
      </c>
      <c r="K2146" s="33" t="s">
        <v>6611</v>
      </c>
      <c r="L2146" s="33" t="s">
        <v>1152</v>
      </c>
      <c r="M2146" s="33" t="str">
        <f>_xlfn.XLOOKUP(Tabela14[[#This Row],[Responsável]],Organograma!H:H,Organograma!G:G,"")</f>
        <v>CPN - Centro de Parto Normal</v>
      </c>
      <c r="Q2146" s="33" t="s">
        <v>7095</v>
      </c>
    </row>
    <row r="2147" spans="1:17" hidden="1">
      <c r="A2147" s="33" t="s">
        <v>8016</v>
      </c>
      <c r="B2147" s="33" t="s">
        <v>8017</v>
      </c>
      <c r="C2147" s="33" t="s">
        <v>3549</v>
      </c>
      <c r="D2147" s="33" t="s">
        <v>6941</v>
      </c>
      <c r="E2147" s="33" t="s">
        <v>6609</v>
      </c>
      <c r="G2147" s="33" t="s">
        <v>4068</v>
      </c>
      <c r="H2147" s="33" t="s">
        <v>1152</v>
      </c>
      <c r="I2147" s="33" t="s">
        <v>1152</v>
      </c>
      <c r="J2147" s="33" t="s">
        <v>8018</v>
      </c>
      <c r="K2147" s="33" t="s">
        <v>6611</v>
      </c>
      <c r="L2147" s="33" t="s">
        <v>1152</v>
      </c>
      <c r="M2147" s="33" t="str">
        <f>_xlfn.XLOOKUP(Tabela14[[#This Row],[Responsável]],Organograma!H:H,Organograma!G:G,"")</f>
        <v/>
      </c>
      <c r="Q2147" s="33" t="s">
        <v>7095</v>
      </c>
    </row>
    <row r="2148" spans="1:17" hidden="1">
      <c r="A2148" s="33" t="s">
        <v>8019</v>
      </c>
      <c r="B2148" s="33" t="s">
        <v>8020</v>
      </c>
      <c r="C2148" s="33" t="s">
        <v>3549</v>
      </c>
      <c r="D2148" s="33" t="s">
        <v>57</v>
      </c>
      <c r="E2148" s="33" t="s">
        <v>6609</v>
      </c>
      <c r="G2148" s="33" t="s">
        <v>4068</v>
      </c>
      <c r="H2148" s="33" t="s">
        <v>1152</v>
      </c>
      <c r="I2148" s="33" t="s">
        <v>1152</v>
      </c>
      <c r="J2148" s="33" t="s">
        <v>8021</v>
      </c>
      <c r="K2148" s="33" t="s">
        <v>6611</v>
      </c>
      <c r="L2148" s="33" t="s">
        <v>1152</v>
      </c>
      <c r="M2148" s="33" t="str">
        <f>_xlfn.XLOOKUP(Tabela14[[#This Row],[Responsável]],Organograma!H:H,Organograma!G:G,"")</f>
        <v>AMB - Unidade Ambulatorial</v>
      </c>
      <c r="Q2148" s="33" t="s">
        <v>7095</v>
      </c>
    </row>
    <row r="2149" spans="1:17" hidden="1">
      <c r="A2149" s="33" t="s">
        <v>8022</v>
      </c>
      <c r="B2149" s="33" t="s">
        <v>8023</v>
      </c>
      <c r="C2149" s="33" t="s">
        <v>3549</v>
      </c>
      <c r="D2149" s="33" t="s">
        <v>7212</v>
      </c>
      <c r="E2149" s="33" t="s">
        <v>6609</v>
      </c>
      <c r="G2149" s="33" t="s">
        <v>4068</v>
      </c>
      <c r="H2149" s="33" t="s">
        <v>1152</v>
      </c>
      <c r="I2149" s="33" t="s">
        <v>1152</v>
      </c>
      <c r="J2149" s="33" t="s">
        <v>8024</v>
      </c>
      <c r="K2149" s="33" t="s">
        <v>6611</v>
      </c>
      <c r="L2149" s="33" t="s">
        <v>1152</v>
      </c>
      <c r="M2149" s="33" t="str">
        <f>_xlfn.XLOOKUP(Tabela14[[#This Row],[Responsável]],Organograma!H:H,Organograma!G:G,"")</f>
        <v/>
      </c>
      <c r="Q2149" s="33" t="s">
        <v>7095</v>
      </c>
    </row>
    <row r="2150" spans="1:17" hidden="1">
      <c r="A2150" s="33" t="s">
        <v>8025</v>
      </c>
      <c r="B2150" s="33" t="s">
        <v>8026</v>
      </c>
      <c r="C2150" s="33" t="s">
        <v>3549</v>
      </c>
      <c r="D2150" s="33" t="s">
        <v>3467</v>
      </c>
      <c r="E2150" s="33" t="s">
        <v>6609</v>
      </c>
      <c r="G2150" s="33" t="s">
        <v>4068</v>
      </c>
      <c r="H2150" s="33" t="s">
        <v>1152</v>
      </c>
      <c r="I2150" s="33" t="s">
        <v>1152</v>
      </c>
      <c r="J2150" s="33" t="s">
        <v>8027</v>
      </c>
      <c r="K2150" s="33" t="s">
        <v>6611</v>
      </c>
      <c r="L2150" s="33" t="s">
        <v>1152</v>
      </c>
      <c r="M2150" s="33" t="str">
        <f>_xlfn.XLOOKUP(Tabela14[[#This Row],[Responsável]],Organograma!H:H,Organograma!G:G,"")</f>
        <v/>
      </c>
      <c r="Q2150" s="33" t="s">
        <v>7095</v>
      </c>
    </row>
    <row r="2151" spans="1:17" hidden="1">
      <c r="A2151" s="33" t="s">
        <v>8028</v>
      </c>
      <c r="B2151" s="33" t="s">
        <v>8029</v>
      </c>
      <c r="C2151" s="33" t="s">
        <v>3549</v>
      </c>
      <c r="D2151" s="33" t="s">
        <v>3467</v>
      </c>
      <c r="E2151" s="33" t="s">
        <v>6609</v>
      </c>
      <c r="G2151" s="33" t="s">
        <v>4068</v>
      </c>
      <c r="H2151" s="33" t="s">
        <v>1152</v>
      </c>
      <c r="I2151" s="33" t="s">
        <v>1152</v>
      </c>
      <c r="J2151" s="33" t="s">
        <v>8030</v>
      </c>
      <c r="K2151" s="33" t="s">
        <v>6611</v>
      </c>
      <c r="L2151" s="33" t="s">
        <v>1152</v>
      </c>
      <c r="M2151" s="33" t="str">
        <f>_xlfn.XLOOKUP(Tabela14[[#This Row],[Responsável]],Organograma!H:H,Organograma!G:G,"")</f>
        <v/>
      </c>
      <c r="Q2151" s="33" t="s">
        <v>7095</v>
      </c>
    </row>
    <row r="2152" spans="1:17" hidden="1">
      <c r="A2152" s="33" t="s">
        <v>8031</v>
      </c>
      <c r="B2152" s="33" t="s">
        <v>8032</v>
      </c>
      <c r="C2152" s="33" t="s">
        <v>3549</v>
      </c>
      <c r="D2152" s="33" t="s">
        <v>41</v>
      </c>
      <c r="E2152" s="33" t="s">
        <v>6609</v>
      </c>
      <c r="G2152" s="33" t="s">
        <v>4068</v>
      </c>
      <c r="H2152" s="33" t="s">
        <v>1152</v>
      </c>
      <c r="I2152" s="33" t="s">
        <v>1152</v>
      </c>
      <c r="J2152" s="33" t="s">
        <v>8033</v>
      </c>
      <c r="K2152" s="33" t="s">
        <v>6611</v>
      </c>
      <c r="L2152" s="33" t="s">
        <v>1206</v>
      </c>
      <c r="M2152" s="33" t="str">
        <f>_xlfn.XLOOKUP(Tabela14[[#This Row],[Responsável]],Organograma!H:H,Organograma!G:G,"")</f>
        <v>APGQ - Assessoria de Planejamento e Gestão da Qualidade</v>
      </c>
      <c r="Q2152" s="33" t="s">
        <v>7095</v>
      </c>
    </row>
    <row r="2153" spans="1:17" hidden="1">
      <c r="A2153" s="33" t="s">
        <v>8034</v>
      </c>
      <c r="B2153" s="33" t="s">
        <v>8035</v>
      </c>
      <c r="C2153" s="33" t="s">
        <v>3549</v>
      </c>
      <c r="D2153" s="33" t="s">
        <v>71</v>
      </c>
      <c r="E2153" s="33" t="s">
        <v>6609</v>
      </c>
      <c r="G2153" s="33" t="s">
        <v>4068</v>
      </c>
      <c r="H2153" s="33" t="s">
        <v>1152</v>
      </c>
      <c r="I2153" s="33" t="s">
        <v>1152</v>
      </c>
      <c r="J2153" s="33" t="s">
        <v>8036</v>
      </c>
      <c r="K2153" s="33" t="s">
        <v>6611</v>
      </c>
      <c r="L2153" s="33" t="s">
        <v>1152</v>
      </c>
      <c r="M2153" s="33" t="str">
        <f>_xlfn.XLOOKUP(Tabela14[[#This Row],[Responsável]],Organograma!H:H,Organograma!G:G,"")</f>
        <v>BLH - Banco de Leite Humano</v>
      </c>
      <c r="Q2153" s="33" t="s">
        <v>7095</v>
      </c>
    </row>
    <row r="2154" spans="1:17" hidden="1">
      <c r="A2154" s="33" t="s">
        <v>8037</v>
      </c>
      <c r="B2154" s="33" t="s">
        <v>8038</v>
      </c>
      <c r="C2154" s="33" t="s">
        <v>3549</v>
      </c>
      <c r="D2154" s="33" t="s">
        <v>14</v>
      </c>
      <c r="E2154" s="33" t="s">
        <v>6609</v>
      </c>
      <c r="G2154" s="33" t="s">
        <v>4068</v>
      </c>
      <c r="H2154" s="33" t="s">
        <v>1152</v>
      </c>
      <c r="I2154" s="33" t="s">
        <v>1152</v>
      </c>
      <c r="J2154" s="33" t="s">
        <v>8039</v>
      </c>
      <c r="K2154" s="33" t="s">
        <v>6611</v>
      </c>
      <c r="L2154" s="33" t="s">
        <v>1152</v>
      </c>
      <c r="M2154" s="33" t="str">
        <f>_xlfn.XLOOKUP(Tabela14[[#This Row],[Responsável]],Organograma!H:H,Organograma!G:G,"")</f>
        <v>SUP - Suprimentos</v>
      </c>
      <c r="Q2154" s="33" t="s">
        <v>7095</v>
      </c>
    </row>
    <row r="2155" spans="1:17" hidden="1">
      <c r="A2155" s="33" t="s">
        <v>8040</v>
      </c>
      <c r="B2155" s="33" t="s">
        <v>8041</v>
      </c>
      <c r="C2155" s="33" t="s">
        <v>3549</v>
      </c>
      <c r="D2155" s="33" t="s">
        <v>81</v>
      </c>
      <c r="E2155" s="33" t="s">
        <v>6609</v>
      </c>
      <c r="G2155" s="33" t="s">
        <v>4068</v>
      </c>
      <c r="H2155" s="33" t="s">
        <v>1152</v>
      </c>
      <c r="I2155" s="33" t="s">
        <v>1152</v>
      </c>
      <c r="J2155" s="33" t="s">
        <v>8042</v>
      </c>
      <c r="K2155" s="33" t="s">
        <v>6611</v>
      </c>
      <c r="L2155" s="33" t="s">
        <v>1152</v>
      </c>
      <c r="M2155" s="33" t="str">
        <f>_xlfn.XLOOKUP(Tabela14[[#This Row],[Responsável]],Organograma!H:H,Organograma!G:G,"")</f>
        <v>CPN - Centro de Parto Normal</v>
      </c>
      <c r="Q2155" s="33" t="s">
        <v>7095</v>
      </c>
    </row>
    <row r="2156" spans="1:17" hidden="1">
      <c r="A2156" s="33" t="s">
        <v>8043</v>
      </c>
      <c r="B2156" s="33" t="s">
        <v>8044</v>
      </c>
      <c r="C2156" s="33" t="s">
        <v>3549</v>
      </c>
      <c r="D2156" s="33" t="s">
        <v>81</v>
      </c>
      <c r="E2156" s="33" t="s">
        <v>6609</v>
      </c>
      <c r="G2156" s="33" t="s">
        <v>4068</v>
      </c>
      <c r="H2156" s="33" t="s">
        <v>1152</v>
      </c>
      <c r="I2156" s="33" t="s">
        <v>1152</v>
      </c>
      <c r="J2156" s="33" t="s">
        <v>8045</v>
      </c>
      <c r="K2156" s="33" t="s">
        <v>6611</v>
      </c>
      <c r="L2156" s="33" t="s">
        <v>1152</v>
      </c>
      <c r="M2156" s="33" t="str">
        <f>_xlfn.XLOOKUP(Tabela14[[#This Row],[Responsável]],Organograma!H:H,Organograma!G:G,"")</f>
        <v>CPN - Centro de Parto Normal</v>
      </c>
      <c r="Q2156" s="33" t="s">
        <v>7095</v>
      </c>
    </row>
    <row r="2157" spans="1:17" hidden="1">
      <c r="A2157" s="33" t="s">
        <v>8046</v>
      </c>
      <c r="B2157" s="33" t="s">
        <v>8047</v>
      </c>
      <c r="C2157" s="33" t="s">
        <v>3549</v>
      </c>
      <c r="D2157" s="33" t="s">
        <v>81</v>
      </c>
      <c r="E2157" s="33" t="s">
        <v>6609</v>
      </c>
      <c r="G2157" s="33" t="s">
        <v>4068</v>
      </c>
      <c r="H2157" s="33" t="s">
        <v>1152</v>
      </c>
      <c r="I2157" s="33" t="s">
        <v>1152</v>
      </c>
      <c r="J2157" s="33" t="s">
        <v>8048</v>
      </c>
      <c r="K2157" s="33" t="s">
        <v>6611</v>
      </c>
      <c r="L2157" s="33" t="s">
        <v>1152</v>
      </c>
      <c r="M2157" s="33" t="str">
        <f>_xlfn.XLOOKUP(Tabela14[[#This Row],[Responsável]],Organograma!H:H,Organograma!G:G,"")</f>
        <v>CPN - Centro de Parto Normal</v>
      </c>
      <c r="Q2157" s="33" t="s">
        <v>7095</v>
      </c>
    </row>
    <row r="2158" spans="1:17" hidden="1">
      <c r="A2158" s="33" t="s">
        <v>8049</v>
      </c>
      <c r="B2158" s="33" t="s">
        <v>8050</v>
      </c>
      <c r="C2158" s="33" t="s">
        <v>3549</v>
      </c>
      <c r="D2158" s="33" t="s">
        <v>81</v>
      </c>
      <c r="E2158" s="33" t="s">
        <v>6609</v>
      </c>
      <c r="G2158" s="33" t="s">
        <v>4068</v>
      </c>
      <c r="H2158" s="33" t="s">
        <v>1152</v>
      </c>
      <c r="I2158" s="33" t="s">
        <v>1152</v>
      </c>
      <c r="J2158" s="33" t="s">
        <v>8051</v>
      </c>
      <c r="K2158" s="33" t="s">
        <v>6611</v>
      </c>
      <c r="L2158" s="33" t="s">
        <v>1152</v>
      </c>
      <c r="M2158" s="33" t="str">
        <f>_xlfn.XLOOKUP(Tabela14[[#This Row],[Responsável]],Organograma!H:H,Organograma!G:G,"")</f>
        <v>CPN - Centro de Parto Normal</v>
      </c>
      <c r="Q2158" s="33" t="s">
        <v>7095</v>
      </c>
    </row>
    <row r="2159" spans="1:17" hidden="1">
      <c r="A2159" s="33" t="s">
        <v>8052</v>
      </c>
      <c r="B2159" s="33" t="s">
        <v>8053</v>
      </c>
      <c r="C2159" s="33" t="s">
        <v>3549</v>
      </c>
      <c r="D2159" s="33" t="s">
        <v>79</v>
      </c>
      <c r="E2159" s="33" t="s">
        <v>6609</v>
      </c>
      <c r="G2159" s="33" t="s">
        <v>4068</v>
      </c>
      <c r="H2159" s="33" t="s">
        <v>1152</v>
      </c>
      <c r="I2159" s="33" t="s">
        <v>1152</v>
      </c>
      <c r="J2159" s="33" t="s">
        <v>8054</v>
      </c>
      <c r="K2159" s="33" t="s">
        <v>6611</v>
      </c>
      <c r="L2159" s="33" t="s">
        <v>1152</v>
      </c>
      <c r="M2159" s="33" t="str">
        <f>_xlfn.XLOOKUP(Tabela14[[#This Row],[Responsável]],Organograma!H:H,Organograma!G:G,"")</f>
        <v>PED - Unidade de Internação Pediátrica</v>
      </c>
      <c r="Q2159" s="33" t="s">
        <v>7095</v>
      </c>
    </row>
    <row r="2160" spans="1:17">
      <c r="A2160" s="33" t="s">
        <v>8055</v>
      </c>
      <c r="B2160" s="33" t="s">
        <v>8056</v>
      </c>
      <c r="C2160" s="33" t="s">
        <v>3549</v>
      </c>
      <c r="D2160" s="33" t="s">
        <v>4068</v>
      </c>
      <c r="E2160" s="33" t="s">
        <v>935</v>
      </c>
      <c r="G2160" s="33" t="s">
        <v>4068</v>
      </c>
      <c r="H2160" s="33" t="s">
        <v>1152</v>
      </c>
      <c r="I2160" s="33" t="s">
        <v>1152</v>
      </c>
      <c r="J2160" s="33" t="s">
        <v>8057</v>
      </c>
      <c r="K2160" s="33" t="s">
        <v>6898</v>
      </c>
      <c r="L2160" s="33" t="s">
        <v>3696</v>
      </c>
      <c r="M2160" s="33" t="str">
        <f>_xlfn.XLOOKUP(Tabela14[[#This Row],[Responsável]],Organograma!H:H,Organograma!G:G,"")</f>
        <v/>
      </c>
      <c r="Q2160" s="33" t="s">
        <v>7095</v>
      </c>
    </row>
    <row r="2161" spans="1:17" hidden="1">
      <c r="A2161" s="33" t="s">
        <v>8058</v>
      </c>
      <c r="B2161" s="33" t="s">
        <v>8059</v>
      </c>
      <c r="C2161" s="33" t="s">
        <v>3549</v>
      </c>
      <c r="D2161" s="33" t="s">
        <v>6941</v>
      </c>
      <c r="E2161" s="33" t="s">
        <v>6609</v>
      </c>
      <c r="G2161" s="33" t="s">
        <v>4068</v>
      </c>
      <c r="H2161" s="33" t="s">
        <v>1152</v>
      </c>
      <c r="I2161" s="33" t="s">
        <v>1152</v>
      </c>
      <c r="J2161" s="33" t="s">
        <v>8060</v>
      </c>
      <c r="K2161" s="33" t="s">
        <v>6611</v>
      </c>
      <c r="L2161" s="33" t="s">
        <v>1206</v>
      </c>
      <c r="M2161" s="33" t="str">
        <f>_xlfn.XLOOKUP(Tabela14[[#This Row],[Responsável]],Organograma!H:H,Organograma!G:G,"")</f>
        <v/>
      </c>
      <c r="Q2161" s="33" t="s">
        <v>7095</v>
      </c>
    </row>
    <row r="2162" spans="1:17" hidden="1">
      <c r="A2162" s="33" t="s">
        <v>8061</v>
      </c>
      <c r="B2162" s="33" t="s">
        <v>8062</v>
      </c>
      <c r="C2162" s="33" t="s">
        <v>3549</v>
      </c>
      <c r="D2162" s="33" t="s">
        <v>6684</v>
      </c>
      <c r="E2162" s="33" t="s">
        <v>6609</v>
      </c>
      <c r="G2162" s="33" t="s">
        <v>4068</v>
      </c>
      <c r="H2162" s="33" t="s">
        <v>1152</v>
      </c>
      <c r="I2162" s="33" t="s">
        <v>1152</v>
      </c>
      <c r="J2162" s="33" t="s">
        <v>8063</v>
      </c>
      <c r="K2162" s="33" t="s">
        <v>6611</v>
      </c>
      <c r="L2162" s="33" t="s">
        <v>1386</v>
      </c>
      <c r="M2162" s="33" t="str">
        <f>_xlfn.XLOOKUP(Tabela14[[#This Row],[Responsável]],Organograma!H:H,Organograma!G:G,"")</f>
        <v/>
      </c>
      <c r="Q2162" s="33" t="s">
        <v>7095</v>
      </c>
    </row>
    <row r="2163" spans="1:17">
      <c r="A2163" s="33" t="s">
        <v>8064</v>
      </c>
      <c r="B2163" s="33" t="s">
        <v>8065</v>
      </c>
      <c r="C2163" s="33" t="s">
        <v>3549</v>
      </c>
      <c r="D2163" s="33" t="s">
        <v>4068</v>
      </c>
      <c r="E2163" s="33" t="s">
        <v>935</v>
      </c>
      <c r="G2163" s="33" t="s">
        <v>4068</v>
      </c>
      <c r="H2163" s="33" t="s">
        <v>1152</v>
      </c>
      <c r="I2163" s="33" t="s">
        <v>1152</v>
      </c>
      <c r="J2163" s="33" t="s">
        <v>8066</v>
      </c>
      <c r="K2163" s="33" t="s">
        <v>6898</v>
      </c>
      <c r="L2163" s="33" t="s">
        <v>3696</v>
      </c>
      <c r="M2163" s="33" t="str">
        <f>_xlfn.XLOOKUP(Tabela14[[#This Row],[Responsável]],Organograma!H:H,Organograma!G:G,"")</f>
        <v/>
      </c>
      <c r="Q2163" s="33" t="s">
        <v>7095</v>
      </c>
    </row>
    <row r="2164" spans="1:17" hidden="1">
      <c r="A2164" s="33" t="s">
        <v>8067</v>
      </c>
      <c r="B2164" s="33" t="s">
        <v>8068</v>
      </c>
      <c r="C2164" s="33" t="s">
        <v>3549</v>
      </c>
      <c r="D2164" s="33" t="s">
        <v>6819</v>
      </c>
      <c r="E2164" s="33" t="s">
        <v>6609</v>
      </c>
      <c r="G2164" s="33" t="s">
        <v>4068</v>
      </c>
      <c r="H2164" s="33" t="s">
        <v>1152</v>
      </c>
      <c r="I2164" s="33" t="s">
        <v>1152</v>
      </c>
      <c r="J2164" s="33" t="s">
        <v>8069</v>
      </c>
      <c r="K2164" s="33" t="s">
        <v>6611</v>
      </c>
      <c r="L2164" s="33" t="s">
        <v>1152</v>
      </c>
      <c r="M2164" s="33" t="str">
        <f>_xlfn.XLOOKUP(Tabela14[[#This Row],[Responsável]],Organograma!H:H,Organograma!G:G,"")</f>
        <v/>
      </c>
      <c r="Q2164" s="33" t="s">
        <v>7095</v>
      </c>
    </row>
    <row r="2165" spans="1:17" hidden="1">
      <c r="A2165" s="33" t="s">
        <v>8070</v>
      </c>
      <c r="B2165" s="33" t="s">
        <v>8071</v>
      </c>
      <c r="C2165" s="33" t="s">
        <v>3549</v>
      </c>
      <c r="D2165" s="33" t="s">
        <v>6819</v>
      </c>
      <c r="E2165" s="33" t="s">
        <v>6609</v>
      </c>
      <c r="G2165" s="33" t="s">
        <v>4068</v>
      </c>
      <c r="H2165" s="33" t="s">
        <v>1152</v>
      </c>
      <c r="I2165" s="33" t="s">
        <v>1152</v>
      </c>
      <c r="J2165" s="33" t="s">
        <v>8072</v>
      </c>
      <c r="K2165" s="33" t="s">
        <v>6611</v>
      </c>
      <c r="L2165" s="33" t="s">
        <v>1152</v>
      </c>
      <c r="M2165" s="33" t="str">
        <f>_xlfn.XLOOKUP(Tabela14[[#This Row],[Responsável]],Organograma!H:H,Organograma!G:G,"")</f>
        <v/>
      </c>
      <c r="Q2165" s="33" t="s">
        <v>7095</v>
      </c>
    </row>
    <row r="2166" spans="1:17" hidden="1">
      <c r="A2166" s="33" t="s">
        <v>8073</v>
      </c>
      <c r="B2166" s="33" t="s">
        <v>8074</v>
      </c>
      <c r="C2166" s="33" t="s">
        <v>3549</v>
      </c>
      <c r="D2166" s="33" t="s">
        <v>6819</v>
      </c>
      <c r="E2166" s="33" t="s">
        <v>6609</v>
      </c>
      <c r="G2166" s="33" t="s">
        <v>4068</v>
      </c>
      <c r="H2166" s="33" t="s">
        <v>1152</v>
      </c>
      <c r="I2166" s="33" t="s">
        <v>1152</v>
      </c>
      <c r="J2166" s="33" t="s">
        <v>8075</v>
      </c>
      <c r="K2166" s="33" t="s">
        <v>6611</v>
      </c>
      <c r="L2166" s="33" t="s">
        <v>1152</v>
      </c>
      <c r="M2166" s="33" t="str">
        <f>_xlfn.XLOOKUP(Tabela14[[#This Row],[Responsável]],Organograma!H:H,Organograma!G:G,"")</f>
        <v/>
      </c>
      <c r="Q2166" s="33" t="s">
        <v>7095</v>
      </c>
    </row>
    <row r="2167" spans="1:17" hidden="1">
      <c r="A2167" s="33" t="s">
        <v>8076</v>
      </c>
      <c r="B2167" s="33" t="s">
        <v>8077</v>
      </c>
      <c r="C2167" s="33" t="s">
        <v>3549</v>
      </c>
      <c r="D2167" s="33" t="s">
        <v>26</v>
      </c>
      <c r="E2167" s="33" t="s">
        <v>6609</v>
      </c>
      <c r="G2167" s="33" t="s">
        <v>4068</v>
      </c>
      <c r="H2167" s="33" t="s">
        <v>1152</v>
      </c>
      <c r="I2167" s="33" t="s">
        <v>1152</v>
      </c>
      <c r="J2167" s="33" t="s">
        <v>8078</v>
      </c>
      <c r="K2167" s="33" t="s">
        <v>6611</v>
      </c>
      <c r="L2167" s="33" t="s">
        <v>1152</v>
      </c>
      <c r="M2167" s="33" t="str">
        <f>_xlfn.XLOOKUP(Tabela14[[#This Row],[Responsável]],Organograma!H:H,Organograma!G:G,"")</f>
        <v>SRFP - Setor de Registro e Folha de Ponto</v>
      </c>
      <c r="Q2167" s="33" t="s">
        <v>7095</v>
      </c>
    </row>
    <row r="2168" spans="1:17" hidden="1">
      <c r="A2168" s="33" t="s">
        <v>8079</v>
      </c>
      <c r="B2168" s="33" t="s">
        <v>8080</v>
      </c>
      <c r="C2168" s="33" t="s">
        <v>3549</v>
      </c>
      <c r="D2168" s="33" t="s">
        <v>10</v>
      </c>
      <c r="E2168" s="33" t="s">
        <v>6609</v>
      </c>
      <c r="G2168" s="33" t="s">
        <v>4068</v>
      </c>
      <c r="H2168" s="33" t="s">
        <v>1152</v>
      </c>
      <c r="I2168" s="33" t="s">
        <v>1152</v>
      </c>
      <c r="J2168" s="33" t="s">
        <v>8081</v>
      </c>
      <c r="K2168" s="33" t="s">
        <v>6611</v>
      </c>
      <c r="L2168" s="33" t="s">
        <v>1152</v>
      </c>
      <c r="M2168" s="33" t="str">
        <f>_xlfn.XLOOKUP(Tabela14[[#This Row],[Responsável]],Organograma!H:H,Organograma!G:G,"")</f>
        <v>ENG - Núcleo de Engenharia Clínica</v>
      </c>
      <c r="Q2168" s="33" t="s">
        <v>7095</v>
      </c>
    </row>
    <row r="2169" spans="1:17" hidden="1">
      <c r="A2169" s="33" t="s">
        <v>8082</v>
      </c>
      <c r="B2169" s="33" t="s">
        <v>8083</v>
      </c>
      <c r="C2169" s="33" t="s">
        <v>3549</v>
      </c>
      <c r="D2169" s="33" t="s">
        <v>3467</v>
      </c>
      <c r="E2169" s="33" t="s">
        <v>6609</v>
      </c>
      <c r="G2169" s="33" t="s">
        <v>4068</v>
      </c>
      <c r="H2169" s="33" t="s">
        <v>1152</v>
      </c>
      <c r="I2169" s="33" t="s">
        <v>1152</v>
      </c>
      <c r="J2169" s="33" t="s">
        <v>8084</v>
      </c>
      <c r="K2169" s="33" t="s">
        <v>6611</v>
      </c>
      <c r="L2169" s="33" t="s">
        <v>1152</v>
      </c>
      <c r="M2169" s="33" t="str">
        <f>_xlfn.XLOOKUP(Tabela14[[#This Row],[Responsável]],Organograma!H:H,Organograma!G:G,"")</f>
        <v/>
      </c>
      <c r="Q2169" s="33" t="s">
        <v>7095</v>
      </c>
    </row>
    <row r="2170" spans="1:17" hidden="1">
      <c r="A2170" s="33" t="s">
        <v>8085</v>
      </c>
      <c r="B2170" s="33" t="s">
        <v>8086</v>
      </c>
      <c r="C2170" s="33" t="s">
        <v>3549</v>
      </c>
      <c r="D2170" s="33" t="s">
        <v>79</v>
      </c>
      <c r="E2170" s="33" t="s">
        <v>6609</v>
      </c>
      <c r="G2170" s="33" t="s">
        <v>4068</v>
      </c>
      <c r="H2170" s="33" t="s">
        <v>1152</v>
      </c>
      <c r="I2170" s="33" t="s">
        <v>1152</v>
      </c>
      <c r="J2170" s="33" t="s">
        <v>8087</v>
      </c>
      <c r="K2170" s="33" t="s">
        <v>6611</v>
      </c>
      <c r="L2170" s="33" t="s">
        <v>1152</v>
      </c>
      <c r="M2170" s="33" t="str">
        <f>_xlfn.XLOOKUP(Tabela14[[#This Row],[Responsável]],Organograma!H:H,Organograma!G:G,"")</f>
        <v>PED - Unidade de Internação Pediátrica</v>
      </c>
      <c r="Q2170" s="33" t="s">
        <v>7095</v>
      </c>
    </row>
    <row r="2171" spans="1:17" hidden="1">
      <c r="A2171" s="33" t="s">
        <v>8088</v>
      </c>
      <c r="B2171" s="33" t="s">
        <v>8089</v>
      </c>
      <c r="C2171" s="33" t="s">
        <v>3549</v>
      </c>
      <c r="D2171" s="33" t="s">
        <v>79</v>
      </c>
      <c r="E2171" s="33" t="s">
        <v>6609</v>
      </c>
      <c r="G2171" s="33" t="s">
        <v>4068</v>
      </c>
      <c r="H2171" s="33" t="s">
        <v>1152</v>
      </c>
      <c r="I2171" s="33" t="s">
        <v>1152</v>
      </c>
      <c r="J2171" s="33" t="s">
        <v>8090</v>
      </c>
      <c r="K2171" s="33" t="s">
        <v>6611</v>
      </c>
      <c r="L2171" s="33" t="s">
        <v>1152</v>
      </c>
      <c r="M2171" s="33" t="str">
        <f>_xlfn.XLOOKUP(Tabela14[[#This Row],[Responsável]],Organograma!H:H,Organograma!G:G,"")</f>
        <v>PED - Unidade de Internação Pediátrica</v>
      </c>
      <c r="Q2171" s="33" t="s">
        <v>7095</v>
      </c>
    </row>
    <row r="2172" spans="1:17" hidden="1">
      <c r="A2172" s="33" t="s">
        <v>8091</v>
      </c>
      <c r="B2172" s="33" t="s">
        <v>8092</v>
      </c>
      <c r="C2172" s="33" t="s">
        <v>3549</v>
      </c>
      <c r="D2172" s="33" t="s">
        <v>79</v>
      </c>
      <c r="E2172" s="33" t="s">
        <v>6609</v>
      </c>
      <c r="G2172" s="33" t="s">
        <v>4068</v>
      </c>
      <c r="H2172" s="33" t="s">
        <v>1152</v>
      </c>
      <c r="I2172" s="33" t="s">
        <v>1152</v>
      </c>
      <c r="J2172" s="33" t="s">
        <v>8093</v>
      </c>
      <c r="K2172" s="33" t="s">
        <v>6611</v>
      </c>
      <c r="L2172" s="33" t="s">
        <v>1152</v>
      </c>
      <c r="M2172" s="33" t="str">
        <f>_xlfn.XLOOKUP(Tabela14[[#This Row],[Responsável]],Organograma!H:H,Organograma!G:G,"")</f>
        <v>PED - Unidade de Internação Pediátrica</v>
      </c>
      <c r="Q2172" s="33" t="s">
        <v>7095</v>
      </c>
    </row>
    <row r="2173" spans="1:17">
      <c r="A2173" s="33" t="s">
        <v>8094</v>
      </c>
      <c r="B2173" s="33" t="s">
        <v>8095</v>
      </c>
      <c r="C2173" s="33" t="s">
        <v>3549</v>
      </c>
      <c r="D2173" s="33" t="s">
        <v>4068</v>
      </c>
      <c r="E2173" s="33" t="s">
        <v>3976</v>
      </c>
      <c r="G2173" s="33" t="s">
        <v>4068</v>
      </c>
      <c r="H2173" s="33" t="s">
        <v>1152</v>
      </c>
      <c r="I2173" s="33" t="s">
        <v>1152</v>
      </c>
      <c r="J2173" s="33" t="s">
        <v>8096</v>
      </c>
      <c r="K2173" s="33" t="s">
        <v>6898</v>
      </c>
      <c r="L2173" s="33" t="s">
        <v>1206</v>
      </c>
      <c r="M2173" s="33" t="str">
        <f>_xlfn.XLOOKUP(Tabela14[[#This Row],[Responsável]],Organograma!H:H,Organograma!G:G,"")</f>
        <v/>
      </c>
      <c r="Q2173" s="33" t="s">
        <v>7095</v>
      </c>
    </row>
    <row r="2174" spans="1:17">
      <c r="A2174" s="33" t="s">
        <v>8097</v>
      </c>
      <c r="B2174" s="33" t="s">
        <v>8098</v>
      </c>
      <c r="C2174" s="33" t="s">
        <v>3549</v>
      </c>
      <c r="D2174" s="33" t="s">
        <v>4068</v>
      </c>
      <c r="E2174" s="33" t="s">
        <v>3976</v>
      </c>
      <c r="G2174" s="33" t="s">
        <v>4068</v>
      </c>
      <c r="H2174" s="33" t="s">
        <v>1152</v>
      </c>
      <c r="I2174" s="33" t="s">
        <v>1152</v>
      </c>
      <c r="J2174" s="33" t="s">
        <v>8099</v>
      </c>
      <c r="K2174" s="33" t="s">
        <v>6898</v>
      </c>
      <c r="L2174" s="33" t="s">
        <v>4039</v>
      </c>
      <c r="M2174" s="33" t="str">
        <f>_xlfn.XLOOKUP(Tabela14[[#This Row],[Responsável]],Organograma!H:H,Organograma!G:G,"")</f>
        <v/>
      </c>
      <c r="Q2174" s="33" t="s">
        <v>7095</v>
      </c>
    </row>
    <row r="2175" spans="1:17">
      <c r="A2175" s="33" t="s">
        <v>8100</v>
      </c>
      <c r="B2175" s="33" t="s">
        <v>8101</v>
      </c>
      <c r="C2175" s="33" t="s">
        <v>3549</v>
      </c>
      <c r="D2175" s="33" t="s">
        <v>4068</v>
      </c>
      <c r="E2175" s="33" t="s">
        <v>3976</v>
      </c>
      <c r="G2175" s="33" t="s">
        <v>4068</v>
      </c>
      <c r="H2175" s="33" t="s">
        <v>1152</v>
      </c>
      <c r="I2175" s="33" t="s">
        <v>1152</v>
      </c>
      <c r="J2175" s="33" t="s">
        <v>8102</v>
      </c>
      <c r="K2175" s="33" t="s">
        <v>6898</v>
      </c>
      <c r="L2175" s="33" t="s">
        <v>1206</v>
      </c>
      <c r="M2175" s="33" t="str">
        <f>_xlfn.XLOOKUP(Tabela14[[#This Row],[Responsável]],Organograma!H:H,Organograma!G:G,"")</f>
        <v/>
      </c>
      <c r="Q2175" s="33" t="s">
        <v>7095</v>
      </c>
    </row>
    <row r="2176" spans="1:17">
      <c r="A2176" s="33" t="s">
        <v>8103</v>
      </c>
      <c r="B2176" s="33" t="s">
        <v>8104</v>
      </c>
      <c r="C2176" s="33" t="s">
        <v>3549</v>
      </c>
      <c r="D2176" s="33" t="s">
        <v>4068</v>
      </c>
      <c r="E2176" s="33" t="s">
        <v>3976</v>
      </c>
      <c r="G2176" s="33" t="s">
        <v>4068</v>
      </c>
      <c r="H2176" s="33" t="s">
        <v>1152</v>
      </c>
      <c r="I2176" s="33" t="s">
        <v>1152</v>
      </c>
      <c r="J2176" s="33" t="s">
        <v>8105</v>
      </c>
      <c r="K2176" s="33" t="s">
        <v>6898</v>
      </c>
      <c r="L2176" s="33" t="s">
        <v>4039</v>
      </c>
      <c r="M2176" s="33" t="str">
        <f>_xlfn.XLOOKUP(Tabela14[[#This Row],[Responsável]],Organograma!H:H,Organograma!G:G,"")</f>
        <v/>
      </c>
      <c r="Q2176" s="33" t="s">
        <v>7095</v>
      </c>
    </row>
    <row r="2177" spans="1:17">
      <c r="A2177" s="33" t="s">
        <v>8106</v>
      </c>
      <c r="B2177" s="33" t="s">
        <v>8107</v>
      </c>
      <c r="C2177" s="33" t="s">
        <v>3549</v>
      </c>
      <c r="D2177" s="33" t="s">
        <v>90</v>
      </c>
      <c r="E2177" s="33" t="s">
        <v>936</v>
      </c>
      <c r="G2177" s="33" t="s">
        <v>4068</v>
      </c>
      <c r="H2177" s="33" t="s">
        <v>1152</v>
      </c>
      <c r="I2177" s="33" t="s">
        <v>1152</v>
      </c>
      <c r="J2177" s="33" t="s">
        <v>8108</v>
      </c>
      <c r="K2177" s="33" t="s">
        <v>6737</v>
      </c>
      <c r="L2177" s="33" t="s">
        <v>4039</v>
      </c>
      <c r="M2177" s="33" t="str">
        <f>_xlfn.XLOOKUP(Tabela14[[#This Row],[Responsável]],Organograma!H:H,Organograma!G:G,"")</f>
        <v>PSICO - Unidade de Atendimento a Saúde Mental</v>
      </c>
      <c r="Q2177" s="33" t="s">
        <v>7095</v>
      </c>
    </row>
    <row r="2178" spans="1:17">
      <c r="A2178" s="33" t="s">
        <v>8109</v>
      </c>
      <c r="B2178" s="33" t="s">
        <v>8110</v>
      </c>
      <c r="C2178" s="33" t="s">
        <v>3549</v>
      </c>
      <c r="D2178" s="33" t="s">
        <v>4068</v>
      </c>
      <c r="E2178" s="33" t="s">
        <v>935</v>
      </c>
      <c r="G2178" s="33" t="s">
        <v>4068</v>
      </c>
      <c r="H2178" s="33" t="s">
        <v>1152</v>
      </c>
      <c r="I2178" s="33" t="s">
        <v>1152</v>
      </c>
      <c r="J2178" s="33" t="s">
        <v>8111</v>
      </c>
      <c r="K2178" s="33" t="s">
        <v>6898</v>
      </c>
      <c r="L2178" s="33" t="s">
        <v>4039</v>
      </c>
      <c r="M2178" s="33" t="str">
        <f>_xlfn.XLOOKUP(Tabela14[[#This Row],[Responsável]],Organograma!H:H,Organograma!G:G,"")</f>
        <v/>
      </c>
      <c r="Q2178" s="33" t="s">
        <v>7095</v>
      </c>
    </row>
    <row r="2179" spans="1:17">
      <c r="A2179" s="33" t="s">
        <v>8112</v>
      </c>
      <c r="B2179" s="33" t="s">
        <v>8113</v>
      </c>
      <c r="C2179" s="33" t="s">
        <v>3549</v>
      </c>
      <c r="D2179" s="33" t="s">
        <v>4068</v>
      </c>
      <c r="E2179" s="33" t="s">
        <v>935</v>
      </c>
      <c r="G2179" s="33" t="s">
        <v>4068</v>
      </c>
      <c r="H2179" s="33" t="s">
        <v>1152</v>
      </c>
      <c r="I2179" s="33" t="s">
        <v>1152</v>
      </c>
      <c r="J2179" s="33" t="s">
        <v>8114</v>
      </c>
      <c r="K2179" s="33" t="s">
        <v>6898</v>
      </c>
      <c r="L2179" s="33" t="s">
        <v>4039</v>
      </c>
      <c r="M2179" s="33" t="str">
        <f>_xlfn.XLOOKUP(Tabela14[[#This Row],[Responsável]],Organograma!H:H,Organograma!G:G,"")</f>
        <v/>
      </c>
      <c r="Q2179" s="33" t="s">
        <v>7095</v>
      </c>
    </row>
    <row r="2180" spans="1:17" hidden="1">
      <c r="A2180" s="33" t="s">
        <v>8115</v>
      </c>
      <c r="B2180" s="33" t="s">
        <v>8116</v>
      </c>
      <c r="C2180" s="33" t="s">
        <v>3549</v>
      </c>
      <c r="D2180" s="33" t="s">
        <v>68</v>
      </c>
      <c r="E2180" s="33" t="s">
        <v>6609</v>
      </c>
      <c r="G2180" s="33" t="s">
        <v>4068</v>
      </c>
      <c r="H2180" s="33" t="s">
        <v>1152</v>
      </c>
      <c r="I2180" s="33" t="s">
        <v>1152</v>
      </c>
      <c r="J2180" s="33" t="s">
        <v>8117</v>
      </c>
      <c r="K2180" s="33" t="s">
        <v>6611</v>
      </c>
      <c r="L2180" s="33" t="s">
        <v>1152</v>
      </c>
      <c r="M2180" s="33" t="str">
        <f>_xlfn.XLOOKUP(Tabela14[[#This Row],[Responsável]],Organograma!H:H,Organograma!G:G,"")</f>
        <v>UICC - Unidade de Internação Cirúrgica</v>
      </c>
      <c r="Q2180" s="33" t="s">
        <v>7095</v>
      </c>
    </row>
    <row r="2181" spans="1:17" hidden="1">
      <c r="A2181" s="33" t="s">
        <v>8118</v>
      </c>
      <c r="B2181" s="33" t="s">
        <v>8119</v>
      </c>
      <c r="C2181" s="33" t="s">
        <v>3549</v>
      </c>
      <c r="D2181" s="33" t="s">
        <v>89</v>
      </c>
      <c r="E2181" s="33" t="s">
        <v>6609</v>
      </c>
      <c r="G2181" s="33" t="s">
        <v>4068</v>
      </c>
      <c r="H2181" s="33" t="s">
        <v>1152</v>
      </c>
      <c r="I2181" s="33" t="s">
        <v>1152</v>
      </c>
      <c r="J2181" s="33" t="s">
        <v>8120</v>
      </c>
      <c r="K2181" s="33" t="s">
        <v>6611</v>
      </c>
      <c r="L2181" s="33" t="s">
        <v>1152</v>
      </c>
      <c r="M2181" s="33" t="str">
        <f>_xlfn.XLOOKUP(Tabela14[[#This Row],[Responsável]],Organograma!H:H,Organograma!G:G,"")</f>
        <v>P.S - Pronto Socorro</v>
      </c>
      <c r="Q2181" s="33" t="s">
        <v>7095</v>
      </c>
    </row>
    <row r="2182" spans="1:17" hidden="1">
      <c r="A2182" s="33" t="s">
        <v>8121</v>
      </c>
      <c r="B2182" s="33" t="s">
        <v>8122</v>
      </c>
      <c r="C2182" s="33" t="s">
        <v>3549</v>
      </c>
      <c r="D2182" s="33" t="s">
        <v>89</v>
      </c>
      <c r="E2182" s="33" t="s">
        <v>6609</v>
      </c>
      <c r="G2182" s="33" t="s">
        <v>4068</v>
      </c>
      <c r="H2182" s="33" t="s">
        <v>1152</v>
      </c>
      <c r="I2182" s="33" t="s">
        <v>1152</v>
      </c>
      <c r="J2182" s="33" t="s">
        <v>8123</v>
      </c>
      <c r="K2182" s="33" t="s">
        <v>6611</v>
      </c>
      <c r="L2182" s="33" t="s">
        <v>1152</v>
      </c>
      <c r="M2182" s="33" t="str">
        <f>_xlfn.XLOOKUP(Tabela14[[#This Row],[Responsável]],Organograma!H:H,Organograma!G:G,"")</f>
        <v>P.S - Pronto Socorro</v>
      </c>
      <c r="Q2182" s="33" t="s">
        <v>7095</v>
      </c>
    </row>
    <row r="2183" spans="1:17" hidden="1">
      <c r="A2183" s="33" t="s">
        <v>8124</v>
      </c>
      <c r="B2183" s="33" t="s">
        <v>8125</v>
      </c>
      <c r="C2183" s="33" t="s">
        <v>3549</v>
      </c>
      <c r="D2183" s="33" t="s">
        <v>89</v>
      </c>
      <c r="E2183" s="33" t="s">
        <v>6609</v>
      </c>
      <c r="G2183" s="33" t="s">
        <v>4068</v>
      </c>
      <c r="H2183" s="33" t="s">
        <v>1152</v>
      </c>
      <c r="I2183" s="33" t="s">
        <v>1152</v>
      </c>
      <c r="J2183" s="33" t="s">
        <v>8126</v>
      </c>
      <c r="K2183" s="33" t="s">
        <v>6611</v>
      </c>
      <c r="L2183" s="33" t="s">
        <v>1152</v>
      </c>
      <c r="M2183" s="33" t="str">
        <f>_xlfn.XLOOKUP(Tabela14[[#This Row],[Responsável]],Organograma!H:H,Organograma!G:G,"")</f>
        <v>P.S - Pronto Socorro</v>
      </c>
      <c r="Q2183" s="33" t="s">
        <v>7095</v>
      </c>
    </row>
    <row r="2184" spans="1:17" hidden="1">
      <c r="A2184" s="33" t="s">
        <v>8127</v>
      </c>
      <c r="B2184" s="33" t="s">
        <v>8128</v>
      </c>
      <c r="C2184" s="33" t="s">
        <v>3549</v>
      </c>
      <c r="D2184" s="33" t="s">
        <v>89</v>
      </c>
      <c r="E2184" s="33" t="s">
        <v>6609</v>
      </c>
      <c r="G2184" s="33" t="s">
        <v>4068</v>
      </c>
      <c r="H2184" s="33" t="s">
        <v>1152</v>
      </c>
      <c r="I2184" s="33" t="s">
        <v>1152</v>
      </c>
      <c r="J2184" s="33" t="s">
        <v>8129</v>
      </c>
      <c r="K2184" s="33" t="s">
        <v>6611</v>
      </c>
      <c r="L2184" s="33" t="s">
        <v>1152</v>
      </c>
      <c r="M2184" s="33" t="str">
        <f>_xlfn.XLOOKUP(Tabela14[[#This Row],[Responsável]],Organograma!H:H,Organograma!G:G,"")</f>
        <v>P.S - Pronto Socorro</v>
      </c>
      <c r="Q2184" s="33" t="s">
        <v>7095</v>
      </c>
    </row>
    <row r="2185" spans="1:17" hidden="1">
      <c r="A2185" s="33" t="s">
        <v>8130</v>
      </c>
      <c r="B2185" s="33" t="s">
        <v>8131</v>
      </c>
      <c r="C2185" s="33" t="s">
        <v>1785</v>
      </c>
      <c r="D2185" s="33" t="s">
        <v>3862</v>
      </c>
      <c r="E2185" s="33" t="s">
        <v>2471</v>
      </c>
      <c r="G2185" s="33" t="s">
        <v>3862</v>
      </c>
      <c r="H2185" s="33" t="s">
        <v>3948</v>
      </c>
      <c r="I2185" s="33" t="s">
        <v>3948</v>
      </c>
      <c r="J2185" s="33" t="s">
        <v>8132</v>
      </c>
      <c r="K2185" s="33" t="s">
        <v>2471</v>
      </c>
      <c r="L2185" s="33" t="s">
        <v>3966</v>
      </c>
      <c r="M2185" s="33" t="str">
        <f>_xlfn.XLOOKUP(Tabela14[[#This Row],[Responsável]],Organograma!H:H,Organograma!G:G,"")</f>
        <v/>
      </c>
      <c r="Q2185" s="33" t="s">
        <v>7095</v>
      </c>
    </row>
    <row r="2186" spans="1:17" hidden="1">
      <c r="A2186" s="33" t="s">
        <v>8133</v>
      </c>
      <c r="B2186" s="33" t="s">
        <v>8134</v>
      </c>
      <c r="C2186" s="33" t="s">
        <v>1831</v>
      </c>
      <c r="D2186" s="33" t="s">
        <v>4068</v>
      </c>
      <c r="E2186" s="33" t="s">
        <v>3857</v>
      </c>
      <c r="G2186" s="33" t="s">
        <v>3608</v>
      </c>
      <c r="H2186" s="33" t="s">
        <v>6550</v>
      </c>
      <c r="I2186" s="33" t="s">
        <v>6550</v>
      </c>
      <c r="J2186" s="33" t="s">
        <v>8135</v>
      </c>
      <c r="K2186" s="33" t="s">
        <v>3859</v>
      </c>
      <c r="L2186" s="33" t="s">
        <v>6550</v>
      </c>
      <c r="M2186" s="33" t="str">
        <f>_xlfn.XLOOKUP(Tabela14[[#This Row],[Responsável]],Organograma!H:H,Organograma!G:G,"")</f>
        <v/>
      </c>
      <c r="Q2186" s="33" t="s">
        <v>7095</v>
      </c>
    </row>
    <row r="2187" spans="1:17" hidden="1">
      <c r="A2187" s="33" t="s">
        <v>8136</v>
      </c>
      <c r="B2187" s="33" t="s">
        <v>8137</v>
      </c>
      <c r="C2187" s="33" t="s">
        <v>1831</v>
      </c>
      <c r="D2187" s="33" t="s">
        <v>4068</v>
      </c>
      <c r="E2187" s="33" t="s">
        <v>3857</v>
      </c>
      <c r="G2187" s="33" t="s">
        <v>3608</v>
      </c>
      <c r="H2187" s="33" t="s">
        <v>6550</v>
      </c>
      <c r="I2187" s="33" t="s">
        <v>6550</v>
      </c>
      <c r="J2187" s="33" t="s">
        <v>8138</v>
      </c>
      <c r="K2187" s="33" t="s">
        <v>3859</v>
      </c>
      <c r="L2187" s="33" t="s">
        <v>6550</v>
      </c>
      <c r="M2187" s="33" t="str">
        <f>_xlfn.XLOOKUP(Tabela14[[#This Row],[Responsável]],Organograma!H:H,Organograma!G:G,"")</f>
        <v/>
      </c>
      <c r="Q2187" s="33" t="s">
        <v>7095</v>
      </c>
    </row>
    <row r="2188" spans="1:17" hidden="1">
      <c r="A2188" s="33" t="s">
        <v>9159</v>
      </c>
      <c r="B2188" s="33" t="s">
        <v>9160</v>
      </c>
      <c r="C2188" s="33" t="s">
        <v>1891</v>
      </c>
      <c r="D2188" s="33" t="s">
        <v>6684</v>
      </c>
      <c r="E2188" s="33" t="s">
        <v>6609</v>
      </c>
      <c r="G2188" s="33" t="s">
        <v>41</v>
      </c>
      <c r="H2188" s="33" t="s">
        <v>3616</v>
      </c>
      <c r="I2188" s="33" t="s">
        <v>3616</v>
      </c>
      <c r="J2188" s="33" t="s">
        <v>9161</v>
      </c>
      <c r="K2188" s="33" t="s">
        <v>6611</v>
      </c>
      <c r="L2188" s="33" t="s">
        <v>3616</v>
      </c>
      <c r="M2188" s="33" t="s">
        <v>1402</v>
      </c>
      <c r="N2188" s="33" t="s">
        <v>42</v>
      </c>
      <c r="Q2188" s="33" t="s">
        <v>8143</v>
      </c>
    </row>
    <row r="2189" spans="1:17">
      <c r="A2189" s="33" t="s">
        <v>8144</v>
      </c>
      <c r="B2189" s="33" t="s">
        <v>8145</v>
      </c>
      <c r="C2189" s="33" t="s">
        <v>1891</v>
      </c>
      <c r="D2189" s="33" t="s">
        <v>41</v>
      </c>
      <c r="E2189" s="33" t="s">
        <v>935</v>
      </c>
      <c r="G2189" s="33" t="s">
        <v>41</v>
      </c>
      <c r="H2189" s="33" t="s">
        <v>8141</v>
      </c>
      <c r="I2189" s="33" t="s">
        <v>8141</v>
      </c>
      <c r="J2189" s="33" t="s">
        <v>8146</v>
      </c>
      <c r="K2189" s="33" t="s">
        <v>6898</v>
      </c>
      <c r="L2189" s="33" t="s">
        <v>2902</v>
      </c>
      <c r="M2189" s="33" t="s">
        <v>92</v>
      </c>
      <c r="N2189" s="33" t="s">
        <v>42</v>
      </c>
      <c r="Q2189" s="33" t="s">
        <v>8143</v>
      </c>
    </row>
    <row r="2190" spans="1:17">
      <c r="A2190" s="33" t="s">
        <v>8147</v>
      </c>
      <c r="B2190" s="33" t="s">
        <v>8148</v>
      </c>
      <c r="C2190" s="33" t="s">
        <v>1891</v>
      </c>
      <c r="D2190" s="33" t="s">
        <v>41</v>
      </c>
      <c r="E2190" s="33" t="s">
        <v>935</v>
      </c>
      <c r="G2190" s="33" t="s">
        <v>41</v>
      </c>
      <c r="H2190" s="33" t="s">
        <v>8141</v>
      </c>
      <c r="I2190" s="33" t="s">
        <v>8141</v>
      </c>
      <c r="J2190" s="33" t="s">
        <v>8149</v>
      </c>
      <c r="K2190" s="33" t="s">
        <v>6898</v>
      </c>
      <c r="L2190" s="33" t="s">
        <v>2902</v>
      </c>
      <c r="M2190" s="33" t="s">
        <v>92</v>
      </c>
      <c r="N2190" s="33" t="s">
        <v>42</v>
      </c>
      <c r="Q2190" s="33" t="s">
        <v>8143</v>
      </c>
    </row>
    <row r="2191" spans="1:17">
      <c r="A2191" s="33" t="s">
        <v>8439</v>
      </c>
      <c r="B2191" s="33" t="s">
        <v>8440</v>
      </c>
      <c r="C2191" s="33" t="s">
        <v>1891</v>
      </c>
      <c r="D2191" s="33" t="s">
        <v>2097</v>
      </c>
      <c r="E2191" s="33" t="s">
        <v>7018</v>
      </c>
      <c r="G2191" s="33" t="s">
        <v>41</v>
      </c>
      <c r="H2191" s="33" t="s">
        <v>2420</v>
      </c>
      <c r="I2191" s="33" t="s">
        <v>2420</v>
      </c>
      <c r="J2191" s="33" t="s">
        <v>8441</v>
      </c>
      <c r="K2191" s="33" t="s">
        <v>6737</v>
      </c>
      <c r="L2191" s="33" t="s">
        <v>4612</v>
      </c>
      <c r="M2191" s="33" t="s">
        <v>92</v>
      </c>
      <c r="N2191" s="33" t="s">
        <v>42</v>
      </c>
      <c r="Q2191" s="33" t="s">
        <v>8143</v>
      </c>
    </row>
    <row r="2192" spans="1:17">
      <c r="A2192" s="33" t="s">
        <v>8153</v>
      </c>
      <c r="B2192" s="33" t="s">
        <v>8154</v>
      </c>
      <c r="C2192" s="33" t="s">
        <v>1891</v>
      </c>
      <c r="D2192" s="33" t="s">
        <v>41</v>
      </c>
      <c r="E2192" s="33" t="s">
        <v>3976</v>
      </c>
      <c r="G2192" s="33" t="s">
        <v>41</v>
      </c>
      <c r="H2192" s="33" t="s">
        <v>8141</v>
      </c>
      <c r="I2192" s="33" t="s">
        <v>8141</v>
      </c>
      <c r="J2192" s="33" t="s">
        <v>8155</v>
      </c>
      <c r="K2192" s="33" t="s">
        <v>6898</v>
      </c>
      <c r="L2192" s="33" t="s">
        <v>1879</v>
      </c>
      <c r="M2192" s="33" t="s">
        <v>69</v>
      </c>
      <c r="N2192" s="33" t="s">
        <v>42</v>
      </c>
      <c r="Q2192" s="33" t="s">
        <v>8143</v>
      </c>
    </row>
    <row r="2193" spans="1:17">
      <c r="A2193" s="33" t="s">
        <v>8156</v>
      </c>
      <c r="B2193" s="33" t="s">
        <v>8157</v>
      </c>
      <c r="C2193" s="33" t="s">
        <v>1891</v>
      </c>
      <c r="D2193" s="33" t="s">
        <v>41</v>
      </c>
      <c r="E2193" s="33" t="s">
        <v>935</v>
      </c>
      <c r="G2193" s="33" t="s">
        <v>41</v>
      </c>
      <c r="H2193" s="33" t="s">
        <v>8141</v>
      </c>
      <c r="I2193" s="33" t="s">
        <v>8141</v>
      </c>
      <c r="J2193" s="33" t="s">
        <v>8158</v>
      </c>
      <c r="K2193" s="33" t="s">
        <v>6898</v>
      </c>
      <c r="L2193" s="33" t="s">
        <v>2902</v>
      </c>
      <c r="M2193" s="33" t="s">
        <v>91</v>
      </c>
      <c r="N2193" s="33" t="s">
        <v>42</v>
      </c>
      <c r="Q2193" s="33" t="s">
        <v>8143</v>
      </c>
    </row>
    <row r="2194" spans="1:17">
      <c r="A2194" s="33" t="s">
        <v>8159</v>
      </c>
      <c r="B2194" s="33" t="s">
        <v>8160</v>
      </c>
      <c r="C2194" s="33" t="s">
        <v>1891</v>
      </c>
      <c r="D2194" s="33" t="s">
        <v>65</v>
      </c>
      <c r="E2194" s="33" t="s">
        <v>7018</v>
      </c>
      <c r="G2194" s="33" t="s">
        <v>41</v>
      </c>
      <c r="H2194" s="33" t="s">
        <v>8141</v>
      </c>
      <c r="I2194" s="33" t="s">
        <v>8141</v>
      </c>
      <c r="J2194" s="33" t="s">
        <v>8161</v>
      </c>
      <c r="K2194" s="33" t="s">
        <v>6737</v>
      </c>
      <c r="L2194" s="33" t="s">
        <v>3318</v>
      </c>
      <c r="M2194" s="33" t="str">
        <f>_xlfn.XLOOKUP(Tabela14[[#This Row],[Responsável]],Organograma!H:H,Organograma!G:G,"")</f>
        <v>CGO - Unidade de Internação Ginecobstétrica</v>
      </c>
      <c r="N2194" s="33" t="s">
        <v>42</v>
      </c>
      <c r="Q2194" s="33" t="s">
        <v>8143</v>
      </c>
    </row>
    <row r="2195" spans="1:17">
      <c r="A2195" s="33" t="s">
        <v>8162</v>
      </c>
      <c r="B2195" s="33" t="s">
        <v>8163</v>
      </c>
      <c r="C2195" s="33" t="s">
        <v>1891</v>
      </c>
      <c r="D2195" s="33" t="s">
        <v>65</v>
      </c>
      <c r="E2195" s="33" t="s">
        <v>7018</v>
      </c>
      <c r="G2195" s="33" t="s">
        <v>41</v>
      </c>
      <c r="H2195" s="33" t="s">
        <v>8141</v>
      </c>
      <c r="I2195" s="33" t="s">
        <v>8141</v>
      </c>
      <c r="J2195" s="33" t="s">
        <v>8164</v>
      </c>
      <c r="K2195" s="33" t="s">
        <v>6737</v>
      </c>
      <c r="L2195" s="33" t="s">
        <v>3318</v>
      </c>
      <c r="M2195" s="33" t="str">
        <f>_xlfn.XLOOKUP(Tabela14[[#This Row],[Responsável]],Organograma!H:H,Organograma!G:G,"")</f>
        <v>CGO - Unidade de Internação Ginecobstétrica</v>
      </c>
      <c r="N2195" s="33" t="s">
        <v>42</v>
      </c>
      <c r="Q2195" s="33" t="s">
        <v>8143</v>
      </c>
    </row>
    <row r="2196" spans="1:17" hidden="1">
      <c r="A2196" s="33" t="s">
        <v>8165</v>
      </c>
      <c r="B2196" s="33" t="s">
        <v>8166</v>
      </c>
      <c r="C2196" s="33" t="s">
        <v>1891</v>
      </c>
      <c r="D2196" s="33" t="s">
        <v>41</v>
      </c>
      <c r="E2196" s="33" t="s">
        <v>6609</v>
      </c>
      <c r="G2196" s="33" t="s">
        <v>41</v>
      </c>
      <c r="H2196" s="33" t="s">
        <v>8141</v>
      </c>
      <c r="I2196" s="33" t="s">
        <v>8141</v>
      </c>
      <c r="J2196" s="33" t="s">
        <v>8167</v>
      </c>
      <c r="K2196" s="33" t="s">
        <v>6611</v>
      </c>
      <c r="L2196" s="33" t="s">
        <v>8141</v>
      </c>
      <c r="M2196" s="33" t="s">
        <v>69</v>
      </c>
      <c r="N2196" s="33" t="s">
        <v>42</v>
      </c>
      <c r="Q2196" s="33" t="s">
        <v>8143</v>
      </c>
    </row>
    <row r="2197" spans="1:17">
      <c r="A2197" s="33" t="s">
        <v>8710</v>
      </c>
      <c r="B2197" s="33" t="s">
        <v>8711</v>
      </c>
      <c r="C2197" s="33" t="s">
        <v>1891</v>
      </c>
      <c r="D2197" s="33" t="s">
        <v>2097</v>
      </c>
      <c r="E2197" s="33" t="s">
        <v>7018</v>
      </c>
      <c r="G2197" s="33" t="s">
        <v>41</v>
      </c>
      <c r="H2197" s="33" t="s">
        <v>2473</v>
      </c>
      <c r="I2197" s="33" t="s">
        <v>2473</v>
      </c>
      <c r="J2197" s="33" t="s">
        <v>8712</v>
      </c>
      <c r="K2197" s="33" t="s">
        <v>6737</v>
      </c>
      <c r="L2197" s="33" t="s">
        <v>3282</v>
      </c>
      <c r="M2197" s="33" t="s">
        <v>92</v>
      </c>
      <c r="N2197" s="33" t="s">
        <v>42</v>
      </c>
      <c r="Q2197" s="33" t="s">
        <v>8143</v>
      </c>
    </row>
    <row r="2198" spans="1:17">
      <c r="A2198" s="33" t="s">
        <v>8171</v>
      </c>
      <c r="B2198" s="33" t="s">
        <v>8172</v>
      </c>
      <c r="C2198" s="33" t="s">
        <v>1891</v>
      </c>
      <c r="D2198" s="33" t="s">
        <v>41</v>
      </c>
      <c r="E2198" s="33" t="s">
        <v>3976</v>
      </c>
      <c r="G2198" s="33" t="s">
        <v>41</v>
      </c>
      <c r="H2198" s="33" t="s">
        <v>8141</v>
      </c>
      <c r="I2198" s="33" t="s">
        <v>8141</v>
      </c>
      <c r="J2198" s="33" t="s">
        <v>8173</v>
      </c>
      <c r="K2198" s="33" t="s">
        <v>6898</v>
      </c>
      <c r="L2198" s="33" t="s">
        <v>1879</v>
      </c>
      <c r="M2198" s="33" t="s">
        <v>69</v>
      </c>
      <c r="N2198" s="33" t="s">
        <v>42</v>
      </c>
      <c r="Q2198" s="33" t="s">
        <v>8143</v>
      </c>
    </row>
    <row r="2199" spans="1:17">
      <c r="A2199" s="33" t="s">
        <v>8174</v>
      </c>
      <c r="B2199" s="33" t="s">
        <v>8175</v>
      </c>
      <c r="C2199" s="33" t="s">
        <v>1891</v>
      </c>
      <c r="D2199" s="33" t="s">
        <v>41</v>
      </c>
      <c r="E2199" s="33" t="s">
        <v>935</v>
      </c>
      <c r="G2199" s="33" t="s">
        <v>41</v>
      </c>
      <c r="H2199" s="33" t="s">
        <v>8141</v>
      </c>
      <c r="I2199" s="33" t="s">
        <v>8141</v>
      </c>
      <c r="J2199" s="33" t="s">
        <v>8176</v>
      </c>
      <c r="K2199" s="33" t="s">
        <v>6898</v>
      </c>
      <c r="L2199" s="33" t="s">
        <v>5544</v>
      </c>
      <c r="M2199" s="33" t="s">
        <v>91</v>
      </c>
      <c r="N2199" s="33" t="s">
        <v>42</v>
      </c>
      <c r="Q2199" s="33" t="s">
        <v>8143</v>
      </c>
    </row>
    <row r="2200" spans="1:17">
      <c r="A2200" s="33" t="s">
        <v>8177</v>
      </c>
      <c r="B2200" s="33" t="s">
        <v>8178</v>
      </c>
      <c r="C2200" s="33" t="s">
        <v>1891</v>
      </c>
      <c r="D2200" s="33" t="s">
        <v>41</v>
      </c>
      <c r="E2200" s="33" t="s">
        <v>3976</v>
      </c>
      <c r="G2200" s="33" t="s">
        <v>41</v>
      </c>
      <c r="H2200" s="33" t="s">
        <v>8141</v>
      </c>
      <c r="I2200" s="33" t="s">
        <v>8141</v>
      </c>
      <c r="J2200" s="33" t="s">
        <v>8179</v>
      </c>
      <c r="K2200" s="33" t="s">
        <v>6898</v>
      </c>
      <c r="L2200" s="33" t="s">
        <v>1993</v>
      </c>
      <c r="M2200" s="33" t="s">
        <v>1083</v>
      </c>
      <c r="N2200" s="33" t="s">
        <v>42</v>
      </c>
      <c r="Q2200" s="33" t="s">
        <v>8143</v>
      </c>
    </row>
    <row r="2201" spans="1:17">
      <c r="A2201" s="33" t="s">
        <v>8180</v>
      </c>
      <c r="B2201" s="33" t="s">
        <v>8181</v>
      </c>
      <c r="C2201" s="33" t="s">
        <v>1891</v>
      </c>
      <c r="D2201" s="33" t="s">
        <v>41</v>
      </c>
      <c r="E2201" s="33" t="s">
        <v>3976</v>
      </c>
      <c r="G2201" s="33" t="s">
        <v>41</v>
      </c>
      <c r="H2201" s="33" t="s">
        <v>8141</v>
      </c>
      <c r="I2201" s="33" t="s">
        <v>8141</v>
      </c>
      <c r="J2201" s="33" t="s">
        <v>8182</v>
      </c>
      <c r="K2201" s="33" t="s">
        <v>6898</v>
      </c>
      <c r="L2201" s="33" t="s">
        <v>1993</v>
      </c>
      <c r="M2201" s="33" t="s">
        <v>69</v>
      </c>
      <c r="N2201" s="33" t="s">
        <v>42</v>
      </c>
      <c r="Q2201" s="33" t="s">
        <v>8143</v>
      </c>
    </row>
    <row r="2202" spans="1:17">
      <c r="A2202" s="33" t="s">
        <v>8183</v>
      </c>
      <c r="B2202" s="33" t="s">
        <v>8184</v>
      </c>
      <c r="C2202" s="33" t="s">
        <v>1891</v>
      </c>
      <c r="D2202" s="33" t="s">
        <v>41</v>
      </c>
      <c r="E2202" s="33" t="s">
        <v>3976</v>
      </c>
      <c r="G2202" s="33" t="s">
        <v>41</v>
      </c>
      <c r="H2202" s="33" t="s">
        <v>8141</v>
      </c>
      <c r="I2202" s="33" t="s">
        <v>8141</v>
      </c>
      <c r="J2202" s="33" t="s">
        <v>8185</v>
      </c>
      <c r="K2202" s="33" t="s">
        <v>6898</v>
      </c>
      <c r="L2202" s="33" t="s">
        <v>1879</v>
      </c>
      <c r="M2202" s="33" t="s">
        <v>194</v>
      </c>
      <c r="N2202" s="33" t="s">
        <v>42</v>
      </c>
      <c r="Q2202" s="33" t="s">
        <v>8143</v>
      </c>
    </row>
    <row r="2203" spans="1:17">
      <c r="A2203" s="33" t="s">
        <v>8186</v>
      </c>
      <c r="B2203" s="33" t="s">
        <v>8187</v>
      </c>
      <c r="C2203" s="33" t="s">
        <v>1891</v>
      </c>
      <c r="D2203" s="33" t="s">
        <v>41</v>
      </c>
      <c r="E2203" s="33" t="s">
        <v>3976</v>
      </c>
      <c r="G2203" s="33" t="s">
        <v>41</v>
      </c>
      <c r="H2203" s="33" t="s">
        <v>8141</v>
      </c>
      <c r="I2203" s="33" t="s">
        <v>8141</v>
      </c>
      <c r="J2203" s="33" t="s">
        <v>8188</v>
      </c>
      <c r="K2203" s="33" t="s">
        <v>6898</v>
      </c>
      <c r="L2203" s="33" t="s">
        <v>1879</v>
      </c>
      <c r="M2203" s="33" t="s">
        <v>194</v>
      </c>
      <c r="N2203" s="33" t="s">
        <v>42</v>
      </c>
      <c r="Q2203" s="33" t="s">
        <v>8143</v>
      </c>
    </row>
    <row r="2204" spans="1:17">
      <c r="A2204" s="33" t="s">
        <v>8189</v>
      </c>
      <c r="B2204" s="33" t="s">
        <v>8190</v>
      </c>
      <c r="C2204" s="33" t="s">
        <v>1891</v>
      </c>
      <c r="D2204" s="33" t="s">
        <v>41</v>
      </c>
      <c r="E2204" s="33" t="s">
        <v>3976</v>
      </c>
      <c r="G2204" s="33" t="s">
        <v>41</v>
      </c>
      <c r="H2204" s="33" t="s">
        <v>1879</v>
      </c>
      <c r="I2204" s="33" t="s">
        <v>1879</v>
      </c>
      <c r="J2204" s="33" t="s">
        <v>8191</v>
      </c>
      <c r="K2204" s="33" t="s">
        <v>6898</v>
      </c>
      <c r="L2204" s="33" t="s">
        <v>3544</v>
      </c>
      <c r="M2204" s="33" t="s">
        <v>69</v>
      </c>
      <c r="N2204" s="33" t="s">
        <v>42</v>
      </c>
      <c r="Q2204" s="33" t="s">
        <v>8143</v>
      </c>
    </row>
    <row r="2205" spans="1:17">
      <c r="A2205" s="33" t="s">
        <v>8192</v>
      </c>
      <c r="B2205" s="33" t="s">
        <v>8193</v>
      </c>
      <c r="C2205" s="33" t="s">
        <v>1891</v>
      </c>
      <c r="D2205" s="33" t="s">
        <v>41</v>
      </c>
      <c r="E2205" s="33" t="s">
        <v>3976</v>
      </c>
      <c r="G2205" s="33" t="s">
        <v>41</v>
      </c>
      <c r="H2205" s="33" t="s">
        <v>1879</v>
      </c>
      <c r="I2205" s="33" t="s">
        <v>1879</v>
      </c>
      <c r="J2205" s="33" t="s">
        <v>8194</v>
      </c>
      <c r="K2205" s="33" t="s">
        <v>6898</v>
      </c>
      <c r="L2205" s="33" t="s">
        <v>3551</v>
      </c>
      <c r="M2205" s="33" t="s">
        <v>69</v>
      </c>
      <c r="N2205" s="33" t="s">
        <v>42</v>
      </c>
      <c r="Q2205" s="33" t="s">
        <v>8143</v>
      </c>
    </row>
    <row r="2206" spans="1:17">
      <c r="A2206" s="33" t="s">
        <v>8195</v>
      </c>
      <c r="B2206" s="33" t="s">
        <v>8196</v>
      </c>
      <c r="C2206" s="33" t="s">
        <v>1891</v>
      </c>
      <c r="D2206" s="33" t="s">
        <v>41</v>
      </c>
      <c r="E2206" s="33" t="s">
        <v>3976</v>
      </c>
      <c r="G2206" s="33" t="s">
        <v>41</v>
      </c>
      <c r="H2206" s="33" t="s">
        <v>1879</v>
      </c>
      <c r="I2206" s="33" t="s">
        <v>1879</v>
      </c>
      <c r="J2206" s="33" t="s">
        <v>8197</v>
      </c>
      <c r="K2206" s="33" t="s">
        <v>6898</v>
      </c>
      <c r="L2206" s="33" t="s">
        <v>3551</v>
      </c>
      <c r="M2206" s="33" t="s">
        <v>69</v>
      </c>
      <c r="N2206" s="33" t="s">
        <v>42</v>
      </c>
      <c r="Q2206" s="33" t="s">
        <v>8143</v>
      </c>
    </row>
    <row r="2207" spans="1:17">
      <c r="A2207" s="33" t="s">
        <v>8198</v>
      </c>
      <c r="B2207" s="33" t="s">
        <v>8199</v>
      </c>
      <c r="C2207" s="33" t="s">
        <v>1891</v>
      </c>
      <c r="D2207" s="33" t="s">
        <v>41</v>
      </c>
      <c r="E2207" s="33" t="s">
        <v>3976</v>
      </c>
      <c r="G2207" s="33" t="s">
        <v>41</v>
      </c>
      <c r="H2207" s="33" t="s">
        <v>1879</v>
      </c>
      <c r="I2207" s="33" t="s">
        <v>1879</v>
      </c>
      <c r="J2207" s="33" t="s">
        <v>8200</v>
      </c>
      <c r="K2207" s="33" t="s">
        <v>6898</v>
      </c>
      <c r="L2207" s="33" t="s">
        <v>3551</v>
      </c>
      <c r="M2207" s="33" t="s">
        <v>1402</v>
      </c>
      <c r="N2207" s="33" t="s">
        <v>42</v>
      </c>
      <c r="Q2207" s="33" t="s">
        <v>8143</v>
      </c>
    </row>
    <row r="2208" spans="1:17">
      <c r="A2208" s="33" t="s">
        <v>8201</v>
      </c>
      <c r="B2208" s="33" t="s">
        <v>8202</v>
      </c>
      <c r="C2208" s="33" t="s">
        <v>1891</v>
      </c>
      <c r="D2208" s="33" t="s">
        <v>41</v>
      </c>
      <c r="E2208" s="33" t="s">
        <v>3976</v>
      </c>
      <c r="G2208" s="33" t="s">
        <v>41</v>
      </c>
      <c r="H2208" s="33" t="s">
        <v>1879</v>
      </c>
      <c r="I2208" s="33" t="s">
        <v>1879</v>
      </c>
      <c r="J2208" s="33" t="s">
        <v>8203</v>
      </c>
      <c r="K2208" s="33" t="s">
        <v>6898</v>
      </c>
      <c r="L2208" s="33" t="s">
        <v>2000</v>
      </c>
      <c r="M2208" s="33" t="s">
        <v>970</v>
      </c>
      <c r="N2208" s="33" t="s">
        <v>42</v>
      </c>
      <c r="Q2208" s="33" t="s">
        <v>8143</v>
      </c>
    </row>
    <row r="2209" spans="1:17">
      <c r="A2209" s="33" t="s">
        <v>8204</v>
      </c>
      <c r="B2209" s="33" t="s">
        <v>8205</v>
      </c>
      <c r="C2209" s="33" t="s">
        <v>1891</v>
      </c>
      <c r="D2209" s="33" t="s">
        <v>41</v>
      </c>
      <c r="E2209" s="33" t="s">
        <v>3976</v>
      </c>
      <c r="G2209" s="33" t="s">
        <v>41</v>
      </c>
      <c r="H2209" s="33" t="s">
        <v>1879</v>
      </c>
      <c r="I2209" s="33" t="s">
        <v>1879</v>
      </c>
      <c r="J2209" s="33" t="s">
        <v>8206</v>
      </c>
      <c r="K2209" s="33" t="s">
        <v>6898</v>
      </c>
      <c r="L2209" s="33" t="s">
        <v>2243</v>
      </c>
      <c r="M2209" s="33" t="s">
        <v>970</v>
      </c>
      <c r="N2209" s="33" t="s">
        <v>42</v>
      </c>
      <c r="Q2209" s="33" t="s">
        <v>8143</v>
      </c>
    </row>
    <row r="2210" spans="1:17">
      <c r="A2210" s="33" t="s">
        <v>8207</v>
      </c>
      <c r="B2210" s="33" t="s">
        <v>8208</v>
      </c>
      <c r="C2210" s="33" t="s">
        <v>1891</v>
      </c>
      <c r="D2210" s="33" t="s">
        <v>41</v>
      </c>
      <c r="E2210" s="33" t="s">
        <v>3976</v>
      </c>
      <c r="G2210" s="33" t="s">
        <v>41</v>
      </c>
      <c r="H2210" s="33" t="s">
        <v>1879</v>
      </c>
      <c r="I2210" s="33" t="s">
        <v>1879</v>
      </c>
      <c r="J2210" s="33" t="s">
        <v>8209</v>
      </c>
      <c r="K2210" s="33" t="s">
        <v>6898</v>
      </c>
      <c r="L2210" s="33" t="s">
        <v>2243</v>
      </c>
      <c r="M2210" s="33" t="s">
        <v>970</v>
      </c>
      <c r="N2210" s="33" t="s">
        <v>42</v>
      </c>
      <c r="Q2210" s="33" t="s">
        <v>8143</v>
      </c>
    </row>
    <row r="2211" spans="1:17" hidden="1">
      <c r="A2211" s="33" t="s">
        <v>8210</v>
      </c>
      <c r="B2211" s="33" t="s">
        <v>8211</v>
      </c>
      <c r="C2211" s="33" t="s">
        <v>1891</v>
      </c>
      <c r="D2211" s="33" t="s">
        <v>51</v>
      </c>
      <c r="E2211" s="33" t="s">
        <v>6609</v>
      </c>
      <c r="G2211" s="33" t="s">
        <v>41</v>
      </c>
      <c r="H2211" s="33" t="s">
        <v>1879</v>
      </c>
      <c r="I2211" s="33" t="s">
        <v>1879</v>
      </c>
      <c r="J2211" s="33" t="s">
        <v>8212</v>
      </c>
      <c r="K2211" s="33" t="s">
        <v>6611</v>
      </c>
      <c r="L2211" s="33" t="s">
        <v>1879</v>
      </c>
      <c r="M2211" s="33" t="str">
        <f>_xlfn.XLOOKUP(Tabela14[[#This Row],[Responsável]],Organograma!H:H,Organograma!G:G,"")</f>
        <v>FIS - Fisioterapia</v>
      </c>
      <c r="N2211" s="33" t="s">
        <v>42</v>
      </c>
      <c r="Q2211" s="33" t="s">
        <v>8143</v>
      </c>
    </row>
    <row r="2212" spans="1:17" hidden="1">
      <c r="A2212" s="33" t="s">
        <v>8213</v>
      </c>
      <c r="B2212" s="33" t="s">
        <v>8214</v>
      </c>
      <c r="C2212" s="33" t="s">
        <v>1891</v>
      </c>
      <c r="D2212" s="33" t="s">
        <v>12</v>
      </c>
      <c r="E2212" s="33" t="s">
        <v>6609</v>
      </c>
      <c r="G2212" s="33" t="s">
        <v>41</v>
      </c>
      <c r="H2212" s="33" t="s">
        <v>1879</v>
      </c>
      <c r="I2212" s="33" t="s">
        <v>1879</v>
      </c>
      <c r="J2212" s="33" t="s">
        <v>8215</v>
      </c>
      <c r="K2212" s="33" t="s">
        <v>6611</v>
      </c>
      <c r="L2212" s="33" t="s">
        <v>1879</v>
      </c>
      <c r="M2212" s="33" t="str">
        <f>_xlfn.XLOOKUP(Tabela14[[#This Row],[Responsável]],Organograma!H:H,Organograma!G:G,"")</f>
        <v>SND - Serviço de Nutrição e Dietética</v>
      </c>
      <c r="N2212" s="33" t="s">
        <v>42</v>
      </c>
      <c r="Q2212" s="33" t="s">
        <v>8143</v>
      </c>
    </row>
    <row r="2213" spans="1:17" hidden="1">
      <c r="A2213" s="33" t="s">
        <v>8216</v>
      </c>
      <c r="B2213" s="33" t="s">
        <v>8217</v>
      </c>
      <c r="C2213" s="33" t="s">
        <v>1891</v>
      </c>
      <c r="D2213" s="33" t="s">
        <v>81</v>
      </c>
      <c r="E2213" s="33" t="s">
        <v>6609</v>
      </c>
      <c r="G2213" s="33" t="s">
        <v>41</v>
      </c>
      <c r="H2213" s="33" t="s">
        <v>1879</v>
      </c>
      <c r="I2213" s="33" t="s">
        <v>1879</v>
      </c>
      <c r="J2213" s="33" t="s">
        <v>8218</v>
      </c>
      <c r="K2213" s="33" t="s">
        <v>6611</v>
      </c>
      <c r="L2213" s="33" t="s">
        <v>1879</v>
      </c>
      <c r="M2213" s="33" t="str">
        <f>_xlfn.XLOOKUP(Tabela14[[#This Row],[Responsável]],Organograma!H:H,Organograma!G:G,"")</f>
        <v>CPN - Centro de Parto Normal</v>
      </c>
      <c r="N2213" s="33" t="s">
        <v>42</v>
      </c>
      <c r="Q2213" s="33" t="s">
        <v>8143</v>
      </c>
    </row>
    <row r="2214" spans="1:17" hidden="1">
      <c r="A2214" s="33" t="s">
        <v>8219</v>
      </c>
      <c r="B2214" s="33" t="s">
        <v>8220</v>
      </c>
      <c r="C2214" s="33" t="s">
        <v>1891</v>
      </c>
      <c r="D2214" s="33" t="s">
        <v>81</v>
      </c>
      <c r="E2214" s="33" t="s">
        <v>6609</v>
      </c>
      <c r="G2214" s="33" t="s">
        <v>41</v>
      </c>
      <c r="H2214" s="33" t="s">
        <v>1879</v>
      </c>
      <c r="I2214" s="33" t="s">
        <v>1879</v>
      </c>
      <c r="J2214" s="33" t="s">
        <v>8221</v>
      </c>
      <c r="K2214" s="33" t="s">
        <v>6611</v>
      </c>
      <c r="L2214" s="33" t="s">
        <v>1879</v>
      </c>
      <c r="M2214" s="33" t="str">
        <f>_xlfn.XLOOKUP(Tabela14[[#This Row],[Responsável]],Organograma!H:H,Organograma!G:G,"")</f>
        <v>CPN - Centro de Parto Normal</v>
      </c>
      <c r="N2214" s="33" t="s">
        <v>42</v>
      </c>
      <c r="Q2214" s="33" t="s">
        <v>8143</v>
      </c>
    </row>
    <row r="2215" spans="1:17">
      <c r="A2215" s="33" t="s">
        <v>8222</v>
      </c>
      <c r="B2215" s="33" t="s">
        <v>8223</v>
      </c>
      <c r="C2215" s="33" t="s">
        <v>1891</v>
      </c>
      <c r="D2215" s="33" t="s">
        <v>41</v>
      </c>
      <c r="E2215" s="33" t="s">
        <v>935</v>
      </c>
      <c r="G2215" s="33" t="s">
        <v>41</v>
      </c>
      <c r="H2215" s="33" t="s">
        <v>1879</v>
      </c>
      <c r="I2215" s="33" t="s">
        <v>1879</v>
      </c>
      <c r="J2215" s="33" t="s">
        <v>8224</v>
      </c>
      <c r="K2215" s="33" t="s">
        <v>6898</v>
      </c>
      <c r="L2215" s="33" t="s">
        <v>2685</v>
      </c>
      <c r="M2215" s="33" t="s">
        <v>91</v>
      </c>
      <c r="N2215" s="33" t="s">
        <v>42</v>
      </c>
      <c r="Q2215" s="33" t="s">
        <v>8143</v>
      </c>
    </row>
    <row r="2216" spans="1:17">
      <c r="A2216" s="33" t="s">
        <v>8225</v>
      </c>
      <c r="B2216" s="33" t="s">
        <v>8226</v>
      </c>
      <c r="C2216" s="33" t="s">
        <v>1891</v>
      </c>
      <c r="D2216" s="33" t="s">
        <v>41</v>
      </c>
      <c r="E2216" s="33" t="s">
        <v>935</v>
      </c>
      <c r="G2216" s="33" t="s">
        <v>41</v>
      </c>
      <c r="H2216" s="33" t="s">
        <v>1879</v>
      </c>
      <c r="I2216" s="33" t="s">
        <v>1879</v>
      </c>
      <c r="J2216" s="33" t="s">
        <v>8227</v>
      </c>
      <c r="K2216" s="33" t="s">
        <v>6898</v>
      </c>
      <c r="L2216" s="33" t="s">
        <v>2685</v>
      </c>
      <c r="M2216" s="33" t="s">
        <v>91</v>
      </c>
      <c r="N2216" s="33" t="s">
        <v>42</v>
      </c>
      <c r="Q2216" s="33" t="s">
        <v>8143</v>
      </c>
    </row>
    <row r="2217" spans="1:17">
      <c r="A2217" s="33" t="s">
        <v>8228</v>
      </c>
      <c r="B2217" s="33" t="s">
        <v>8229</v>
      </c>
      <c r="C2217" s="33" t="s">
        <v>1891</v>
      </c>
      <c r="D2217" s="33" t="s">
        <v>41</v>
      </c>
      <c r="E2217" s="33" t="s">
        <v>935</v>
      </c>
      <c r="G2217" s="33" t="s">
        <v>41</v>
      </c>
      <c r="H2217" s="33" t="s">
        <v>1879</v>
      </c>
      <c r="I2217" s="33" t="s">
        <v>1879</v>
      </c>
      <c r="J2217" s="33" t="s">
        <v>8230</v>
      </c>
      <c r="K2217" s="33" t="s">
        <v>6898</v>
      </c>
      <c r="L2217" s="33" t="s">
        <v>2685</v>
      </c>
      <c r="M2217" s="33" t="s">
        <v>91</v>
      </c>
      <c r="N2217" s="33" t="s">
        <v>42</v>
      </c>
      <c r="Q2217" s="33" t="s">
        <v>8143</v>
      </c>
    </row>
    <row r="2218" spans="1:17">
      <c r="A2218" s="33" t="s">
        <v>8231</v>
      </c>
      <c r="B2218" s="33" t="s">
        <v>8232</v>
      </c>
      <c r="C2218" s="33" t="s">
        <v>1891</v>
      </c>
      <c r="D2218" s="33" t="s">
        <v>41</v>
      </c>
      <c r="E2218" s="33" t="s">
        <v>935</v>
      </c>
      <c r="G2218" s="33" t="s">
        <v>41</v>
      </c>
      <c r="H2218" s="33" t="s">
        <v>1879</v>
      </c>
      <c r="I2218" s="33" t="s">
        <v>1879</v>
      </c>
      <c r="J2218" s="33" t="s">
        <v>8233</v>
      </c>
      <c r="K2218" s="33" t="s">
        <v>6898</v>
      </c>
      <c r="L2218" s="33" t="s">
        <v>3194</v>
      </c>
      <c r="M2218" s="33" t="s">
        <v>91</v>
      </c>
      <c r="N2218" s="33" t="s">
        <v>42</v>
      </c>
      <c r="Q2218" s="33" t="s">
        <v>8143</v>
      </c>
    </row>
    <row r="2219" spans="1:17">
      <c r="A2219" s="33" t="s">
        <v>8719</v>
      </c>
      <c r="B2219" s="33" t="s">
        <v>8720</v>
      </c>
      <c r="C2219" s="33" t="s">
        <v>1891</v>
      </c>
      <c r="D2219" s="33" t="s">
        <v>2097</v>
      </c>
      <c r="E2219" s="33" t="s">
        <v>7018</v>
      </c>
      <c r="G2219" s="33" t="s">
        <v>41</v>
      </c>
      <c r="H2219" s="33" t="s">
        <v>2473</v>
      </c>
      <c r="I2219" s="33" t="s">
        <v>2473</v>
      </c>
      <c r="J2219" s="33" t="s">
        <v>8721</v>
      </c>
      <c r="K2219" s="33" t="s">
        <v>6737</v>
      </c>
      <c r="L2219" s="33" t="s">
        <v>3282</v>
      </c>
      <c r="M2219" s="33" t="s">
        <v>92</v>
      </c>
      <c r="N2219" s="33" t="s">
        <v>42</v>
      </c>
      <c r="Q2219" s="33" t="s">
        <v>8143</v>
      </c>
    </row>
    <row r="2220" spans="1:17">
      <c r="A2220" s="33" t="s">
        <v>8237</v>
      </c>
      <c r="B2220" s="33" t="s">
        <v>8238</v>
      </c>
      <c r="C2220" s="33" t="s">
        <v>1891</v>
      </c>
      <c r="D2220" s="33" t="s">
        <v>41</v>
      </c>
      <c r="E2220" s="33" t="s">
        <v>935</v>
      </c>
      <c r="G2220" s="33" t="s">
        <v>41</v>
      </c>
      <c r="H2220" s="33" t="s">
        <v>1879</v>
      </c>
      <c r="I2220" s="33" t="s">
        <v>1879</v>
      </c>
      <c r="J2220" s="33" t="s">
        <v>8239</v>
      </c>
      <c r="K2220" s="33" t="s">
        <v>6898</v>
      </c>
      <c r="L2220" s="33" t="s">
        <v>3194</v>
      </c>
      <c r="M2220" s="33" t="s">
        <v>91</v>
      </c>
      <c r="N2220" s="33" t="s">
        <v>42</v>
      </c>
      <c r="Q2220" s="33" t="s">
        <v>8143</v>
      </c>
    </row>
    <row r="2221" spans="1:17">
      <c r="A2221" s="33" t="s">
        <v>8240</v>
      </c>
      <c r="B2221" s="33" t="s">
        <v>8241</v>
      </c>
      <c r="C2221" s="33" t="s">
        <v>1891</v>
      </c>
      <c r="D2221" s="33" t="s">
        <v>41</v>
      </c>
      <c r="E2221" s="33" t="s">
        <v>935</v>
      </c>
      <c r="G2221" s="33" t="s">
        <v>41</v>
      </c>
      <c r="H2221" s="33" t="s">
        <v>1879</v>
      </c>
      <c r="I2221" s="33" t="s">
        <v>1879</v>
      </c>
      <c r="J2221" s="33" t="s">
        <v>8242</v>
      </c>
      <c r="K2221" s="33" t="s">
        <v>6898</v>
      </c>
      <c r="L2221" s="33" t="s">
        <v>2685</v>
      </c>
      <c r="M2221" s="33" t="s">
        <v>91</v>
      </c>
      <c r="N2221" s="33" t="s">
        <v>42</v>
      </c>
      <c r="Q2221" s="33" t="s">
        <v>8143</v>
      </c>
    </row>
    <row r="2222" spans="1:17">
      <c r="A2222" s="33" t="s">
        <v>8243</v>
      </c>
      <c r="B2222" s="33" t="s">
        <v>8244</v>
      </c>
      <c r="C2222" s="33" t="s">
        <v>1891</v>
      </c>
      <c r="D2222" s="33" t="s">
        <v>41</v>
      </c>
      <c r="E2222" s="33" t="s">
        <v>935</v>
      </c>
      <c r="G2222" s="33" t="s">
        <v>41</v>
      </c>
      <c r="H2222" s="33" t="s">
        <v>1879</v>
      </c>
      <c r="I2222" s="33" t="s">
        <v>1879</v>
      </c>
      <c r="J2222" s="33" t="s">
        <v>8245</v>
      </c>
      <c r="K2222" s="33" t="s">
        <v>6898</v>
      </c>
      <c r="L2222" s="33" t="s">
        <v>2685</v>
      </c>
      <c r="M2222" s="33" t="s">
        <v>91</v>
      </c>
      <c r="N2222" s="33" t="s">
        <v>42</v>
      </c>
      <c r="Q2222" s="33" t="s">
        <v>8143</v>
      </c>
    </row>
    <row r="2223" spans="1:17" hidden="1">
      <c r="A2223" s="33" t="s">
        <v>8139</v>
      </c>
      <c r="B2223" s="33" t="s">
        <v>8140</v>
      </c>
      <c r="C2223" s="33" t="s">
        <v>1891</v>
      </c>
      <c r="D2223" s="33" t="s">
        <v>2349</v>
      </c>
      <c r="E2223" s="33" t="s">
        <v>6609</v>
      </c>
      <c r="G2223" s="33" t="s">
        <v>41</v>
      </c>
      <c r="H2223" s="33" t="s">
        <v>8141</v>
      </c>
      <c r="I2223" s="33" t="s">
        <v>8141</v>
      </c>
      <c r="J2223" s="33" t="s">
        <v>8142</v>
      </c>
      <c r="K2223" s="33" t="s">
        <v>6611</v>
      </c>
      <c r="L2223" s="33" t="s">
        <v>8141</v>
      </c>
      <c r="M2223" s="33" t="s">
        <v>91</v>
      </c>
      <c r="N2223" s="33" t="s">
        <v>42</v>
      </c>
      <c r="Q2223" s="33" t="s">
        <v>8143</v>
      </c>
    </row>
    <row r="2224" spans="1:17">
      <c r="A2224" s="33" t="s">
        <v>8250</v>
      </c>
      <c r="B2224" s="33" t="s">
        <v>8251</v>
      </c>
      <c r="C2224" s="33" t="s">
        <v>1891</v>
      </c>
      <c r="D2224" s="33" t="s">
        <v>41</v>
      </c>
      <c r="E2224" s="33" t="s">
        <v>935</v>
      </c>
      <c r="G2224" s="33" t="s">
        <v>41</v>
      </c>
      <c r="H2224" s="33" t="s">
        <v>1879</v>
      </c>
      <c r="I2224" s="33" t="s">
        <v>1879</v>
      </c>
      <c r="J2224" s="33" t="s">
        <v>8252</v>
      </c>
      <c r="K2224" s="33" t="s">
        <v>6898</v>
      </c>
      <c r="L2224" s="33" t="s">
        <v>2902</v>
      </c>
      <c r="M2224" s="33" t="s">
        <v>9344</v>
      </c>
      <c r="N2224" s="33" t="s">
        <v>42</v>
      </c>
      <c r="Q2224" s="33" t="s">
        <v>8143</v>
      </c>
    </row>
    <row r="2225" spans="1:17" hidden="1">
      <c r="A2225" s="33" t="s">
        <v>8253</v>
      </c>
      <c r="B2225" s="33" t="s">
        <v>8254</v>
      </c>
      <c r="C2225" s="33" t="s">
        <v>1891</v>
      </c>
      <c r="D2225" s="33" t="s">
        <v>51</v>
      </c>
      <c r="E2225" s="33" t="s">
        <v>6609</v>
      </c>
      <c r="G2225" s="33" t="s">
        <v>41</v>
      </c>
      <c r="H2225" s="33" t="s">
        <v>1879</v>
      </c>
      <c r="I2225" s="33" t="s">
        <v>1879</v>
      </c>
      <c r="J2225" s="33" t="s">
        <v>8255</v>
      </c>
      <c r="K2225" s="33" t="s">
        <v>6611</v>
      </c>
      <c r="L2225" s="33" t="s">
        <v>1879</v>
      </c>
      <c r="M2225" s="33" t="str">
        <f>_xlfn.XLOOKUP(Tabela14[[#This Row],[Responsável]],Organograma!H:H,Organograma!G:G,"")</f>
        <v>FIS - Fisioterapia</v>
      </c>
      <c r="N2225" s="33" t="s">
        <v>42</v>
      </c>
      <c r="Q2225" s="33" t="s">
        <v>8143</v>
      </c>
    </row>
    <row r="2226" spans="1:17">
      <c r="A2226" s="33" t="s">
        <v>8256</v>
      </c>
      <c r="B2226" s="33" t="s">
        <v>8257</v>
      </c>
      <c r="C2226" s="33" t="s">
        <v>1891</v>
      </c>
      <c r="D2226" s="33" t="s">
        <v>41</v>
      </c>
      <c r="E2226" s="33" t="s">
        <v>935</v>
      </c>
      <c r="G2226" s="33" t="s">
        <v>41</v>
      </c>
      <c r="H2226" s="33" t="s">
        <v>1879</v>
      </c>
      <c r="I2226" s="33" t="s">
        <v>1879</v>
      </c>
      <c r="J2226" s="33" t="s">
        <v>8258</v>
      </c>
      <c r="K2226" s="33" t="s">
        <v>6898</v>
      </c>
      <c r="L2226" s="33" t="s">
        <v>3436</v>
      </c>
      <c r="M2226" s="33" t="s">
        <v>196</v>
      </c>
      <c r="N2226" s="33" t="s">
        <v>42</v>
      </c>
      <c r="Q2226" s="33" t="s">
        <v>8143</v>
      </c>
    </row>
    <row r="2227" spans="1:17">
      <c r="A2227" s="33" t="s">
        <v>8259</v>
      </c>
      <c r="B2227" s="33" t="s">
        <v>8260</v>
      </c>
      <c r="C2227" s="33" t="s">
        <v>1891</v>
      </c>
      <c r="D2227" s="33" t="s">
        <v>41</v>
      </c>
      <c r="E2227" s="33" t="s">
        <v>935</v>
      </c>
      <c r="G2227" s="33" t="s">
        <v>41</v>
      </c>
      <c r="H2227" s="33" t="s">
        <v>1879</v>
      </c>
      <c r="I2227" s="33" t="s">
        <v>1879</v>
      </c>
      <c r="J2227" s="33" t="s">
        <v>8261</v>
      </c>
      <c r="K2227" s="33" t="s">
        <v>6898</v>
      </c>
      <c r="L2227" s="33" t="s">
        <v>3436</v>
      </c>
      <c r="M2227" s="33" t="s">
        <v>196</v>
      </c>
      <c r="N2227" s="33" t="s">
        <v>42</v>
      </c>
      <c r="Q2227" s="33" t="s">
        <v>8143</v>
      </c>
    </row>
    <row r="2228" spans="1:17">
      <c r="A2228" s="33" t="s">
        <v>8262</v>
      </c>
      <c r="B2228" s="33" t="s">
        <v>8263</v>
      </c>
      <c r="C2228" s="33" t="s">
        <v>1891</v>
      </c>
      <c r="D2228" s="33" t="s">
        <v>41</v>
      </c>
      <c r="E2228" s="33" t="s">
        <v>935</v>
      </c>
      <c r="G2228" s="33" t="s">
        <v>41</v>
      </c>
      <c r="H2228" s="33" t="s">
        <v>1879</v>
      </c>
      <c r="I2228" s="33" t="s">
        <v>1879</v>
      </c>
      <c r="J2228" s="33" t="s">
        <v>8264</v>
      </c>
      <c r="K2228" s="33" t="s">
        <v>6898</v>
      </c>
      <c r="L2228" s="33" t="s">
        <v>3452</v>
      </c>
      <c r="M2228" s="33" t="s">
        <v>196</v>
      </c>
      <c r="N2228" s="33" t="s">
        <v>42</v>
      </c>
      <c r="Q2228" s="33" t="s">
        <v>8143</v>
      </c>
    </row>
    <row r="2229" spans="1:17" hidden="1">
      <c r="A2229" s="33" t="s">
        <v>8265</v>
      </c>
      <c r="B2229" s="33" t="s">
        <v>8266</v>
      </c>
      <c r="C2229" s="33" t="s">
        <v>1891</v>
      </c>
      <c r="D2229" s="33" t="s">
        <v>57</v>
      </c>
      <c r="E2229" s="33" t="s">
        <v>6609</v>
      </c>
      <c r="G2229" s="33" t="s">
        <v>41</v>
      </c>
      <c r="H2229" s="33" t="s">
        <v>1879</v>
      </c>
      <c r="I2229" s="33" t="s">
        <v>1879</v>
      </c>
      <c r="J2229" s="33" t="s">
        <v>8267</v>
      </c>
      <c r="K2229" s="33" t="s">
        <v>6611</v>
      </c>
      <c r="L2229" s="33" t="s">
        <v>1206</v>
      </c>
      <c r="M2229" s="33" t="str">
        <f>_xlfn.XLOOKUP(Tabela14[[#This Row],[Responsável]],Organograma!H:H,Organograma!G:G,"")</f>
        <v>AMB - Unidade Ambulatorial</v>
      </c>
      <c r="N2229" s="33" t="s">
        <v>42</v>
      </c>
      <c r="Q2229" s="33" t="s">
        <v>8143</v>
      </c>
    </row>
    <row r="2230" spans="1:17">
      <c r="A2230" s="33" t="s">
        <v>8268</v>
      </c>
      <c r="B2230" s="33" t="s">
        <v>8269</v>
      </c>
      <c r="C2230" s="33" t="s">
        <v>1891</v>
      </c>
      <c r="D2230" s="33" t="s">
        <v>41</v>
      </c>
      <c r="E2230" s="33" t="s">
        <v>935</v>
      </c>
      <c r="G2230" s="33" t="s">
        <v>41</v>
      </c>
      <c r="H2230" s="33" t="s">
        <v>1879</v>
      </c>
      <c r="I2230" s="33" t="s">
        <v>1879</v>
      </c>
      <c r="J2230" s="33" t="s">
        <v>8270</v>
      </c>
      <c r="K2230" s="33" t="s">
        <v>6898</v>
      </c>
      <c r="L2230" s="33" t="s">
        <v>3436</v>
      </c>
      <c r="M2230" s="33" t="s">
        <v>69</v>
      </c>
      <c r="N2230" s="33" t="s">
        <v>42</v>
      </c>
      <c r="Q2230" s="33" t="s">
        <v>8143</v>
      </c>
    </row>
    <row r="2231" spans="1:17">
      <c r="A2231" s="33" t="s">
        <v>8271</v>
      </c>
      <c r="B2231" s="33" t="s">
        <v>8272</v>
      </c>
      <c r="C2231" s="33" t="s">
        <v>1891</v>
      </c>
      <c r="D2231" s="33" t="s">
        <v>41</v>
      </c>
      <c r="E2231" s="33" t="s">
        <v>935</v>
      </c>
      <c r="G2231" s="33" t="s">
        <v>41</v>
      </c>
      <c r="H2231" s="33" t="s">
        <v>1879</v>
      </c>
      <c r="I2231" s="33" t="s">
        <v>1879</v>
      </c>
      <c r="J2231" s="33" t="s">
        <v>8273</v>
      </c>
      <c r="K2231" s="33" t="s">
        <v>6898</v>
      </c>
      <c r="L2231" s="33" t="s">
        <v>3436</v>
      </c>
      <c r="M2231" s="33" t="s">
        <v>69</v>
      </c>
      <c r="N2231" s="33" t="s">
        <v>42</v>
      </c>
      <c r="Q2231" s="33" t="s">
        <v>8143</v>
      </c>
    </row>
    <row r="2232" spans="1:17">
      <c r="A2232" s="33" t="s">
        <v>8274</v>
      </c>
      <c r="B2232" s="33" t="s">
        <v>8275</v>
      </c>
      <c r="C2232" s="33" t="s">
        <v>1891</v>
      </c>
      <c r="D2232" s="33" t="s">
        <v>41</v>
      </c>
      <c r="E2232" s="33" t="s">
        <v>935</v>
      </c>
      <c r="G2232" s="33" t="s">
        <v>41</v>
      </c>
      <c r="H2232" s="33" t="s">
        <v>1879</v>
      </c>
      <c r="I2232" s="33" t="s">
        <v>1879</v>
      </c>
      <c r="J2232" s="33" t="s">
        <v>8276</v>
      </c>
      <c r="K2232" s="33" t="s">
        <v>6898</v>
      </c>
      <c r="L2232" s="33" t="s">
        <v>7317</v>
      </c>
      <c r="M2232" s="33" t="s">
        <v>69</v>
      </c>
      <c r="N2232" s="33" t="s">
        <v>42</v>
      </c>
      <c r="Q2232" s="33" t="s">
        <v>8143</v>
      </c>
    </row>
    <row r="2233" spans="1:17">
      <c r="A2233" s="33" t="s">
        <v>8277</v>
      </c>
      <c r="B2233" s="33" t="s">
        <v>8278</v>
      </c>
      <c r="C2233" s="33" t="s">
        <v>1891</v>
      </c>
      <c r="D2233" s="33" t="s">
        <v>41</v>
      </c>
      <c r="E2233" s="33" t="s">
        <v>3976</v>
      </c>
      <c r="G2233" s="33" t="s">
        <v>41</v>
      </c>
      <c r="H2233" s="33" t="s">
        <v>1879</v>
      </c>
      <c r="I2233" s="33" t="s">
        <v>1879</v>
      </c>
      <c r="J2233" s="33" t="s">
        <v>8279</v>
      </c>
      <c r="K2233" s="33" t="s">
        <v>6898</v>
      </c>
      <c r="L2233" s="33" t="s">
        <v>1881</v>
      </c>
      <c r="M2233" s="33" t="s">
        <v>69</v>
      </c>
      <c r="N2233" s="33" t="s">
        <v>42</v>
      </c>
      <c r="Q2233" s="33" t="s">
        <v>8143</v>
      </c>
    </row>
    <row r="2234" spans="1:17">
      <c r="A2234" s="33" t="s">
        <v>8280</v>
      </c>
      <c r="B2234" s="33" t="s">
        <v>8281</v>
      </c>
      <c r="C2234" s="33" t="s">
        <v>1891</v>
      </c>
      <c r="D2234" s="33" t="s">
        <v>41</v>
      </c>
      <c r="E2234" s="33" t="s">
        <v>935</v>
      </c>
      <c r="G2234" s="33" t="s">
        <v>41</v>
      </c>
      <c r="H2234" s="33" t="s">
        <v>1879</v>
      </c>
      <c r="I2234" s="33" t="s">
        <v>1879</v>
      </c>
      <c r="J2234" s="33" t="s">
        <v>8282</v>
      </c>
      <c r="K2234" s="33" t="s">
        <v>6898</v>
      </c>
      <c r="L2234" s="33" t="s">
        <v>7317</v>
      </c>
      <c r="M2234" s="33" t="s">
        <v>69</v>
      </c>
      <c r="N2234" s="33" t="s">
        <v>42</v>
      </c>
      <c r="Q2234" s="33" t="s">
        <v>8143</v>
      </c>
    </row>
    <row r="2235" spans="1:17">
      <c r="A2235" s="33" t="s">
        <v>8283</v>
      </c>
      <c r="B2235" s="33" t="s">
        <v>8284</v>
      </c>
      <c r="C2235" s="33" t="s">
        <v>1891</v>
      </c>
      <c r="D2235" s="33" t="s">
        <v>41</v>
      </c>
      <c r="E2235" s="33" t="s">
        <v>935</v>
      </c>
      <c r="G2235" s="33" t="s">
        <v>41</v>
      </c>
      <c r="H2235" s="33" t="s">
        <v>1879</v>
      </c>
      <c r="I2235" s="33" t="s">
        <v>1879</v>
      </c>
      <c r="J2235" s="33" t="s">
        <v>8285</v>
      </c>
      <c r="K2235" s="33" t="s">
        <v>6898</v>
      </c>
      <c r="L2235" s="33" t="s">
        <v>3091</v>
      </c>
      <c r="M2235" s="33" t="s">
        <v>1402</v>
      </c>
      <c r="N2235" s="33" t="s">
        <v>42</v>
      </c>
      <c r="Q2235" s="33" t="s">
        <v>8143</v>
      </c>
    </row>
    <row r="2236" spans="1:17" hidden="1">
      <c r="A2236" s="33" t="s">
        <v>8168</v>
      </c>
      <c r="B2236" s="33" t="s">
        <v>8169</v>
      </c>
      <c r="C2236" s="33" t="s">
        <v>1891</v>
      </c>
      <c r="D2236" s="33" t="s">
        <v>2349</v>
      </c>
      <c r="E2236" s="33" t="s">
        <v>6609</v>
      </c>
      <c r="G2236" s="33" t="s">
        <v>41</v>
      </c>
      <c r="H2236" s="33" t="s">
        <v>8141</v>
      </c>
      <c r="I2236" s="33" t="s">
        <v>8141</v>
      </c>
      <c r="J2236" s="33" t="s">
        <v>8170</v>
      </c>
      <c r="K2236" s="33" t="s">
        <v>6611</v>
      </c>
      <c r="L2236" s="33" t="s">
        <v>8141</v>
      </c>
      <c r="M2236" s="33" t="s">
        <v>91</v>
      </c>
      <c r="N2236" s="33" t="s">
        <v>42</v>
      </c>
      <c r="Q2236" s="33" t="s">
        <v>8143</v>
      </c>
    </row>
    <row r="2237" spans="1:17">
      <c r="A2237" s="33" t="s">
        <v>8466</v>
      </c>
      <c r="B2237" s="33" t="s">
        <v>8467</v>
      </c>
      <c r="C2237" s="33" t="s">
        <v>1891</v>
      </c>
      <c r="D2237" s="33" t="s">
        <v>2349</v>
      </c>
      <c r="E2237" s="33" t="s">
        <v>7093</v>
      </c>
      <c r="G2237" s="33" t="s">
        <v>41</v>
      </c>
      <c r="H2237" s="33" t="s">
        <v>2529</v>
      </c>
      <c r="I2237" s="33" t="s">
        <v>2529</v>
      </c>
      <c r="J2237" s="33" t="s">
        <v>8468</v>
      </c>
      <c r="K2237" s="33" t="s">
        <v>6611</v>
      </c>
      <c r="L2237" s="33" t="s">
        <v>3564</v>
      </c>
      <c r="M2237" s="33" t="s">
        <v>92</v>
      </c>
      <c r="N2237" s="33" t="s">
        <v>42</v>
      </c>
      <c r="Q2237" s="33" t="s">
        <v>8143</v>
      </c>
    </row>
    <row r="2238" spans="1:17">
      <c r="A2238" s="33" t="s">
        <v>8292</v>
      </c>
      <c r="B2238" s="33" t="s">
        <v>8293</v>
      </c>
      <c r="C2238" s="33" t="s">
        <v>1891</v>
      </c>
      <c r="D2238" s="33" t="s">
        <v>41</v>
      </c>
      <c r="E2238" s="33" t="s">
        <v>935</v>
      </c>
      <c r="G2238" s="33" t="s">
        <v>41</v>
      </c>
      <c r="H2238" s="33" t="s">
        <v>1879</v>
      </c>
      <c r="I2238" s="33" t="s">
        <v>1879</v>
      </c>
      <c r="J2238" s="33" t="s">
        <v>8294</v>
      </c>
      <c r="K2238" s="33" t="s">
        <v>6898</v>
      </c>
      <c r="L2238" s="33" t="s">
        <v>2735</v>
      </c>
      <c r="M2238" s="33" t="s">
        <v>1402</v>
      </c>
      <c r="N2238" s="33" t="s">
        <v>42</v>
      </c>
      <c r="Q2238" s="33" t="s">
        <v>8143</v>
      </c>
    </row>
    <row r="2239" spans="1:17">
      <c r="A2239" s="33" t="s">
        <v>8295</v>
      </c>
      <c r="B2239" s="33" t="s">
        <v>8296</v>
      </c>
      <c r="C2239" s="33" t="s">
        <v>1891</v>
      </c>
      <c r="D2239" s="33" t="s">
        <v>41</v>
      </c>
      <c r="E2239" s="33" t="s">
        <v>935</v>
      </c>
      <c r="G2239" s="33" t="s">
        <v>41</v>
      </c>
      <c r="H2239" s="33" t="s">
        <v>1879</v>
      </c>
      <c r="I2239" s="33" t="s">
        <v>1879</v>
      </c>
      <c r="J2239" s="33" t="s">
        <v>8297</v>
      </c>
      <c r="K2239" s="33" t="s">
        <v>6898</v>
      </c>
      <c r="L2239" s="33" t="s">
        <v>3091</v>
      </c>
      <c r="M2239" s="33" t="s">
        <v>1402</v>
      </c>
      <c r="N2239" s="33" t="s">
        <v>42</v>
      </c>
      <c r="Q2239" s="33" t="s">
        <v>8143</v>
      </c>
    </row>
    <row r="2240" spans="1:17">
      <c r="A2240" s="33" t="s">
        <v>8298</v>
      </c>
      <c r="B2240" s="33" t="s">
        <v>8299</v>
      </c>
      <c r="C2240" s="33" t="s">
        <v>1891</v>
      </c>
      <c r="D2240" s="33" t="s">
        <v>41</v>
      </c>
      <c r="E2240" s="33" t="s">
        <v>935</v>
      </c>
      <c r="G2240" s="33" t="s">
        <v>41</v>
      </c>
      <c r="H2240" s="33" t="s">
        <v>1879</v>
      </c>
      <c r="I2240" s="33" t="s">
        <v>1879</v>
      </c>
      <c r="J2240" s="33" t="s">
        <v>8300</v>
      </c>
      <c r="K2240" s="33" t="s">
        <v>6898</v>
      </c>
      <c r="L2240" s="33" t="s">
        <v>2735</v>
      </c>
      <c r="M2240" s="33" t="s">
        <v>1402</v>
      </c>
      <c r="N2240" s="33" t="s">
        <v>42</v>
      </c>
      <c r="Q2240" s="33" t="s">
        <v>8143</v>
      </c>
    </row>
    <row r="2241" spans="1:17">
      <c r="A2241" s="33" t="s">
        <v>8301</v>
      </c>
      <c r="B2241" s="33" t="s">
        <v>8302</v>
      </c>
      <c r="C2241" s="33" t="s">
        <v>1891</v>
      </c>
      <c r="D2241" s="33" t="s">
        <v>41</v>
      </c>
      <c r="E2241" s="33" t="s">
        <v>935</v>
      </c>
      <c r="G2241" s="33" t="s">
        <v>41</v>
      </c>
      <c r="H2241" s="33" t="s">
        <v>1879</v>
      </c>
      <c r="I2241" s="33" t="s">
        <v>1879</v>
      </c>
      <c r="J2241" s="33" t="s">
        <v>8303</v>
      </c>
      <c r="K2241" s="33" t="s">
        <v>6898</v>
      </c>
      <c r="L2241" s="33" t="s">
        <v>2237</v>
      </c>
      <c r="M2241" s="33" t="s">
        <v>1402</v>
      </c>
      <c r="N2241" s="33" t="s">
        <v>42</v>
      </c>
      <c r="Q2241" s="33" t="s">
        <v>8143</v>
      </c>
    </row>
    <row r="2242" spans="1:17">
      <c r="A2242" s="33" t="s">
        <v>8304</v>
      </c>
      <c r="B2242" s="33" t="s">
        <v>8305</v>
      </c>
      <c r="C2242" s="33" t="s">
        <v>1891</v>
      </c>
      <c r="D2242" s="33" t="s">
        <v>65</v>
      </c>
      <c r="E2242" s="33" t="s">
        <v>7018</v>
      </c>
      <c r="G2242" s="33" t="s">
        <v>41</v>
      </c>
      <c r="H2242" s="33" t="s">
        <v>1879</v>
      </c>
      <c r="I2242" s="33" t="s">
        <v>1879</v>
      </c>
      <c r="J2242" s="33" t="s">
        <v>8306</v>
      </c>
      <c r="K2242" s="33" t="s">
        <v>6737</v>
      </c>
      <c r="L2242" s="33" t="s">
        <v>3318</v>
      </c>
      <c r="M2242" s="33" t="str">
        <f>_xlfn.XLOOKUP(Tabela14[[#This Row],[Responsável]],Organograma!H:H,Organograma!G:G,"")</f>
        <v>CGO - Unidade de Internação Ginecobstétrica</v>
      </c>
      <c r="N2242" s="33" t="s">
        <v>42</v>
      </c>
      <c r="Q2242" s="33" t="s">
        <v>8143</v>
      </c>
    </row>
    <row r="2243" spans="1:17">
      <c r="A2243" s="33" t="s">
        <v>8307</v>
      </c>
      <c r="B2243" s="33" t="s">
        <v>8308</v>
      </c>
      <c r="C2243" s="33" t="s">
        <v>1891</v>
      </c>
      <c r="D2243" s="33" t="s">
        <v>41</v>
      </c>
      <c r="E2243" s="33" t="s">
        <v>3976</v>
      </c>
      <c r="G2243" s="33" t="s">
        <v>41</v>
      </c>
      <c r="H2243" s="33" t="s">
        <v>1879</v>
      </c>
      <c r="I2243" s="33" t="s">
        <v>1879</v>
      </c>
      <c r="J2243" s="33" t="s">
        <v>8309</v>
      </c>
      <c r="K2243" s="33" t="s">
        <v>6898</v>
      </c>
      <c r="L2243" s="33" t="s">
        <v>3246</v>
      </c>
      <c r="M2243" s="33" t="s">
        <v>1083</v>
      </c>
      <c r="N2243" s="33" t="s">
        <v>42</v>
      </c>
      <c r="Q2243" s="33" t="s">
        <v>8143</v>
      </c>
    </row>
    <row r="2244" spans="1:17">
      <c r="A2244" s="33" t="s">
        <v>8310</v>
      </c>
      <c r="B2244" s="33" t="s">
        <v>8311</v>
      </c>
      <c r="C2244" s="33" t="s">
        <v>1891</v>
      </c>
      <c r="D2244" s="33" t="s">
        <v>41</v>
      </c>
      <c r="E2244" s="33" t="s">
        <v>3976</v>
      </c>
      <c r="G2244" s="33" t="s">
        <v>41</v>
      </c>
      <c r="H2244" s="33" t="s">
        <v>1879</v>
      </c>
      <c r="I2244" s="33" t="s">
        <v>1879</v>
      </c>
      <c r="J2244" s="33" t="s">
        <v>8312</v>
      </c>
      <c r="K2244" s="33" t="s">
        <v>6898</v>
      </c>
      <c r="L2244" s="33" t="s">
        <v>3246</v>
      </c>
      <c r="M2244" s="33" t="s">
        <v>1083</v>
      </c>
      <c r="N2244" s="33" t="s">
        <v>42</v>
      </c>
      <c r="Q2244" s="33" t="s">
        <v>8143</v>
      </c>
    </row>
    <row r="2245" spans="1:17">
      <c r="A2245" s="33" t="s">
        <v>8313</v>
      </c>
      <c r="B2245" s="33" t="s">
        <v>8314</v>
      </c>
      <c r="C2245" s="33" t="s">
        <v>1891</v>
      </c>
      <c r="D2245" s="33" t="s">
        <v>41</v>
      </c>
      <c r="E2245" s="33" t="s">
        <v>3976</v>
      </c>
      <c r="G2245" s="33" t="s">
        <v>41</v>
      </c>
      <c r="H2245" s="33" t="s">
        <v>1879</v>
      </c>
      <c r="I2245" s="33" t="s">
        <v>1879</v>
      </c>
      <c r="J2245" s="33" t="s">
        <v>8315</v>
      </c>
      <c r="K2245" s="33" t="s">
        <v>6898</v>
      </c>
      <c r="L2245" s="33" t="s">
        <v>3246</v>
      </c>
      <c r="M2245" s="33" t="s">
        <v>1083</v>
      </c>
      <c r="N2245" s="33" t="s">
        <v>42</v>
      </c>
      <c r="Q2245" s="33" t="s">
        <v>8143</v>
      </c>
    </row>
    <row r="2246" spans="1:17">
      <c r="A2246" s="33" t="s">
        <v>8316</v>
      </c>
      <c r="B2246" s="33" t="s">
        <v>8317</v>
      </c>
      <c r="C2246" s="33" t="s">
        <v>1891</v>
      </c>
      <c r="D2246" s="33" t="s">
        <v>41</v>
      </c>
      <c r="E2246" s="33" t="s">
        <v>3976</v>
      </c>
      <c r="G2246" s="33" t="s">
        <v>41</v>
      </c>
      <c r="H2246" s="33" t="s">
        <v>1879</v>
      </c>
      <c r="I2246" s="33" t="s">
        <v>1879</v>
      </c>
      <c r="J2246" s="33" t="s">
        <v>8318</v>
      </c>
      <c r="K2246" s="33" t="s">
        <v>6898</v>
      </c>
      <c r="L2246" s="33" t="s">
        <v>3246</v>
      </c>
      <c r="M2246" s="33" t="s">
        <v>1083</v>
      </c>
      <c r="N2246" s="33" t="s">
        <v>42</v>
      </c>
      <c r="Q2246" s="33" t="s">
        <v>8143</v>
      </c>
    </row>
    <row r="2247" spans="1:17">
      <c r="A2247" s="33" t="s">
        <v>8319</v>
      </c>
      <c r="B2247" s="33" t="s">
        <v>8320</v>
      </c>
      <c r="C2247" s="33" t="s">
        <v>1891</v>
      </c>
      <c r="D2247" s="33" t="s">
        <v>41</v>
      </c>
      <c r="E2247" s="33" t="s">
        <v>3976</v>
      </c>
      <c r="G2247" s="33" t="s">
        <v>41</v>
      </c>
      <c r="H2247" s="33" t="s">
        <v>1879</v>
      </c>
      <c r="I2247" s="33" t="s">
        <v>1879</v>
      </c>
      <c r="J2247" s="33" t="s">
        <v>8321</v>
      </c>
      <c r="K2247" s="33" t="s">
        <v>6898</v>
      </c>
      <c r="L2247" s="33" t="s">
        <v>3246</v>
      </c>
      <c r="M2247" s="33" t="s">
        <v>1083</v>
      </c>
      <c r="N2247" s="33" t="s">
        <v>42</v>
      </c>
      <c r="Q2247" s="33" t="s">
        <v>8143</v>
      </c>
    </row>
    <row r="2248" spans="1:17">
      <c r="A2248" s="33" t="s">
        <v>8322</v>
      </c>
      <c r="B2248" s="33" t="s">
        <v>8323</v>
      </c>
      <c r="C2248" s="33" t="s">
        <v>1891</v>
      </c>
      <c r="D2248" s="33" t="s">
        <v>41</v>
      </c>
      <c r="E2248" s="33" t="s">
        <v>3976</v>
      </c>
      <c r="G2248" s="33" t="s">
        <v>41</v>
      </c>
      <c r="H2248" s="33" t="s">
        <v>1879</v>
      </c>
      <c r="I2248" s="33" t="s">
        <v>1879</v>
      </c>
      <c r="J2248" s="33" t="s">
        <v>8324</v>
      </c>
      <c r="K2248" s="33" t="s">
        <v>6898</v>
      </c>
      <c r="L2248" s="33" t="s">
        <v>3246</v>
      </c>
      <c r="M2248" s="33" t="s">
        <v>1083</v>
      </c>
      <c r="N2248" s="33" t="s">
        <v>42</v>
      </c>
      <c r="Q2248" s="33" t="s">
        <v>8143</v>
      </c>
    </row>
    <row r="2249" spans="1:17">
      <c r="A2249" s="33" t="s">
        <v>8325</v>
      </c>
      <c r="B2249" s="33" t="s">
        <v>8326</v>
      </c>
      <c r="C2249" s="33" t="s">
        <v>1891</v>
      </c>
      <c r="D2249" s="33" t="s">
        <v>41</v>
      </c>
      <c r="E2249" s="33" t="s">
        <v>3976</v>
      </c>
      <c r="G2249" s="33" t="s">
        <v>41</v>
      </c>
      <c r="H2249" s="33" t="s">
        <v>1879</v>
      </c>
      <c r="I2249" s="33" t="s">
        <v>1879</v>
      </c>
      <c r="J2249" s="33" t="s">
        <v>8327</v>
      </c>
      <c r="K2249" s="33" t="s">
        <v>6898</v>
      </c>
      <c r="L2249" s="33" t="s">
        <v>1881</v>
      </c>
      <c r="M2249" s="33" t="s">
        <v>194</v>
      </c>
      <c r="N2249" s="33" t="s">
        <v>42</v>
      </c>
      <c r="Q2249" s="33" t="s">
        <v>8143</v>
      </c>
    </row>
    <row r="2250" spans="1:17">
      <c r="A2250" s="33" t="s">
        <v>8328</v>
      </c>
      <c r="B2250" s="33" t="s">
        <v>8329</v>
      </c>
      <c r="C2250" s="33" t="s">
        <v>1891</v>
      </c>
      <c r="D2250" s="33" t="s">
        <v>41</v>
      </c>
      <c r="E2250" s="33" t="s">
        <v>3976</v>
      </c>
      <c r="G2250" s="33" t="s">
        <v>41</v>
      </c>
      <c r="H2250" s="33" t="s">
        <v>1879</v>
      </c>
      <c r="I2250" s="33" t="s">
        <v>1879</v>
      </c>
      <c r="J2250" s="33" t="s">
        <v>8330</v>
      </c>
      <c r="K2250" s="33" t="s">
        <v>6898</v>
      </c>
      <c r="L2250" s="33" t="s">
        <v>1881</v>
      </c>
      <c r="M2250" s="33" t="s">
        <v>194</v>
      </c>
      <c r="N2250" s="33" t="s">
        <v>42</v>
      </c>
      <c r="Q2250" s="33" t="s">
        <v>8143</v>
      </c>
    </row>
    <row r="2251" spans="1:17">
      <c r="A2251" s="33" t="s">
        <v>8331</v>
      </c>
      <c r="B2251" s="33" t="s">
        <v>8332</v>
      </c>
      <c r="C2251" s="33" t="s">
        <v>1891</v>
      </c>
      <c r="D2251" s="33" t="s">
        <v>41</v>
      </c>
      <c r="E2251" s="33" t="s">
        <v>935</v>
      </c>
      <c r="G2251" s="33" t="s">
        <v>41</v>
      </c>
      <c r="H2251" s="33" t="s">
        <v>1879</v>
      </c>
      <c r="I2251" s="33" t="s">
        <v>1879</v>
      </c>
      <c r="J2251" s="33" t="s">
        <v>8333</v>
      </c>
      <c r="K2251" s="33" t="s">
        <v>6898</v>
      </c>
      <c r="L2251" s="33" t="s">
        <v>7317</v>
      </c>
      <c r="M2251" s="33" t="s">
        <v>194</v>
      </c>
      <c r="N2251" s="33" t="s">
        <v>42</v>
      </c>
      <c r="Q2251" s="33" t="s">
        <v>8143</v>
      </c>
    </row>
    <row r="2252" spans="1:17">
      <c r="A2252" s="33" t="s">
        <v>8334</v>
      </c>
      <c r="B2252" s="33" t="s">
        <v>8335</v>
      </c>
      <c r="C2252" s="33" t="s">
        <v>1891</v>
      </c>
      <c r="D2252" s="33" t="s">
        <v>41</v>
      </c>
      <c r="E2252" s="33" t="s">
        <v>3976</v>
      </c>
      <c r="G2252" s="33" t="s">
        <v>41</v>
      </c>
      <c r="H2252" s="33" t="s">
        <v>1879</v>
      </c>
      <c r="I2252" s="33" t="s">
        <v>1879</v>
      </c>
      <c r="J2252" s="33" t="s">
        <v>8336</v>
      </c>
      <c r="K2252" s="33" t="s">
        <v>6898</v>
      </c>
      <c r="L2252" s="33" t="s">
        <v>1881</v>
      </c>
      <c r="M2252" s="33" t="s">
        <v>194</v>
      </c>
      <c r="N2252" s="33" t="s">
        <v>42</v>
      </c>
      <c r="Q2252" s="33" t="s">
        <v>8143</v>
      </c>
    </row>
    <row r="2253" spans="1:17">
      <c r="A2253" s="33" t="s">
        <v>8337</v>
      </c>
      <c r="B2253" s="33" t="s">
        <v>8338</v>
      </c>
      <c r="C2253" s="33" t="s">
        <v>1891</v>
      </c>
      <c r="D2253" s="33" t="s">
        <v>41</v>
      </c>
      <c r="E2253" s="33" t="s">
        <v>935</v>
      </c>
      <c r="G2253" s="33" t="s">
        <v>41</v>
      </c>
      <c r="H2253" s="33" t="s">
        <v>1879</v>
      </c>
      <c r="I2253" s="33" t="s">
        <v>1879</v>
      </c>
      <c r="J2253" s="33" t="s">
        <v>8339</v>
      </c>
      <c r="K2253" s="33" t="s">
        <v>6898</v>
      </c>
      <c r="L2253" s="33" t="s">
        <v>3436</v>
      </c>
      <c r="M2253" s="33" t="s">
        <v>195</v>
      </c>
      <c r="N2253" s="33" t="s">
        <v>42</v>
      </c>
      <c r="Q2253" s="33" t="s">
        <v>8143</v>
      </c>
    </row>
    <row r="2254" spans="1:17">
      <c r="A2254" s="33" t="s">
        <v>8340</v>
      </c>
      <c r="B2254" s="33" t="s">
        <v>8341</v>
      </c>
      <c r="C2254" s="33" t="s">
        <v>1891</v>
      </c>
      <c r="D2254" s="33" t="s">
        <v>41</v>
      </c>
      <c r="E2254" s="33" t="s">
        <v>935</v>
      </c>
      <c r="G2254" s="33" t="s">
        <v>41</v>
      </c>
      <c r="H2254" s="33" t="s">
        <v>1879</v>
      </c>
      <c r="I2254" s="33" t="s">
        <v>1879</v>
      </c>
      <c r="J2254" s="33" t="s">
        <v>8342</v>
      </c>
      <c r="K2254" s="33" t="s">
        <v>6898</v>
      </c>
      <c r="L2254" s="33" t="s">
        <v>3452</v>
      </c>
      <c r="M2254" s="33" t="s">
        <v>195</v>
      </c>
      <c r="N2254" s="33" t="s">
        <v>42</v>
      </c>
      <c r="Q2254" s="33" t="s">
        <v>8143</v>
      </c>
    </row>
    <row r="2255" spans="1:17">
      <c r="A2255" s="33" t="s">
        <v>8343</v>
      </c>
      <c r="B2255" s="33" t="s">
        <v>8344</v>
      </c>
      <c r="C2255" s="33" t="s">
        <v>1891</v>
      </c>
      <c r="D2255" s="33" t="s">
        <v>41</v>
      </c>
      <c r="E2255" s="33" t="s">
        <v>935</v>
      </c>
      <c r="G2255" s="33" t="s">
        <v>41</v>
      </c>
      <c r="H2255" s="33" t="s">
        <v>1879</v>
      </c>
      <c r="I2255" s="33" t="s">
        <v>1879</v>
      </c>
      <c r="J2255" s="33" t="s">
        <v>8345</v>
      </c>
      <c r="K2255" s="33" t="s">
        <v>6898</v>
      </c>
      <c r="L2255" s="33" t="s">
        <v>3452</v>
      </c>
      <c r="M2255" s="33" t="s">
        <v>195</v>
      </c>
      <c r="N2255" s="33" t="s">
        <v>42</v>
      </c>
      <c r="Q2255" s="33" t="s">
        <v>8143</v>
      </c>
    </row>
    <row r="2256" spans="1:17" hidden="1">
      <c r="A2256" s="33" t="s">
        <v>8346</v>
      </c>
      <c r="B2256" s="33" t="s">
        <v>8347</v>
      </c>
      <c r="C2256" s="33" t="s">
        <v>1891</v>
      </c>
      <c r="D2256" s="33" t="s">
        <v>57</v>
      </c>
      <c r="E2256" s="33" t="s">
        <v>6609</v>
      </c>
      <c r="G2256" s="33" t="s">
        <v>41</v>
      </c>
      <c r="H2256" s="33" t="s">
        <v>1903</v>
      </c>
      <c r="I2256" s="33" t="s">
        <v>1903</v>
      </c>
      <c r="J2256" s="33" t="s">
        <v>8348</v>
      </c>
      <c r="K2256" s="33" t="s">
        <v>6611</v>
      </c>
      <c r="L2256" s="33" t="s">
        <v>1206</v>
      </c>
      <c r="M2256" s="33" t="str">
        <f>_xlfn.XLOOKUP(Tabela14[[#This Row],[Responsável]],Organograma!H:H,Organograma!G:G,"")</f>
        <v>AMB - Unidade Ambulatorial</v>
      </c>
      <c r="N2256" s="33" t="s">
        <v>42</v>
      </c>
      <c r="Q2256" s="33" t="s">
        <v>8143</v>
      </c>
    </row>
    <row r="2257" spans="1:17">
      <c r="A2257" s="33" t="s">
        <v>8349</v>
      </c>
      <c r="B2257" s="33" t="s">
        <v>8350</v>
      </c>
      <c r="C2257" s="33" t="s">
        <v>1891</v>
      </c>
      <c r="D2257" s="33" t="s">
        <v>41</v>
      </c>
      <c r="E2257" s="33" t="s">
        <v>935</v>
      </c>
      <c r="G2257" s="33" t="s">
        <v>41</v>
      </c>
      <c r="H2257" s="33" t="s">
        <v>1903</v>
      </c>
      <c r="I2257" s="33" t="s">
        <v>1903</v>
      </c>
      <c r="J2257" s="33" t="s">
        <v>8351</v>
      </c>
      <c r="K2257" s="33" t="s">
        <v>6898</v>
      </c>
      <c r="L2257" s="33" t="s">
        <v>2902</v>
      </c>
      <c r="M2257" s="33" t="s">
        <v>92</v>
      </c>
      <c r="N2257" s="33" t="s">
        <v>42</v>
      </c>
      <c r="Q2257" s="33" t="s">
        <v>8143</v>
      </c>
    </row>
    <row r="2258" spans="1:17">
      <c r="A2258" s="33" t="s">
        <v>8352</v>
      </c>
      <c r="B2258" s="33" t="s">
        <v>8353</v>
      </c>
      <c r="C2258" s="33" t="s">
        <v>1891</v>
      </c>
      <c r="D2258" s="33" t="s">
        <v>41</v>
      </c>
      <c r="E2258" s="33" t="s">
        <v>935</v>
      </c>
      <c r="G2258" s="33" t="s">
        <v>41</v>
      </c>
      <c r="H2258" s="33" t="s">
        <v>1903</v>
      </c>
      <c r="I2258" s="33" t="s">
        <v>1903</v>
      </c>
      <c r="J2258" s="33" t="s">
        <v>8354</v>
      </c>
      <c r="K2258" s="33" t="s">
        <v>6898</v>
      </c>
      <c r="L2258" s="33" t="s">
        <v>3273</v>
      </c>
      <c r="M2258" s="33" t="s">
        <v>92</v>
      </c>
      <c r="N2258" s="33" t="s">
        <v>42</v>
      </c>
      <c r="Q2258" s="33" t="s">
        <v>8143</v>
      </c>
    </row>
    <row r="2259" spans="1:17">
      <c r="A2259" s="33" t="s">
        <v>8355</v>
      </c>
      <c r="B2259" s="33" t="s">
        <v>8356</v>
      </c>
      <c r="C2259" s="33" t="s">
        <v>1891</v>
      </c>
      <c r="D2259" s="33" t="s">
        <v>41</v>
      </c>
      <c r="E2259" s="33" t="s">
        <v>935</v>
      </c>
      <c r="G2259" s="33" t="s">
        <v>41</v>
      </c>
      <c r="H2259" s="33" t="s">
        <v>1903</v>
      </c>
      <c r="I2259" s="33" t="s">
        <v>1903</v>
      </c>
      <c r="J2259" s="33" t="s">
        <v>8357</v>
      </c>
      <c r="K2259" s="33" t="s">
        <v>6898</v>
      </c>
      <c r="L2259" s="33" t="s">
        <v>3273</v>
      </c>
      <c r="M2259" s="33" t="s">
        <v>92</v>
      </c>
      <c r="N2259" s="33" t="s">
        <v>42</v>
      </c>
      <c r="Q2259" s="33" t="s">
        <v>8143</v>
      </c>
    </row>
    <row r="2260" spans="1:17">
      <c r="A2260" s="33" t="s">
        <v>8358</v>
      </c>
      <c r="B2260" s="33" t="s">
        <v>8359</v>
      </c>
      <c r="C2260" s="33" t="s">
        <v>1891</v>
      </c>
      <c r="D2260" s="33" t="s">
        <v>41</v>
      </c>
      <c r="E2260" s="33" t="s">
        <v>3976</v>
      </c>
      <c r="G2260" s="33" t="s">
        <v>41</v>
      </c>
      <c r="H2260" s="33" t="s">
        <v>1903</v>
      </c>
      <c r="I2260" s="33" t="s">
        <v>1903</v>
      </c>
      <c r="J2260" s="33" t="s">
        <v>8360</v>
      </c>
      <c r="K2260" s="33" t="s">
        <v>1791</v>
      </c>
      <c r="L2260" s="33" t="s">
        <v>2473</v>
      </c>
      <c r="M2260" s="33" t="s">
        <v>92</v>
      </c>
      <c r="N2260" s="33" t="s">
        <v>42</v>
      </c>
      <c r="Q2260" s="33" t="s">
        <v>8143</v>
      </c>
    </row>
    <row r="2261" spans="1:17">
      <c r="A2261" s="33" t="s">
        <v>8361</v>
      </c>
      <c r="B2261" s="33" t="s">
        <v>8362</v>
      </c>
      <c r="C2261" s="33" t="s">
        <v>1891</v>
      </c>
      <c r="D2261" s="33" t="s">
        <v>41</v>
      </c>
      <c r="E2261" s="33" t="s">
        <v>935</v>
      </c>
      <c r="G2261" s="33" t="s">
        <v>41</v>
      </c>
      <c r="H2261" s="33" t="s">
        <v>1903</v>
      </c>
      <c r="I2261" s="33" t="s">
        <v>1903</v>
      </c>
      <c r="J2261" s="33" t="s">
        <v>8363</v>
      </c>
      <c r="K2261" s="33" t="s">
        <v>6898</v>
      </c>
      <c r="L2261" s="33" t="s">
        <v>3273</v>
      </c>
      <c r="M2261" s="33" t="s">
        <v>92</v>
      </c>
      <c r="N2261" s="33" t="s">
        <v>42</v>
      </c>
      <c r="Q2261" s="33" t="s">
        <v>8143</v>
      </c>
    </row>
    <row r="2262" spans="1:17">
      <c r="A2262" s="33" t="s">
        <v>8364</v>
      </c>
      <c r="B2262" s="33" t="s">
        <v>8365</v>
      </c>
      <c r="C2262" s="33" t="s">
        <v>1891</v>
      </c>
      <c r="D2262" s="33" t="s">
        <v>41</v>
      </c>
      <c r="E2262" s="33" t="s">
        <v>935</v>
      </c>
      <c r="G2262" s="33" t="s">
        <v>41</v>
      </c>
      <c r="H2262" s="33" t="s">
        <v>1903</v>
      </c>
      <c r="I2262" s="33" t="s">
        <v>1903</v>
      </c>
      <c r="J2262" s="33" t="s">
        <v>8366</v>
      </c>
      <c r="K2262" s="33" t="s">
        <v>6898</v>
      </c>
      <c r="L2262" s="33" t="s">
        <v>3273</v>
      </c>
      <c r="M2262" s="33" t="s">
        <v>92</v>
      </c>
      <c r="N2262" s="33" t="s">
        <v>42</v>
      </c>
      <c r="Q2262" s="33" t="s">
        <v>8143</v>
      </c>
    </row>
    <row r="2263" spans="1:17">
      <c r="A2263" s="33" t="s">
        <v>8367</v>
      </c>
      <c r="B2263" s="33" t="s">
        <v>8368</v>
      </c>
      <c r="C2263" s="33" t="s">
        <v>1891</v>
      </c>
      <c r="D2263" s="33" t="s">
        <v>41</v>
      </c>
      <c r="E2263" s="33" t="s">
        <v>935</v>
      </c>
      <c r="G2263" s="33" t="s">
        <v>41</v>
      </c>
      <c r="H2263" s="33" t="s">
        <v>1903</v>
      </c>
      <c r="I2263" s="33" t="s">
        <v>1903</v>
      </c>
      <c r="J2263" s="33" t="s">
        <v>8369</v>
      </c>
      <c r="K2263" s="33" t="s">
        <v>6898</v>
      </c>
      <c r="L2263" s="33" t="s">
        <v>3318</v>
      </c>
      <c r="M2263" s="33" t="s">
        <v>92</v>
      </c>
      <c r="N2263" s="33" t="s">
        <v>42</v>
      </c>
      <c r="Q2263" s="33" t="s">
        <v>8143</v>
      </c>
    </row>
    <row r="2264" spans="1:17">
      <c r="A2264" s="33" t="s">
        <v>8370</v>
      </c>
      <c r="B2264" s="33" t="s">
        <v>8371</v>
      </c>
      <c r="C2264" s="33" t="s">
        <v>1891</v>
      </c>
      <c r="D2264" s="33" t="s">
        <v>41</v>
      </c>
      <c r="E2264" s="33" t="s">
        <v>935</v>
      </c>
      <c r="G2264" s="33" t="s">
        <v>41</v>
      </c>
      <c r="H2264" s="33" t="s">
        <v>1903</v>
      </c>
      <c r="I2264" s="33" t="s">
        <v>1903</v>
      </c>
      <c r="J2264" s="33" t="s">
        <v>8372</v>
      </c>
      <c r="K2264" s="33" t="s">
        <v>6898</v>
      </c>
      <c r="L2264" s="33" t="s">
        <v>3318</v>
      </c>
      <c r="M2264" s="33" t="s">
        <v>92</v>
      </c>
      <c r="N2264" s="33" t="s">
        <v>42</v>
      </c>
      <c r="Q2264" s="33" t="s">
        <v>8143</v>
      </c>
    </row>
    <row r="2265" spans="1:17" hidden="1">
      <c r="A2265" s="33" t="s">
        <v>8373</v>
      </c>
      <c r="B2265" s="33" t="s">
        <v>8374</v>
      </c>
      <c r="C2265" s="33" t="s">
        <v>1891</v>
      </c>
      <c r="D2265" s="33" t="s">
        <v>41</v>
      </c>
      <c r="E2265" s="33" t="s">
        <v>6609</v>
      </c>
      <c r="G2265" s="33" t="s">
        <v>41</v>
      </c>
      <c r="H2265" s="33" t="s">
        <v>1903</v>
      </c>
      <c r="I2265" s="33" t="s">
        <v>1903</v>
      </c>
      <c r="J2265" s="33" t="s">
        <v>8375</v>
      </c>
      <c r="K2265" s="33" t="s">
        <v>6611</v>
      </c>
      <c r="L2265" s="33" t="s">
        <v>1903</v>
      </c>
      <c r="M2265" s="33" t="s">
        <v>9344</v>
      </c>
      <c r="N2265" s="33" t="s">
        <v>42</v>
      </c>
      <c r="Q2265" s="33" t="s">
        <v>8143</v>
      </c>
    </row>
    <row r="2266" spans="1:17" hidden="1">
      <c r="A2266" s="33" t="s">
        <v>8376</v>
      </c>
      <c r="B2266" s="33" t="s">
        <v>8377</v>
      </c>
      <c r="C2266" s="33" t="s">
        <v>1891</v>
      </c>
      <c r="D2266" s="33" t="s">
        <v>41</v>
      </c>
      <c r="E2266" s="33" t="s">
        <v>6609</v>
      </c>
      <c r="G2266" s="33" t="s">
        <v>41</v>
      </c>
      <c r="H2266" s="33" t="s">
        <v>1903</v>
      </c>
      <c r="I2266" s="33" t="s">
        <v>1903</v>
      </c>
      <c r="J2266" s="33" t="s">
        <v>8378</v>
      </c>
      <c r="K2266" s="33" t="s">
        <v>6611</v>
      </c>
      <c r="L2266" s="33" t="s">
        <v>1903</v>
      </c>
      <c r="M2266" s="33" t="s">
        <v>9344</v>
      </c>
      <c r="N2266" s="33" t="s">
        <v>42</v>
      </c>
      <c r="Q2266" s="33" t="s">
        <v>8143</v>
      </c>
    </row>
    <row r="2267" spans="1:17">
      <c r="A2267" s="33" t="s">
        <v>8379</v>
      </c>
      <c r="B2267" s="33" t="s">
        <v>8380</v>
      </c>
      <c r="C2267" s="33" t="s">
        <v>1891</v>
      </c>
      <c r="D2267" s="33" t="s">
        <v>41</v>
      </c>
      <c r="E2267" s="33" t="s">
        <v>3976</v>
      </c>
      <c r="G2267" s="33" t="s">
        <v>41</v>
      </c>
      <c r="H2267" s="33" t="s">
        <v>1945</v>
      </c>
      <c r="I2267" s="33" t="s">
        <v>1945</v>
      </c>
      <c r="J2267" s="33" t="s">
        <v>8381</v>
      </c>
      <c r="K2267" s="33" t="s">
        <v>6898</v>
      </c>
      <c r="L2267" s="33" t="s">
        <v>3246</v>
      </c>
      <c r="M2267" s="33" t="s">
        <v>1083</v>
      </c>
      <c r="N2267" s="33" t="s">
        <v>42</v>
      </c>
      <c r="Q2267" s="33" t="s">
        <v>8143</v>
      </c>
    </row>
    <row r="2268" spans="1:17">
      <c r="A2268" s="33" t="s">
        <v>8382</v>
      </c>
      <c r="B2268" s="33" t="s">
        <v>8383</v>
      </c>
      <c r="C2268" s="33" t="s">
        <v>1891</v>
      </c>
      <c r="D2268" s="33" t="s">
        <v>41</v>
      </c>
      <c r="E2268" s="33" t="s">
        <v>935</v>
      </c>
      <c r="G2268" s="33" t="s">
        <v>41</v>
      </c>
      <c r="H2268" s="33" t="s">
        <v>1945</v>
      </c>
      <c r="I2268" s="33" t="s">
        <v>1945</v>
      </c>
      <c r="J2268" s="33" t="s">
        <v>8384</v>
      </c>
      <c r="K2268" s="33" t="s">
        <v>6898</v>
      </c>
      <c r="L2268" s="33" t="s">
        <v>3318</v>
      </c>
      <c r="M2268" s="33" t="s">
        <v>92</v>
      </c>
      <c r="N2268" s="33" t="s">
        <v>42</v>
      </c>
      <c r="Q2268" s="33" t="s">
        <v>8143</v>
      </c>
    </row>
    <row r="2269" spans="1:17" hidden="1">
      <c r="A2269" s="33" t="s">
        <v>8385</v>
      </c>
      <c r="B2269" s="33" t="s">
        <v>8386</v>
      </c>
      <c r="C2269" s="33" t="s">
        <v>1891</v>
      </c>
      <c r="D2269" s="33" t="s">
        <v>67</v>
      </c>
      <c r="E2269" s="33" t="s">
        <v>6609</v>
      </c>
      <c r="G2269" s="33" t="s">
        <v>41</v>
      </c>
      <c r="H2269" s="33" t="s">
        <v>1945</v>
      </c>
      <c r="I2269" s="33" t="s">
        <v>1945</v>
      </c>
      <c r="J2269" s="33" t="s">
        <v>8387</v>
      </c>
      <c r="K2269" s="33" t="s">
        <v>6611</v>
      </c>
      <c r="L2269" s="33" t="s">
        <v>1945</v>
      </c>
      <c r="M2269" s="33" t="str">
        <f>_xlfn.XLOOKUP(Tabela14[[#This Row],[Responsável]],Organograma!H:H,Organograma!G:G,"")</f>
        <v>CC - Centro Cirúrgico</v>
      </c>
      <c r="N2269" s="33" t="s">
        <v>42</v>
      </c>
      <c r="Q2269" s="33" t="s">
        <v>8143</v>
      </c>
    </row>
    <row r="2270" spans="1:17">
      <c r="A2270" s="33" t="s">
        <v>8388</v>
      </c>
      <c r="B2270" s="33" t="s">
        <v>8389</v>
      </c>
      <c r="C2270" s="33" t="s">
        <v>1891</v>
      </c>
      <c r="D2270" s="33" t="s">
        <v>41</v>
      </c>
      <c r="E2270" s="33" t="s">
        <v>935</v>
      </c>
      <c r="G2270" s="33" t="s">
        <v>41</v>
      </c>
      <c r="H2270" s="33" t="s">
        <v>1945</v>
      </c>
      <c r="I2270" s="33" t="s">
        <v>1945</v>
      </c>
      <c r="J2270" s="33" t="s">
        <v>8390</v>
      </c>
      <c r="K2270" s="33" t="s">
        <v>6898</v>
      </c>
      <c r="L2270" s="33" t="s">
        <v>2647</v>
      </c>
      <c r="M2270" s="33" t="s">
        <v>92</v>
      </c>
      <c r="N2270" s="33" t="s">
        <v>42</v>
      </c>
      <c r="Q2270" s="33" t="s">
        <v>8143</v>
      </c>
    </row>
    <row r="2271" spans="1:17">
      <c r="A2271" s="33" t="s">
        <v>8391</v>
      </c>
      <c r="B2271" s="33" t="s">
        <v>8392</v>
      </c>
      <c r="C2271" s="33" t="s">
        <v>1891</v>
      </c>
      <c r="D2271" s="33" t="s">
        <v>41</v>
      </c>
      <c r="E2271" s="33" t="s">
        <v>935</v>
      </c>
      <c r="G2271" s="33" t="s">
        <v>41</v>
      </c>
      <c r="H2271" s="33" t="s">
        <v>1945</v>
      </c>
      <c r="I2271" s="33" t="s">
        <v>1945</v>
      </c>
      <c r="J2271" s="33" t="s">
        <v>8393</v>
      </c>
      <c r="K2271" s="33" t="s">
        <v>6898</v>
      </c>
      <c r="L2271" s="33" t="s">
        <v>7317</v>
      </c>
      <c r="M2271" s="33" t="s">
        <v>69</v>
      </c>
      <c r="N2271" s="33" t="s">
        <v>42</v>
      </c>
      <c r="Q2271" s="33" t="s">
        <v>8143</v>
      </c>
    </row>
    <row r="2272" spans="1:17" hidden="1">
      <c r="A2272" s="33" t="s">
        <v>8394</v>
      </c>
      <c r="B2272" s="33" t="s">
        <v>8395</v>
      </c>
      <c r="C2272" s="33" t="s">
        <v>1891</v>
      </c>
      <c r="D2272" s="33" t="s">
        <v>67</v>
      </c>
      <c r="E2272" s="33" t="s">
        <v>6609</v>
      </c>
      <c r="G2272" s="33" t="s">
        <v>41</v>
      </c>
      <c r="H2272" s="33" t="s">
        <v>1875</v>
      </c>
      <c r="I2272" s="33" t="s">
        <v>1875</v>
      </c>
      <c r="J2272" s="33" t="s">
        <v>8396</v>
      </c>
      <c r="K2272" s="33" t="s">
        <v>6611</v>
      </c>
      <c r="L2272" s="33" t="s">
        <v>1875</v>
      </c>
      <c r="M2272" s="33" t="str">
        <f>_xlfn.XLOOKUP(Tabela14[[#This Row],[Responsável]],Organograma!H:H,Organograma!G:G,"")</f>
        <v>CC - Centro Cirúrgico</v>
      </c>
      <c r="N2272" s="33" t="s">
        <v>42</v>
      </c>
      <c r="Q2272" s="33" t="s">
        <v>8143</v>
      </c>
    </row>
    <row r="2273" spans="1:17">
      <c r="A2273" s="33" t="s">
        <v>8397</v>
      </c>
      <c r="B2273" s="33" t="s">
        <v>8398</v>
      </c>
      <c r="C2273" s="33" t="s">
        <v>1891</v>
      </c>
      <c r="D2273" s="33" t="s">
        <v>41</v>
      </c>
      <c r="E2273" s="33" t="s">
        <v>935</v>
      </c>
      <c r="G2273" s="33" t="s">
        <v>41</v>
      </c>
      <c r="H2273" s="33" t="s">
        <v>1881</v>
      </c>
      <c r="I2273" s="33" t="s">
        <v>1881</v>
      </c>
      <c r="J2273" s="33" t="s">
        <v>8399</v>
      </c>
      <c r="K2273" s="33" t="s">
        <v>6898</v>
      </c>
      <c r="L2273" s="33" t="s">
        <v>3318</v>
      </c>
      <c r="M2273" s="33" t="s">
        <v>92</v>
      </c>
      <c r="N2273" s="33" t="s">
        <v>42</v>
      </c>
      <c r="Q2273" s="33" t="s">
        <v>8143</v>
      </c>
    </row>
    <row r="2274" spans="1:17">
      <c r="A2274" s="33" t="s">
        <v>8400</v>
      </c>
      <c r="B2274" s="33" t="s">
        <v>8401</v>
      </c>
      <c r="C2274" s="33" t="s">
        <v>1891</v>
      </c>
      <c r="D2274" s="33" t="s">
        <v>41</v>
      </c>
      <c r="E2274" s="33" t="s">
        <v>935</v>
      </c>
      <c r="G2274" s="33" t="s">
        <v>41</v>
      </c>
      <c r="H2274" s="33" t="s">
        <v>1881</v>
      </c>
      <c r="I2274" s="33" t="s">
        <v>1881</v>
      </c>
      <c r="J2274" s="33" t="s">
        <v>8402</v>
      </c>
      <c r="K2274" s="33" t="s">
        <v>6898</v>
      </c>
      <c r="L2274" s="33" t="s">
        <v>3318</v>
      </c>
      <c r="M2274" s="33" t="s">
        <v>92</v>
      </c>
      <c r="N2274" s="33" t="s">
        <v>42</v>
      </c>
      <c r="Q2274" s="33" t="s">
        <v>8143</v>
      </c>
    </row>
    <row r="2275" spans="1:17">
      <c r="A2275" s="33" t="s">
        <v>8403</v>
      </c>
      <c r="B2275" s="33" t="s">
        <v>8404</v>
      </c>
      <c r="C2275" s="33" t="s">
        <v>1891</v>
      </c>
      <c r="D2275" s="33" t="s">
        <v>41</v>
      </c>
      <c r="E2275" s="33" t="s">
        <v>3976</v>
      </c>
      <c r="G2275" s="33" t="s">
        <v>41</v>
      </c>
      <c r="H2275" s="33" t="s">
        <v>1881</v>
      </c>
      <c r="I2275" s="33" t="s">
        <v>1881</v>
      </c>
      <c r="J2275" s="33" t="s">
        <v>8405</v>
      </c>
      <c r="K2275" s="33" t="s">
        <v>6898</v>
      </c>
      <c r="L2275" s="33" t="s">
        <v>5779</v>
      </c>
      <c r="M2275" s="33" t="s">
        <v>9344</v>
      </c>
      <c r="N2275" s="33" t="s">
        <v>42</v>
      </c>
      <c r="Q2275" s="33" t="s">
        <v>8143</v>
      </c>
    </row>
    <row r="2276" spans="1:17">
      <c r="A2276" s="33" t="s">
        <v>8406</v>
      </c>
      <c r="B2276" s="33" t="s">
        <v>8407</v>
      </c>
      <c r="C2276" s="33" t="s">
        <v>1891</v>
      </c>
      <c r="D2276" s="33" t="s">
        <v>41</v>
      </c>
      <c r="E2276" s="33" t="s">
        <v>935</v>
      </c>
      <c r="G2276" s="33" t="s">
        <v>41</v>
      </c>
      <c r="H2276" s="33" t="s">
        <v>1881</v>
      </c>
      <c r="I2276" s="33" t="s">
        <v>1881</v>
      </c>
      <c r="J2276" s="33" t="s">
        <v>8408</v>
      </c>
      <c r="K2276" s="33" t="s">
        <v>6898</v>
      </c>
      <c r="L2276" s="33" t="s">
        <v>2769</v>
      </c>
      <c r="M2276" s="33" t="s">
        <v>196</v>
      </c>
      <c r="N2276" s="33" t="s">
        <v>42</v>
      </c>
      <c r="Q2276" s="33" t="s">
        <v>8143</v>
      </c>
    </row>
    <row r="2277" spans="1:17" hidden="1">
      <c r="A2277" s="33" t="s">
        <v>8409</v>
      </c>
      <c r="B2277" s="33" t="s">
        <v>8410</v>
      </c>
      <c r="C2277" s="33" t="s">
        <v>1891</v>
      </c>
      <c r="D2277" s="33" t="s">
        <v>57</v>
      </c>
      <c r="E2277" s="33" t="s">
        <v>6609</v>
      </c>
      <c r="G2277" s="33" t="s">
        <v>41</v>
      </c>
      <c r="H2277" s="33" t="s">
        <v>1881</v>
      </c>
      <c r="I2277" s="33" t="s">
        <v>1881</v>
      </c>
      <c r="J2277" s="33" t="s">
        <v>8411</v>
      </c>
      <c r="K2277" s="33" t="s">
        <v>6611</v>
      </c>
      <c r="L2277" s="33" t="s">
        <v>1206</v>
      </c>
      <c r="M2277" s="33" t="str">
        <f>_xlfn.XLOOKUP(Tabela14[[#This Row],[Responsável]],Organograma!H:H,Organograma!G:G,"")</f>
        <v>AMB - Unidade Ambulatorial</v>
      </c>
      <c r="N2277" s="33" t="s">
        <v>42</v>
      </c>
      <c r="Q2277" s="33" t="s">
        <v>8143</v>
      </c>
    </row>
    <row r="2278" spans="1:17">
      <c r="A2278" s="33" t="s">
        <v>8472</v>
      </c>
      <c r="B2278" s="33" t="s">
        <v>8473</v>
      </c>
      <c r="C2278" s="33" t="s">
        <v>1891</v>
      </c>
      <c r="D2278" s="33" t="s">
        <v>2349</v>
      </c>
      <c r="E2278" s="33" t="s">
        <v>7093</v>
      </c>
      <c r="G2278" s="33" t="s">
        <v>41</v>
      </c>
      <c r="H2278" s="33" t="s">
        <v>2529</v>
      </c>
      <c r="I2278" s="33" t="s">
        <v>2529</v>
      </c>
      <c r="J2278" s="33" t="s">
        <v>8474</v>
      </c>
      <c r="K2278" s="33" t="s">
        <v>6611</v>
      </c>
      <c r="L2278" s="33" t="s">
        <v>4039</v>
      </c>
      <c r="M2278" s="33" t="s">
        <v>91</v>
      </c>
      <c r="N2278" s="33" t="s">
        <v>42</v>
      </c>
      <c r="Q2278" s="33" t="s">
        <v>8143</v>
      </c>
    </row>
    <row r="2279" spans="1:17">
      <c r="A2279" s="33" t="s">
        <v>8415</v>
      </c>
      <c r="B2279" s="33" t="s">
        <v>8416</v>
      </c>
      <c r="C2279" s="33" t="s">
        <v>1891</v>
      </c>
      <c r="D2279" s="33" t="s">
        <v>41</v>
      </c>
      <c r="E2279" s="33" t="s">
        <v>3976</v>
      </c>
      <c r="G2279" s="33" t="s">
        <v>41</v>
      </c>
      <c r="H2279" s="33" t="s">
        <v>2243</v>
      </c>
      <c r="I2279" s="33" t="s">
        <v>2243</v>
      </c>
      <c r="J2279" s="33" t="s">
        <v>8417</v>
      </c>
      <c r="K2279" s="33" t="s">
        <v>6898</v>
      </c>
      <c r="L2279" s="33" t="s">
        <v>2243</v>
      </c>
      <c r="M2279" s="33" t="s">
        <v>194</v>
      </c>
      <c r="N2279" s="33" t="s">
        <v>42</v>
      </c>
      <c r="Q2279" s="33" t="s">
        <v>8143</v>
      </c>
    </row>
    <row r="2280" spans="1:17">
      <c r="A2280" s="33" t="s">
        <v>8418</v>
      </c>
      <c r="B2280" s="33" t="s">
        <v>8419</v>
      </c>
      <c r="C2280" s="33" t="s">
        <v>1891</v>
      </c>
      <c r="D2280" s="33" t="s">
        <v>41</v>
      </c>
      <c r="E2280" s="33" t="s">
        <v>3976</v>
      </c>
      <c r="G2280" s="33" t="s">
        <v>41</v>
      </c>
      <c r="H2280" s="33" t="s">
        <v>2243</v>
      </c>
      <c r="I2280" s="33" t="s">
        <v>2243</v>
      </c>
      <c r="J2280" s="33" t="s">
        <v>8420</v>
      </c>
      <c r="K2280" s="33" t="s">
        <v>6898</v>
      </c>
      <c r="L2280" s="33" t="s">
        <v>2243</v>
      </c>
      <c r="M2280" s="33" t="s">
        <v>194</v>
      </c>
      <c r="N2280" s="33" t="s">
        <v>42</v>
      </c>
      <c r="Q2280" s="33" t="s">
        <v>8143</v>
      </c>
    </row>
    <row r="2281" spans="1:17">
      <c r="A2281" s="33" t="s">
        <v>8421</v>
      </c>
      <c r="B2281" s="33" t="s">
        <v>8422</v>
      </c>
      <c r="C2281" s="33" t="s">
        <v>1891</v>
      </c>
      <c r="D2281" s="33" t="s">
        <v>41</v>
      </c>
      <c r="E2281" s="33" t="s">
        <v>3976</v>
      </c>
      <c r="G2281" s="33" t="s">
        <v>41</v>
      </c>
      <c r="H2281" s="33" t="s">
        <v>2243</v>
      </c>
      <c r="I2281" s="33" t="s">
        <v>2243</v>
      </c>
      <c r="J2281" s="33" t="s">
        <v>8423</v>
      </c>
      <c r="K2281" s="33" t="s">
        <v>6898</v>
      </c>
      <c r="L2281" s="33" t="s">
        <v>3365</v>
      </c>
      <c r="M2281" s="33" t="s">
        <v>1083</v>
      </c>
      <c r="N2281" s="33" t="s">
        <v>42</v>
      </c>
      <c r="Q2281" s="33" t="s">
        <v>8143</v>
      </c>
    </row>
    <row r="2282" spans="1:17">
      <c r="A2282" s="33" t="s">
        <v>8424</v>
      </c>
      <c r="B2282" s="33" t="s">
        <v>8425</v>
      </c>
      <c r="C2282" s="33" t="s">
        <v>1891</v>
      </c>
      <c r="D2282" s="33" t="s">
        <v>41</v>
      </c>
      <c r="E2282" s="33" t="s">
        <v>935</v>
      </c>
      <c r="G2282" s="33" t="s">
        <v>41</v>
      </c>
      <c r="H2282" s="33" t="s">
        <v>2211</v>
      </c>
      <c r="I2282" s="33" t="s">
        <v>2211</v>
      </c>
      <c r="J2282" s="33" t="s">
        <v>8426</v>
      </c>
      <c r="K2282" s="33" t="s">
        <v>6898</v>
      </c>
      <c r="L2282" s="33" t="s">
        <v>3318</v>
      </c>
      <c r="M2282" s="33" t="s">
        <v>92</v>
      </c>
      <c r="N2282" s="33" t="s">
        <v>42</v>
      </c>
      <c r="Q2282" s="33" t="s">
        <v>8143</v>
      </c>
    </row>
    <row r="2283" spans="1:17" hidden="1">
      <c r="A2283" s="33" t="s">
        <v>8427</v>
      </c>
      <c r="B2283" s="33" t="s">
        <v>8428</v>
      </c>
      <c r="C2283" s="33" t="s">
        <v>2443</v>
      </c>
      <c r="D2283" s="33" t="s">
        <v>41</v>
      </c>
      <c r="E2283" s="33" t="s">
        <v>1836</v>
      </c>
      <c r="G2283" s="33" t="s">
        <v>3879</v>
      </c>
      <c r="H2283" s="33" t="s">
        <v>2211</v>
      </c>
      <c r="I2283" s="33" t="s">
        <v>2211</v>
      </c>
      <c r="J2283" s="33" t="s">
        <v>8429</v>
      </c>
      <c r="K2283" s="33" t="s">
        <v>6898</v>
      </c>
      <c r="L2283" s="33" t="s">
        <v>2000</v>
      </c>
      <c r="M2283" s="33" t="str">
        <f>_xlfn.XLOOKUP(Tabela14[[#This Row],[Responsável]],Organograma!H:H,Organograma!G:G,"")</f>
        <v>APGQ - Assessoria de Planejamento e Gestão da Qualidade</v>
      </c>
      <c r="Q2283" s="33" t="s">
        <v>8143</v>
      </c>
    </row>
    <row r="2284" spans="1:17">
      <c r="A2284" s="33" t="s">
        <v>8430</v>
      </c>
      <c r="B2284" s="33" t="s">
        <v>8431</v>
      </c>
      <c r="C2284" s="33" t="s">
        <v>1891</v>
      </c>
      <c r="D2284" s="33" t="s">
        <v>41</v>
      </c>
      <c r="E2284" s="33" t="s">
        <v>3976</v>
      </c>
      <c r="G2284" s="33" t="s">
        <v>41</v>
      </c>
      <c r="H2284" s="33" t="s">
        <v>2000</v>
      </c>
      <c r="I2284" s="33" t="s">
        <v>2000</v>
      </c>
      <c r="J2284" s="33" t="s">
        <v>8432</v>
      </c>
      <c r="K2284" s="33" t="s">
        <v>6898</v>
      </c>
      <c r="L2284" s="33" t="s">
        <v>3795</v>
      </c>
      <c r="M2284" s="33" t="s">
        <v>91</v>
      </c>
      <c r="N2284" s="33" t="s">
        <v>42</v>
      </c>
      <c r="Q2284" s="33" t="s">
        <v>8143</v>
      </c>
    </row>
    <row r="2285" spans="1:17">
      <c r="A2285" s="33" t="s">
        <v>8433</v>
      </c>
      <c r="B2285" s="33" t="s">
        <v>8434</v>
      </c>
      <c r="C2285" s="33" t="s">
        <v>1891</v>
      </c>
      <c r="D2285" s="33" t="s">
        <v>41</v>
      </c>
      <c r="E2285" s="33" t="s">
        <v>935</v>
      </c>
      <c r="G2285" s="33" t="s">
        <v>41</v>
      </c>
      <c r="H2285" s="33" t="s">
        <v>2000</v>
      </c>
      <c r="I2285" s="33" t="s">
        <v>2000</v>
      </c>
      <c r="J2285" s="33" t="s">
        <v>8435</v>
      </c>
      <c r="K2285" s="33" t="s">
        <v>6898</v>
      </c>
      <c r="L2285" s="33" t="s">
        <v>3318</v>
      </c>
      <c r="M2285" s="33" t="s">
        <v>92</v>
      </c>
      <c r="N2285" s="33" t="s">
        <v>42</v>
      </c>
      <c r="Q2285" s="33" t="s">
        <v>8143</v>
      </c>
    </row>
    <row r="2286" spans="1:17">
      <c r="A2286" s="33" t="s">
        <v>8436</v>
      </c>
      <c r="B2286" s="33" t="s">
        <v>8437</v>
      </c>
      <c r="C2286" s="33" t="s">
        <v>1891</v>
      </c>
      <c r="D2286" s="33" t="s">
        <v>41</v>
      </c>
      <c r="E2286" s="33" t="s">
        <v>935</v>
      </c>
      <c r="G2286" s="33" t="s">
        <v>41</v>
      </c>
      <c r="H2286" s="33" t="s">
        <v>2000</v>
      </c>
      <c r="I2286" s="33" t="s">
        <v>2000</v>
      </c>
      <c r="J2286" s="33" t="s">
        <v>8438</v>
      </c>
      <c r="K2286" s="33" t="s">
        <v>6898</v>
      </c>
      <c r="L2286" s="33" t="s">
        <v>3318</v>
      </c>
      <c r="M2286" s="33" t="s">
        <v>93</v>
      </c>
      <c r="N2286" s="33" t="s">
        <v>42</v>
      </c>
      <c r="Q2286" s="33" t="s">
        <v>8143</v>
      </c>
    </row>
    <row r="2287" spans="1:17">
      <c r="A2287" s="33" t="s">
        <v>8680</v>
      </c>
      <c r="B2287" s="33" t="s">
        <v>8681</v>
      </c>
      <c r="C2287" s="33" t="s">
        <v>1891</v>
      </c>
      <c r="D2287" s="33" t="s">
        <v>2349</v>
      </c>
      <c r="E2287" s="33" t="s">
        <v>7093</v>
      </c>
      <c r="G2287" s="33" t="s">
        <v>41</v>
      </c>
      <c r="H2287" s="33" t="s">
        <v>2428</v>
      </c>
      <c r="I2287" s="33" t="s">
        <v>2428</v>
      </c>
      <c r="J2287" s="33" t="s">
        <v>8682</v>
      </c>
      <c r="K2287" s="33" t="s">
        <v>6611</v>
      </c>
      <c r="L2287" s="33" t="s">
        <v>4039</v>
      </c>
      <c r="M2287" s="33" t="s">
        <v>92</v>
      </c>
      <c r="N2287" s="33" t="s">
        <v>42</v>
      </c>
      <c r="Q2287" s="33" t="s">
        <v>8143</v>
      </c>
    </row>
    <row r="2288" spans="1:17">
      <c r="A2288" s="33" t="s">
        <v>8442</v>
      </c>
      <c r="B2288" s="33" t="s">
        <v>8443</v>
      </c>
      <c r="C2288" s="33" t="s">
        <v>1891</v>
      </c>
      <c r="D2288" s="33" t="s">
        <v>41</v>
      </c>
      <c r="E2288" s="33" t="s">
        <v>935</v>
      </c>
      <c r="G2288" s="33" t="s">
        <v>41</v>
      </c>
      <c r="H2288" s="33" t="s">
        <v>2420</v>
      </c>
      <c r="I2288" s="33" t="s">
        <v>2420</v>
      </c>
      <c r="J2288" s="33" t="s">
        <v>8444</v>
      </c>
      <c r="K2288" s="33" t="s">
        <v>6898</v>
      </c>
      <c r="L2288" s="33" t="s">
        <v>2692</v>
      </c>
      <c r="M2288" s="33" t="s">
        <v>1402</v>
      </c>
      <c r="N2288" s="33" t="s">
        <v>42</v>
      </c>
      <c r="Q2288" s="33" t="s">
        <v>8143</v>
      </c>
    </row>
    <row r="2289" spans="1:17" hidden="1">
      <c r="A2289" s="33" t="s">
        <v>8445</v>
      </c>
      <c r="B2289" s="33" t="s">
        <v>8446</v>
      </c>
      <c r="C2289" s="33" t="s">
        <v>1891</v>
      </c>
      <c r="D2289" s="33" t="s">
        <v>65</v>
      </c>
      <c r="E2289" s="33" t="s">
        <v>6609</v>
      </c>
      <c r="G2289" s="33" t="s">
        <v>41</v>
      </c>
      <c r="H2289" s="33" t="s">
        <v>2529</v>
      </c>
      <c r="I2289" s="33" t="s">
        <v>2529</v>
      </c>
      <c r="J2289" s="33" t="s">
        <v>8447</v>
      </c>
      <c r="K2289" s="33" t="s">
        <v>6611</v>
      </c>
      <c r="L2289" s="33" t="s">
        <v>5544</v>
      </c>
      <c r="M2289" s="33" t="str">
        <f>_xlfn.XLOOKUP(Tabela14[[#This Row],[Responsável]],Organograma!H:H,Organograma!G:G,"")</f>
        <v>CGO - Unidade de Internação Ginecobstétrica</v>
      </c>
      <c r="N2289" s="33" t="s">
        <v>42</v>
      </c>
      <c r="Q2289" s="33" t="s">
        <v>8143</v>
      </c>
    </row>
    <row r="2290" spans="1:17">
      <c r="A2290" s="33" t="s">
        <v>8448</v>
      </c>
      <c r="B2290" s="33" t="s">
        <v>8449</v>
      </c>
      <c r="C2290" s="33" t="s">
        <v>1891</v>
      </c>
      <c r="D2290" s="33" t="s">
        <v>41</v>
      </c>
      <c r="E2290" s="33" t="s">
        <v>3976</v>
      </c>
      <c r="G2290" s="33" t="s">
        <v>41</v>
      </c>
      <c r="H2290" s="33" t="s">
        <v>2529</v>
      </c>
      <c r="I2290" s="33" t="s">
        <v>2529</v>
      </c>
      <c r="J2290" s="33" t="s">
        <v>8450</v>
      </c>
      <c r="K2290" s="33" t="s">
        <v>6898</v>
      </c>
      <c r="L2290" s="33" t="s">
        <v>3246</v>
      </c>
      <c r="M2290" s="33" t="s">
        <v>1083</v>
      </c>
      <c r="N2290" s="33" t="s">
        <v>42</v>
      </c>
      <c r="Q2290" s="33" t="s">
        <v>8143</v>
      </c>
    </row>
    <row r="2291" spans="1:17">
      <c r="A2291" s="33" t="s">
        <v>8451</v>
      </c>
      <c r="B2291" s="33" t="s">
        <v>8452</v>
      </c>
      <c r="C2291" s="33" t="s">
        <v>1891</v>
      </c>
      <c r="D2291" s="33" t="s">
        <v>41</v>
      </c>
      <c r="E2291" s="33" t="s">
        <v>3976</v>
      </c>
      <c r="G2291" s="33" t="s">
        <v>41</v>
      </c>
      <c r="H2291" s="33" t="s">
        <v>2529</v>
      </c>
      <c r="I2291" s="33" t="s">
        <v>2529</v>
      </c>
      <c r="J2291" s="33" t="s">
        <v>8453</v>
      </c>
      <c r="K2291" s="33" t="s">
        <v>6898</v>
      </c>
      <c r="L2291" s="33" t="s">
        <v>3072</v>
      </c>
      <c r="M2291" s="33" t="s">
        <v>196</v>
      </c>
      <c r="N2291" s="33" t="s">
        <v>42</v>
      </c>
      <c r="Q2291" s="33" t="s">
        <v>8143</v>
      </c>
    </row>
    <row r="2292" spans="1:17" hidden="1">
      <c r="A2292" s="33" t="s">
        <v>8454</v>
      </c>
      <c r="B2292" s="33" t="s">
        <v>8455</v>
      </c>
      <c r="C2292" s="33" t="s">
        <v>1891</v>
      </c>
      <c r="D2292" s="33" t="s">
        <v>53</v>
      </c>
      <c r="E2292" s="33" t="s">
        <v>6609</v>
      </c>
      <c r="G2292" s="33" t="s">
        <v>53</v>
      </c>
      <c r="H2292" s="33" t="s">
        <v>2529</v>
      </c>
      <c r="I2292" s="33" t="s">
        <v>2529</v>
      </c>
      <c r="J2292" s="33" t="s">
        <v>8456</v>
      </c>
      <c r="K2292" s="33" t="s">
        <v>6611</v>
      </c>
      <c r="L2292" s="33" t="s">
        <v>945</v>
      </c>
      <c r="M2292" s="33" t="str">
        <f>_xlfn.XLOOKUP(Tabela14[[#This Row],[Responsável]],Organograma!H:H,Organograma!G:G,"")</f>
        <v>GRSS - Gerenciamento de Resíduos de Serviço de Saúde</v>
      </c>
      <c r="Q2292" s="33" t="s">
        <v>8143</v>
      </c>
    </row>
    <row r="2293" spans="1:17">
      <c r="A2293" s="33" t="s">
        <v>8457</v>
      </c>
      <c r="B2293" s="33" t="s">
        <v>8458</v>
      </c>
      <c r="C2293" s="33" t="s">
        <v>1891</v>
      </c>
      <c r="D2293" s="33" t="s">
        <v>41</v>
      </c>
      <c r="E2293" s="33" t="s">
        <v>3976</v>
      </c>
      <c r="G2293" s="33" t="s">
        <v>41</v>
      </c>
      <c r="H2293" s="33" t="s">
        <v>2529</v>
      </c>
      <c r="I2293" s="33" t="s">
        <v>2529</v>
      </c>
      <c r="J2293" s="33" t="s">
        <v>8459</v>
      </c>
      <c r="K2293" s="33" t="s">
        <v>6898</v>
      </c>
      <c r="L2293" s="33" t="s">
        <v>2541</v>
      </c>
      <c r="M2293" s="33" t="s">
        <v>69</v>
      </c>
      <c r="N2293" s="33" t="s">
        <v>42</v>
      </c>
      <c r="Q2293" s="33" t="s">
        <v>8143</v>
      </c>
    </row>
    <row r="2294" spans="1:17">
      <c r="A2294" s="33" t="s">
        <v>8460</v>
      </c>
      <c r="B2294" s="33" t="s">
        <v>8461</v>
      </c>
      <c r="C2294" s="33" t="s">
        <v>1891</v>
      </c>
      <c r="D2294" s="33" t="s">
        <v>41</v>
      </c>
      <c r="E2294" s="33" t="s">
        <v>3976</v>
      </c>
      <c r="G2294" s="33" t="s">
        <v>41</v>
      </c>
      <c r="H2294" s="33" t="s">
        <v>2529</v>
      </c>
      <c r="I2294" s="33" t="s">
        <v>2529</v>
      </c>
      <c r="J2294" s="33" t="s">
        <v>8462</v>
      </c>
      <c r="K2294" s="33" t="s">
        <v>6898</v>
      </c>
      <c r="L2294" s="33" t="s">
        <v>3308</v>
      </c>
      <c r="M2294" s="33" t="s">
        <v>91</v>
      </c>
      <c r="N2294" s="33" t="s">
        <v>42</v>
      </c>
      <c r="Q2294" s="33" t="s">
        <v>8143</v>
      </c>
    </row>
    <row r="2295" spans="1:17" hidden="1">
      <c r="A2295" s="33" t="s">
        <v>8463</v>
      </c>
      <c r="B2295" s="33" t="s">
        <v>8464</v>
      </c>
      <c r="C2295" s="33" t="s">
        <v>1891</v>
      </c>
      <c r="D2295" s="33" t="s">
        <v>85</v>
      </c>
      <c r="E2295" s="33" t="s">
        <v>6600</v>
      </c>
      <c r="G2295" s="33" t="s">
        <v>41</v>
      </c>
      <c r="H2295" s="33" t="s">
        <v>2529</v>
      </c>
      <c r="I2295" s="33" t="s">
        <v>2529</v>
      </c>
      <c r="J2295" s="33" t="s">
        <v>8465</v>
      </c>
      <c r="K2295" s="33" t="s">
        <v>6602</v>
      </c>
      <c r="L2295" s="33" t="s">
        <v>5544</v>
      </c>
      <c r="M2295" s="33" t="str">
        <f>_xlfn.XLOOKUP(Tabela14[[#This Row],[Responsável]],Organograma!H:H,Organograma!G:G,"")</f>
        <v>Diretoria Técnica</v>
      </c>
      <c r="N2295" s="33" t="s">
        <v>42</v>
      </c>
      <c r="Q2295" s="33" t="s">
        <v>8143</v>
      </c>
    </row>
    <row r="2296" spans="1:17">
      <c r="A2296" s="33" t="s">
        <v>8698</v>
      </c>
      <c r="B2296" s="33" t="s">
        <v>8699</v>
      </c>
      <c r="C2296" s="33" t="s">
        <v>1891</v>
      </c>
      <c r="D2296" s="33" t="s">
        <v>2349</v>
      </c>
      <c r="E2296" s="33" t="s">
        <v>7093</v>
      </c>
      <c r="G2296" s="33" t="s">
        <v>41</v>
      </c>
      <c r="H2296" s="33" t="s">
        <v>2473</v>
      </c>
      <c r="I2296" s="33" t="s">
        <v>2473</v>
      </c>
      <c r="J2296" s="33" t="s">
        <v>8700</v>
      </c>
      <c r="K2296" s="33" t="s">
        <v>6611</v>
      </c>
      <c r="L2296" s="33" t="s">
        <v>3564</v>
      </c>
      <c r="M2296" s="33" t="s">
        <v>91</v>
      </c>
      <c r="N2296" s="33" t="s">
        <v>42</v>
      </c>
      <c r="Q2296" s="33" t="s">
        <v>8143</v>
      </c>
    </row>
    <row r="2297" spans="1:17">
      <c r="A2297" s="33" t="s">
        <v>8469</v>
      </c>
      <c r="B2297" s="33" t="s">
        <v>8470</v>
      </c>
      <c r="C2297" s="33" t="s">
        <v>1891</v>
      </c>
      <c r="D2297" s="33" t="s">
        <v>41</v>
      </c>
      <c r="E2297" s="33" t="s">
        <v>3976</v>
      </c>
      <c r="G2297" s="33" t="s">
        <v>41</v>
      </c>
      <c r="H2297" s="33" t="s">
        <v>2529</v>
      </c>
      <c r="I2297" s="33" t="s">
        <v>2529</v>
      </c>
      <c r="J2297" s="33" t="s">
        <v>8471</v>
      </c>
      <c r="K2297" s="33" t="s">
        <v>6898</v>
      </c>
      <c r="L2297" s="33" t="s">
        <v>5779</v>
      </c>
      <c r="M2297" s="33" t="s">
        <v>92</v>
      </c>
      <c r="N2297" s="33" t="s">
        <v>42</v>
      </c>
      <c r="Q2297" s="33" t="s">
        <v>8143</v>
      </c>
    </row>
    <row r="2298" spans="1:17">
      <c r="A2298" s="33" t="s">
        <v>8979</v>
      </c>
      <c r="B2298" s="33" t="s">
        <v>8980</v>
      </c>
      <c r="C2298" s="33" t="s">
        <v>1891</v>
      </c>
      <c r="D2298" s="33" t="s">
        <v>2349</v>
      </c>
      <c r="E2298" s="33" t="s">
        <v>7093</v>
      </c>
      <c r="G2298" s="33" t="s">
        <v>41</v>
      </c>
      <c r="H2298" s="33" t="s">
        <v>3251</v>
      </c>
      <c r="I2298" s="33" t="s">
        <v>3251</v>
      </c>
      <c r="J2298" s="33" t="s">
        <v>8981</v>
      </c>
      <c r="K2298" s="33" t="s">
        <v>6611</v>
      </c>
      <c r="L2298" s="33" t="s">
        <v>4039</v>
      </c>
      <c r="M2298" s="33" t="s">
        <v>69</v>
      </c>
      <c r="N2298" s="33" t="s">
        <v>42</v>
      </c>
      <c r="Q2298" s="33" t="s">
        <v>8143</v>
      </c>
    </row>
    <row r="2299" spans="1:17">
      <c r="A2299" s="33" t="s">
        <v>8475</v>
      </c>
      <c r="B2299" s="33" t="s">
        <v>8476</v>
      </c>
      <c r="C2299" s="33" t="s">
        <v>1891</v>
      </c>
      <c r="D2299" s="33" t="s">
        <v>41</v>
      </c>
      <c r="E2299" s="33" t="s">
        <v>3976</v>
      </c>
      <c r="G2299" s="33" t="s">
        <v>41</v>
      </c>
      <c r="H2299" s="33" t="s">
        <v>2529</v>
      </c>
      <c r="I2299" s="33" t="s">
        <v>2529</v>
      </c>
      <c r="J2299" s="33" t="s">
        <v>8477</v>
      </c>
      <c r="K2299" s="33" t="s">
        <v>6898</v>
      </c>
      <c r="L2299" s="33" t="s">
        <v>3544</v>
      </c>
      <c r="M2299" s="33" t="s">
        <v>69</v>
      </c>
      <c r="N2299" s="33" t="s">
        <v>42</v>
      </c>
      <c r="Q2299" s="33" t="s">
        <v>8143</v>
      </c>
    </row>
    <row r="2300" spans="1:17" hidden="1">
      <c r="A2300" s="33" t="s">
        <v>8478</v>
      </c>
      <c r="B2300" s="33" t="s">
        <v>8479</v>
      </c>
      <c r="C2300" s="33" t="s">
        <v>1891</v>
      </c>
      <c r="D2300" s="33" t="s">
        <v>67</v>
      </c>
      <c r="E2300" s="33" t="s">
        <v>6609</v>
      </c>
      <c r="G2300" s="33" t="s">
        <v>41</v>
      </c>
      <c r="H2300" s="33" t="s">
        <v>2529</v>
      </c>
      <c r="I2300" s="33" t="s">
        <v>2529</v>
      </c>
      <c r="J2300" s="33" t="s">
        <v>8480</v>
      </c>
      <c r="K2300" s="33" t="s">
        <v>6611</v>
      </c>
      <c r="L2300" s="33" t="s">
        <v>2529</v>
      </c>
      <c r="M2300" s="33" t="str">
        <f>_xlfn.XLOOKUP(Tabela14[[#This Row],[Responsável]],Organograma!H:H,Organograma!G:G,"")</f>
        <v>CC - Centro Cirúrgico</v>
      </c>
      <c r="N2300" s="33" t="s">
        <v>42</v>
      </c>
      <c r="Q2300" s="33" t="s">
        <v>8143</v>
      </c>
    </row>
    <row r="2301" spans="1:17">
      <c r="A2301" s="33" t="s">
        <v>8481</v>
      </c>
      <c r="B2301" s="33" t="s">
        <v>8482</v>
      </c>
      <c r="C2301" s="33" t="s">
        <v>1891</v>
      </c>
      <c r="D2301" s="33" t="s">
        <v>41</v>
      </c>
      <c r="E2301" s="33" t="s">
        <v>3976</v>
      </c>
      <c r="G2301" s="33" t="s">
        <v>41</v>
      </c>
      <c r="H2301" s="33" t="s">
        <v>2529</v>
      </c>
      <c r="I2301" s="33" t="s">
        <v>2529</v>
      </c>
      <c r="J2301" s="33" t="s">
        <v>8483</v>
      </c>
      <c r="K2301" s="33" t="s">
        <v>6898</v>
      </c>
      <c r="L2301" s="33" t="s">
        <v>3544</v>
      </c>
      <c r="M2301" s="33" t="s">
        <v>69</v>
      </c>
      <c r="N2301" s="33" t="s">
        <v>42</v>
      </c>
      <c r="Q2301" s="33" t="s">
        <v>8143</v>
      </c>
    </row>
    <row r="2302" spans="1:17" hidden="1">
      <c r="A2302" s="33" t="s">
        <v>8484</v>
      </c>
      <c r="B2302" s="33" t="s">
        <v>8485</v>
      </c>
      <c r="C2302" s="33" t="s">
        <v>1891</v>
      </c>
      <c r="D2302" s="33" t="s">
        <v>67</v>
      </c>
      <c r="E2302" s="33" t="s">
        <v>6609</v>
      </c>
      <c r="G2302" s="33" t="s">
        <v>41</v>
      </c>
      <c r="H2302" s="33" t="s">
        <v>2529</v>
      </c>
      <c r="I2302" s="33" t="s">
        <v>2529</v>
      </c>
      <c r="J2302" s="33" t="s">
        <v>8486</v>
      </c>
      <c r="K2302" s="33" t="s">
        <v>6611</v>
      </c>
      <c r="L2302" s="33" t="s">
        <v>2529</v>
      </c>
      <c r="M2302" s="33" t="str">
        <f>_xlfn.XLOOKUP(Tabela14[[#This Row],[Responsável]],Organograma!H:H,Organograma!G:G,"")</f>
        <v>CC - Centro Cirúrgico</v>
      </c>
      <c r="N2302" s="33" t="s">
        <v>42</v>
      </c>
      <c r="Q2302" s="33" t="s">
        <v>8143</v>
      </c>
    </row>
    <row r="2303" spans="1:17" hidden="1">
      <c r="A2303" s="33" t="s">
        <v>8988</v>
      </c>
      <c r="B2303" s="33" t="s">
        <v>8989</v>
      </c>
      <c r="C2303" s="33" t="s">
        <v>1891</v>
      </c>
      <c r="D2303" s="33" t="s">
        <v>2349</v>
      </c>
      <c r="E2303" s="33" t="s">
        <v>6609</v>
      </c>
      <c r="G2303" s="33" t="s">
        <v>41</v>
      </c>
      <c r="H2303" s="33" t="s">
        <v>3251</v>
      </c>
      <c r="I2303" s="33" t="s">
        <v>3251</v>
      </c>
      <c r="J2303" s="33" t="s">
        <v>8990</v>
      </c>
      <c r="K2303" s="33" t="s">
        <v>6611</v>
      </c>
      <c r="L2303" s="33" t="s">
        <v>3251</v>
      </c>
      <c r="M2303" s="33" t="s">
        <v>193</v>
      </c>
      <c r="N2303" s="33" t="s">
        <v>42</v>
      </c>
      <c r="Q2303" s="33" t="s">
        <v>8143</v>
      </c>
    </row>
    <row r="2304" spans="1:17">
      <c r="A2304" s="33" t="s">
        <v>8994</v>
      </c>
      <c r="B2304" s="33" t="s">
        <v>8995</v>
      </c>
      <c r="C2304" s="33" t="s">
        <v>1891</v>
      </c>
      <c r="D2304" s="33" t="s">
        <v>2349</v>
      </c>
      <c r="E2304" s="33" t="s">
        <v>7093</v>
      </c>
      <c r="G2304" s="33" t="s">
        <v>41</v>
      </c>
      <c r="H2304" s="33" t="s">
        <v>3135</v>
      </c>
      <c r="I2304" s="33" t="s">
        <v>3135</v>
      </c>
      <c r="J2304" s="33" t="s">
        <v>8996</v>
      </c>
      <c r="K2304" s="33" t="s">
        <v>6611</v>
      </c>
      <c r="L2304" s="33" t="s">
        <v>4039</v>
      </c>
      <c r="M2304" s="33" t="s">
        <v>91</v>
      </c>
      <c r="N2304" s="33" t="s">
        <v>42</v>
      </c>
      <c r="Q2304" s="33" t="s">
        <v>8143</v>
      </c>
    </row>
    <row r="2305" spans="1:17" hidden="1">
      <c r="A2305" s="33" t="s">
        <v>8997</v>
      </c>
      <c r="B2305" s="33" t="s">
        <v>8998</v>
      </c>
      <c r="C2305" s="33" t="s">
        <v>1891</v>
      </c>
      <c r="D2305" s="33" t="s">
        <v>2349</v>
      </c>
      <c r="E2305" s="33" t="s">
        <v>6609</v>
      </c>
      <c r="G2305" s="33" t="s">
        <v>41</v>
      </c>
      <c r="H2305" s="33" t="s">
        <v>3135</v>
      </c>
      <c r="I2305" s="33" t="s">
        <v>3135</v>
      </c>
      <c r="J2305" s="33" t="s">
        <v>8999</v>
      </c>
      <c r="K2305" s="33" t="s">
        <v>6611</v>
      </c>
      <c r="L2305" s="33" t="s">
        <v>3135</v>
      </c>
      <c r="M2305" s="33" t="s">
        <v>91</v>
      </c>
      <c r="N2305" s="33" t="s">
        <v>42</v>
      </c>
      <c r="Q2305" s="33" t="s">
        <v>8143</v>
      </c>
    </row>
    <row r="2306" spans="1:17">
      <c r="A2306" s="33" t="s">
        <v>8496</v>
      </c>
      <c r="B2306" s="33" t="s">
        <v>8497</v>
      </c>
      <c r="C2306" s="33" t="s">
        <v>1891</v>
      </c>
      <c r="D2306" s="33" t="s">
        <v>41</v>
      </c>
      <c r="E2306" s="33" t="s">
        <v>3976</v>
      </c>
      <c r="G2306" s="33" t="s">
        <v>41</v>
      </c>
      <c r="H2306" s="33" t="s">
        <v>2529</v>
      </c>
      <c r="I2306" s="33" t="s">
        <v>2529</v>
      </c>
      <c r="J2306" s="33" t="s">
        <v>8498</v>
      </c>
      <c r="K2306" s="33" t="s">
        <v>6898</v>
      </c>
      <c r="L2306" s="33" t="s">
        <v>3544</v>
      </c>
      <c r="M2306" s="33" t="s">
        <v>69</v>
      </c>
      <c r="N2306" s="33" t="s">
        <v>42</v>
      </c>
      <c r="Q2306" s="33" t="s">
        <v>8143</v>
      </c>
    </row>
    <row r="2307" spans="1:17" hidden="1">
      <c r="A2307" s="33" t="s">
        <v>9002</v>
      </c>
      <c r="B2307" s="33" t="s">
        <v>9003</v>
      </c>
      <c r="C2307" s="33" t="s">
        <v>1891</v>
      </c>
      <c r="D2307" s="33" t="s">
        <v>2349</v>
      </c>
      <c r="E2307" s="33" t="s">
        <v>6609</v>
      </c>
      <c r="G2307" s="33" t="s">
        <v>41</v>
      </c>
      <c r="H2307" s="33" t="s">
        <v>3135</v>
      </c>
      <c r="I2307" s="33" t="s">
        <v>3135</v>
      </c>
      <c r="J2307" s="33" t="s">
        <v>9004</v>
      </c>
      <c r="K2307" s="33" t="s">
        <v>6611</v>
      </c>
      <c r="L2307" s="33" t="s">
        <v>3135</v>
      </c>
      <c r="M2307" s="33" t="s">
        <v>91</v>
      </c>
      <c r="N2307" s="33" t="s">
        <v>42</v>
      </c>
      <c r="Q2307" s="33" t="s">
        <v>8143</v>
      </c>
    </row>
    <row r="2308" spans="1:17" hidden="1">
      <c r="A2308" s="33" t="s">
        <v>8502</v>
      </c>
      <c r="B2308" s="33" t="s">
        <v>8503</v>
      </c>
      <c r="C2308" s="33" t="s">
        <v>1891</v>
      </c>
      <c r="D2308" s="33" t="s">
        <v>81</v>
      </c>
      <c r="E2308" s="33" t="s">
        <v>6609</v>
      </c>
      <c r="G2308" s="33" t="s">
        <v>41</v>
      </c>
      <c r="H2308" s="33" t="s">
        <v>2529</v>
      </c>
      <c r="I2308" s="33" t="s">
        <v>2529</v>
      </c>
      <c r="J2308" s="33" t="s">
        <v>8504</v>
      </c>
      <c r="K2308" s="33" t="s">
        <v>6611</v>
      </c>
      <c r="L2308" s="33" t="s">
        <v>2529</v>
      </c>
      <c r="M2308" s="33" t="str">
        <f>_xlfn.XLOOKUP(Tabela14[[#This Row],[Responsável]],Organograma!H:H,Organograma!G:G,"")</f>
        <v>CPN - Centro de Parto Normal</v>
      </c>
      <c r="N2308" s="33" t="s">
        <v>42</v>
      </c>
      <c r="Q2308" s="33" t="s">
        <v>8143</v>
      </c>
    </row>
    <row r="2309" spans="1:17" hidden="1">
      <c r="A2309" s="33" t="s">
        <v>9055</v>
      </c>
      <c r="B2309" s="33" t="s">
        <v>9056</v>
      </c>
      <c r="C2309" s="33" t="s">
        <v>1891</v>
      </c>
      <c r="D2309" s="33" t="s">
        <v>2349</v>
      </c>
      <c r="E2309" s="33" t="s">
        <v>6609</v>
      </c>
      <c r="G2309" s="33" t="s">
        <v>41</v>
      </c>
      <c r="H2309" s="33" t="s">
        <v>3135</v>
      </c>
      <c r="I2309" s="33" t="s">
        <v>3135</v>
      </c>
      <c r="J2309" s="33" t="s">
        <v>9057</v>
      </c>
      <c r="K2309" s="33" t="s">
        <v>6611</v>
      </c>
      <c r="L2309" s="33" t="s">
        <v>3135</v>
      </c>
      <c r="M2309" s="33" t="s">
        <v>92</v>
      </c>
      <c r="N2309" s="33" t="s">
        <v>42</v>
      </c>
      <c r="Q2309" s="33" t="s">
        <v>8143</v>
      </c>
    </row>
    <row r="2310" spans="1:17">
      <c r="A2310" s="33" t="s">
        <v>9232</v>
      </c>
      <c r="B2310" s="33" t="s">
        <v>9233</v>
      </c>
      <c r="C2310" s="33" t="s">
        <v>1891</v>
      </c>
      <c r="D2310" s="33" t="s">
        <v>2349</v>
      </c>
      <c r="E2310" s="33" t="s">
        <v>7093</v>
      </c>
      <c r="G2310" s="33" t="s">
        <v>41</v>
      </c>
      <c r="H2310" s="33" t="s">
        <v>3564</v>
      </c>
      <c r="I2310" s="33" t="s">
        <v>3564</v>
      </c>
      <c r="J2310" s="33" t="s">
        <v>9234</v>
      </c>
      <c r="K2310" s="33" t="s">
        <v>6611</v>
      </c>
      <c r="L2310" s="33" t="s">
        <v>3820</v>
      </c>
      <c r="M2310" s="33" t="s">
        <v>91</v>
      </c>
      <c r="N2310" s="33" t="s">
        <v>42</v>
      </c>
      <c r="Q2310" s="33" t="s">
        <v>8143</v>
      </c>
    </row>
    <row r="2311" spans="1:17">
      <c r="A2311" s="33" t="s">
        <v>9235</v>
      </c>
      <c r="B2311" s="33" t="s">
        <v>9236</v>
      </c>
      <c r="C2311" s="33" t="s">
        <v>1891</v>
      </c>
      <c r="D2311" s="33" t="s">
        <v>2349</v>
      </c>
      <c r="E2311" s="33" t="s">
        <v>7093</v>
      </c>
      <c r="G2311" s="33" t="s">
        <v>41</v>
      </c>
      <c r="H2311" s="33" t="s">
        <v>3564</v>
      </c>
      <c r="I2311" s="33" t="s">
        <v>3564</v>
      </c>
      <c r="J2311" s="33" t="s">
        <v>9237</v>
      </c>
      <c r="K2311" s="33" t="s">
        <v>6611</v>
      </c>
      <c r="L2311" s="33" t="s">
        <v>4039</v>
      </c>
      <c r="M2311" s="33" t="s">
        <v>92</v>
      </c>
      <c r="N2311" s="33" t="s">
        <v>42</v>
      </c>
      <c r="Q2311" s="33" t="s">
        <v>8143</v>
      </c>
    </row>
    <row r="2312" spans="1:17" hidden="1">
      <c r="A2312" s="33" t="s">
        <v>8514</v>
      </c>
      <c r="B2312" s="33" t="s">
        <v>8515</v>
      </c>
      <c r="C2312" s="33" t="s">
        <v>1891</v>
      </c>
      <c r="D2312" s="33" t="s">
        <v>41</v>
      </c>
      <c r="E2312" s="33" t="s">
        <v>6609</v>
      </c>
      <c r="G2312" s="33" t="s">
        <v>41</v>
      </c>
      <c r="H2312" s="33" t="s">
        <v>2541</v>
      </c>
      <c r="I2312" s="33" t="s">
        <v>2541</v>
      </c>
      <c r="J2312" s="33" t="s">
        <v>8516</v>
      </c>
      <c r="K2312" s="33" t="s">
        <v>6611</v>
      </c>
      <c r="L2312" s="33" t="s">
        <v>2541</v>
      </c>
      <c r="M2312" s="33" t="s">
        <v>9344</v>
      </c>
      <c r="N2312" s="33" t="s">
        <v>42</v>
      </c>
      <c r="Q2312" s="33" t="s">
        <v>8143</v>
      </c>
    </row>
    <row r="2313" spans="1:17" hidden="1">
      <c r="A2313" s="33" t="s">
        <v>8517</v>
      </c>
      <c r="B2313" s="33" t="s">
        <v>8518</v>
      </c>
      <c r="C2313" s="33" t="s">
        <v>1891</v>
      </c>
      <c r="D2313" s="33" t="s">
        <v>81</v>
      </c>
      <c r="E2313" s="33" t="s">
        <v>6609</v>
      </c>
      <c r="G2313" s="33" t="s">
        <v>41</v>
      </c>
      <c r="H2313" s="33" t="s">
        <v>2541</v>
      </c>
      <c r="I2313" s="33" t="s">
        <v>2541</v>
      </c>
      <c r="J2313" s="33" t="s">
        <v>8519</v>
      </c>
      <c r="K2313" s="33" t="s">
        <v>6611</v>
      </c>
      <c r="L2313" s="33" t="s">
        <v>2541</v>
      </c>
      <c r="M2313" s="33" t="str">
        <f>_xlfn.XLOOKUP(Tabela14[[#This Row],[Responsável]],Organograma!H:H,Organograma!G:G,"")</f>
        <v>CPN - Centro de Parto Normal</v>
      </c>
      <c r="N2313" s="33" t="s">
        <v>42</v>
      </c>
      <c r="Q2313" s="33" t="s">
        <v>8143</v>
      </c>
    </row>
    <row r="2314" spans="1:17" hidden="1">
      <c r="A2314" s="33" t="s">
        <v>8520</v>
      </c>
      <c r="B2314" s="33" t="s">
        <v>8521</v>
      </c>
      <c r="C2314" s="33" t="s">
        <v>1891</v>
      </c>
      <c r="D2314" s="33" t="s">
        <v>81</v>
      </c>
      <c r="E2314" s="33" t="s">
        <v>6609</v>
      </c>
      <c r="G2314" s="33" t="s">
        <v>41</v>
      </c>
      <c r="H2314" s="33" t="s">
        <v>2541</v>
      </c>
      <c r="I2314" s="33" t="s">
        <v>2541</v>
      </c>
      <c r="J2314" s="33" t="s">
        <v>8522</v>
      </c>
      <c r="K2314" s="33" t="s">
        <v>6611</v>
      </c>
      <c r="L2314" s="33" t="s">
        <v>2541</v>
      </c>
      <c r="M2314" s="33" t="str">
        <f>_xlfn.XLOOKUP(Tabela14[[#This Row],[Responsável]],Organograma!H:H,Organograma!G:G,"")</f>
        <v>CPN - Centro de Parto Normal</v>
      </c>
      <c r="N2314" s="33" t="s">
        <v>42</v>
      </c>
      <c r="Q2314" s="33" t="s">
        <v>8143</v>
      </c>
    </row>
    <row r="2315" spans="1:17" hidden="1">
      <c r="A2315" s="33" t="s">
        <v>8523</v>
      </c>
      <c r="B2315" s="33" t="s">
        <v>8524</v>
      </c>
      <c r="C2315" s="33" t="s">
        <v>1891</v>
      </c>
      <c r="D2315" s="33" t="s">
        <v>81</v>
      </c>
      <c r="E2315" s="33" t="s">
        <v>6609</v>
      </c>
      <c r="G2315" s="33" t="s">
        <v>41</v>
      </c>
      <c r="H2315" s="33" t="s">
        <v>2541</v>
      </c>
      <c r="I2315" s="33" t="s">
        <v>2541</v>
      </c>
      <c r="J2315" s="33" t="s">
        <v>8525</v>
      </c>
      <c r="K2315" s="33" t="s">
        <v>6611</v>
      </c>
      <c r="L2315" s="33" t="s">
        <v>2541</v>
      </c>
      <c r="M2315" s="33" t="str">
        <f>_xlfn.XLOOKUP(Tabela14[[#This Row],[Responsável]],Organograma!H:H,Organograma!G:G,"")</f>
        <v>CPN - Centro de Parto Normal</v>
      </c>
      <c r="N2315" s="33" t="s">
        <v>42</v>
      </c>
      <c r="Q2315" s="33" t="s">
        <v>8143</v>
      </c>
    </row>
    <row r="2316" spans="1:17">
      <c r="A2316" s="33" t="s">
        <v>8526</v>
      </c>
      <c r="B2316" s="33" t="s">
        <v>8527</v>
      </c>
      <c r="C2316" s="33" t="s">
        <v>1891</v>
      </c>
      <c r="D2316" s="33" t="s">
        <v>41</v>
      </c>
      <c r="E2316" s="33" t="s">
        <v>935</v>
      </c>
      <c r="G2316" s="33" t="s">
        <v>41</v>
      </c>
      <c r="H2316" s="33" t="s">
        <v>2541</v>
      </c>
      <c r="I2316" s="33" t="s">
        <v>2541</v>
      </c>
      <c r="J2316" s="33" t="s">
        <v>8528</v>
      </c>
      <c r="K2316" s="33" t="s">
        <v>6898</v>
      </c>
      <c r="L2316" s="33" t="s">
        <v>3318</v>
      </c>
      <c r="M2316" s="33" t="s">
        <v>91</v>
      </c>
      <c r="N2316" s="33" t="s">
        <v>42</v>
      </c>
      <c r="Q2316" s="33" t="s">
        <v>8143</v>
      </c>
    </row>
    <row r="2317" spans="1:17">
      <c r="A2317" s="33" t="s">
        <v>8529</v>
      </c>
      <c r="B2317" s="33" t="s">
        <v>8530</v>
      </c>
      <c r="C2317" s="33" t="s">
        <v>1891</v>
      </c>
      <c r="D2317" s="33" t="s">
        <v>41</v>
      </c>
      <c r="E2317" s="33" t="s">
        <v>935</v>
      </c>
      <c r="G2317" s="33" t="s">
        <v>41</v>
      </c>
      <c r="H2317" s="33" t="s">
        <v>2541</v>
      </c>
      <c r="I2317" s="33" t="s">
        <v>2541</v>
      </c>
      <c r="J2317" s="33" t="s">
        <v>8531</v>
      </c>
      <c r="K2317" s="33" t="s">
        <v>6898</v>
      </c>
      <c r="L2317" s="33" t="s">
        <v>3318</v>
      </c>
      <c r="M2317" s="33" t="s">
        <v>91</v>
      </c>
      <c r="N2317" s="33" t="s">
        <v>42</v>
      </c>
      <c r="Q2317" s="33" t="s">
        <v>8143</v>
      </c>
    </row>
    <row r="2318" spans="1:17">
      <c r="A2318" s="33" t="s">
        <v>8532</v>
      </c>
      <c r="B2318" s="33" t="s">
        <v>8533</v>
      </c>
      <c r="C2318" s="33" t="s">
        <v>1891</v>
      </c>
      <c r="D2318" s="33" t="s">
        <v>41</v>
      </c>
      <c r="E2318" s="33" t="s">
        <v>935</v>
      </c>
      <c r="G2318" s="33" t="s">
        <v>41</v>
      </c>
      <c r="H2318" s="33" t="s">
        <v>2541</v>
      </c>
      <c r="I2318" s="33" t="s">
        <v>2541</v>
      </c>
      <c r="J2318" s="33" t="s">
        <v>8534</v>
      </c>
      <c r="K2318" s="33" t="s">
        <v>6898</v>
      </c>
      <c r="L2318" s="33" t="s">
        <v>3273</v>
      </c>
      <c r="M2318" s="33" t="s">
        <v>91</v>
      </c>
      <c r="N2318" s="33" t="s">
        <v>42</v>
      </c>
      <c r="Q2318" s="33" t="s">
        <v>8143</v>
      </c>
    </row>
    <row r="2319" spans="1:17">
      <c r="A2319" s="33" t="s">
        <v>8535</v>
      </c>
      <c r="B2319" s="33" t="s">
        <v>8536</v>
      </c>
      <c r="C2319" s="33" t="s">
        <v>1891</v>
      </c>
      <c r="D2319" s="33" t="s">
        <v>41</v>
      </c>
      <c r="E2319" s="33" t="s">
        <v>6689</v>
      </c>
      <c r="G2319" s="33" t="s">
        <v>41</v>
      </c>
      <c r="H2319" s="33" t="s">
        <v>2541</v>
      </c>
      <c r="I2319" s="33" t="s">
        <v>2541</v>
      </c>
      <c r="J2319" s="33" t="s">
        <v>8537</v>
      </c>
      <c r="K2319" s="33" t="s">
        <v>3859</v>
      </c>
      <c r="L2319" s="33" t="s">
        <v>3273</v>
      </c>
      <c r="M2319" s="33" t="s">
        <v>91</v>
      </c>
      <c r="N2319" s="33" t="s">
        <v>42</v>
      </c>
      <c r="Q2319" s="33" t="s">
        <v>8143</v>
      </c>
    </row>
    <row r="2320" spans="1:17">
      <c r="A2320" s="33" t="s">
        <v>8538</v>
      </c>
      <c r="B2320" s="33" t="s">
        <v>8539</v>
      </c>
      <c r="C2320" s="33" t="s">
        <v>1891</v>
      </c>
      <c r="D2320" s="33" t="s">
        <v>41</v>
      </c>
      <c r="E2320" s="33" t="s">
        <v>935</v>
      </c>
      <c r="G2320" s="33" t="s">
        <v>41</v>
      </c>
      <c r="H2320" s="33" t="s">
        <v>2541</v>
      </c>
      <c r="I2320" s="33" t="s">
        <v>2541</v>
      </c>
      <c r="J2320" s="33" t="s">
        <v>8540</v>
      </c>
      <c r="K2320" s="33" t="s">
        <v>6898</v>
      </c>
      <c r="L2320" s="33" t="s">
        <v>3308</v>
      </c>
      <c r="M2320" s="33" t="s">
        <v>91</v>
      </c>
      <c r="N2320" s="33" t="s">
        <v>42</v>
      </c>
      <c r="Q2320" s="33" t="s">
        <v>8143</v>
      </c>
    </row>
    <row r="2321" spans="1:17">
      <c r="A2321" s="33" t="s">
        <v>8541</v>
      </c>
      <c r="B2321" s="33" t="s">
        <v>8542</v>
      </c>
      <c r="C2321" s="33" t="s">
        <v>1891</v>
      </c>
      <c r="D2321" s="33" t="s">
        <v>41</v>
      </c>
      <c r="E2321" s="33" t="s">
        <v>935</v>
      </c>
      <c r="G2321" s="33" t="s">
        <v>41</v>
      </c>
      <c r="H2321" s="33" t="s">
        <v>2541</v>
      </c>
      <c r="I2321" s="33" t="s">
        <v>2541</v>
      </c>
      <c r="J2321" s="33" t="s">
        <v>8543</v>
      </c>
      <c r="K2321" s="33" t="s">
        <v>6898</v>
      </c>
      <c r="L2321" s="33" t="s">
        <v>3318</v>
      </c>
      <c r="M2321" s="33" t="s">
        <v>91</v>
      </c>
      <c r="N2321" s="33" t="s">
        <v>42</v>
      </c>
      <c r="Q2321" s="33" t="s">
        <v>8143</v>
      </c>
    </row>
    <row r="2322" spans="1:17">
      <c r="A2322" s="33" t="s">
        <v>8544</v>
      </c>
      <c r="B2322" s="33" t="s">
        <v>8545</v>
      </c>
      <c r="C2322" s="33" t="s">
        <v>1891</v>
      </c>
      <c r="D2322" s="33" t="s">
        <v>41</v>
      </c>
      <c r="E2322" s="33" t="s">
        <v>935</v>
      </c>
      <c r="G2322" s="33" t="s">
        <v>41</v>
      </c>
      <c r="H2322" s="33" t="s">
        <v>2541</v>
      </c>
      <c r="I2322" s="33" t="s">
        <v>2541</v>
      </c>
      <c r="J2322" s="33" t="s">
        <v>8546</v>
      </c>
      <c r="K2322" s="33" t="s">
        <v>6898</v>
      </c>
      <c r="L2322" s="33" t="s">
        <v>3318</v>
      </c>
      <c r="M2322" s="33" t="s">
        <v>91</v>
      </c>
      <c r="N2322" s="33" t="s">
        <v>42</v>
      </c>
      <c r="Q2322" s="33" t="s">
        <v>8143</v>
      </c>
    </row>
    <row r="2323" spans="1:17">
      <c r="A2323" s="33" t="s">
        <v>8547</v>
      </c>
      <c r="B2323" s="33" t="s">
        <v>8548</v>
      </c>
      <c r="C2323" s="33" t="s">
        <v>1891</v>
      </c>
      <c r="D2323" s="33" t="s">
        <v>41</v>
      </c>
      <c r="E2323" s="33" t="s">
        <v>935</v>
      </c>
      <c r="G2323" s="33" t="s">
        <v>41</v>
      </c>
      <c r="H2323" s="33" t="s">
        <v>2541</v>
      </c>
      <c r="I2323" s="33" t="s">
        <v>2541</v>
      </c>
      <c r="J2323" s="33" t="s">
        <v>8549</v>
      </c>
      <c r="K2323" s="33" t="s">
        <v>6898</v>
      </c>
      <c r="L2323" s="33" t="s">
        <v>3318</v>
      </c>
      <c r="M2323" s="33" t="s">
        <v>91</v>
      </c>
      <c r="N2323" s="33" t="s">
        <v>42</v>
      </c>
      <c r="Q2323" s="33" t="s">
        <v>8143</v>
      </c>
    </row>
    <row r="2324" spans="1:17" hidden="1">
      <c r="A2324" s="33" t="s">
        <v>9265</v>
      </c>
      <c r="B2324" s="33" t="s">
        <v>9266</v>
      </c>
      <c r="C2324" s="33" t="s">
        <v>1891</v>
      </c>
      <c r="D2324" s="33" t="s">
        <v>2349</v>
      </c>
      <c r="E2324" s="33" t="s">
        <v>6609</v>
      </c>
      <c r="G2324" s="33" t="s">
        <v>41</v>
      </c>
      <c r="H2324" s="33" t="s">
        <v>3696</v>
      </c>
      <c r="I2324" s="33" t="s">
        <v>3696</v>
      </c>
      <c r="J2324" s="33" t="s">
        <v>9267</v>
      </c>
      <c r="K2324" s="33" t="s">
        <v>6611</v>
      </c>
      <c r="L2324" s="33" t="s">
        <v>3696</v>
      </c>
      <c r="M2324" s="33" t="s">
        <v>9344</v>
      </c>
      <c r="N2324" s="33" t="s">
        <v>42</v>
      </c>
      <c r="Q2324" s="33" t="s">
        <v>8143</v>
      </c>
    </row>
    <row r="2325" spans="1:17">
      <c r="A2325" s="33" t="s">
        <v>8553</v>
      </c>
      <c r="B2325" s="33" t="s">
        <v>8554</v>
      </c>
      <c r="C2325" s="33" t="s">
        <v>1891</v>
      </c>
      <c r="D2325" s="33" t="s">
        <v>41</v>
      </c>
      <c r="E2325" s="33" t="s">
        <v>935</v>
      </c>
      <c r="G2325" s="33" t="s">
        <v>41</v>
      </c>
      <c r="H2325" s="33" t="s">
        <v>2541</v>
      </c>
      <c r="I2325" s="33" t="s">
        <v>2541</v>
      </c>
      <c r="J2325" s="33" t="s">
        <v>8555</v>
      </c>
      <c r="K2325" s="33" t="s">
        <v>6898</v>
      </c>
      <c r="L2325" s="33" t="s">
        <v>3318</v>
      </c>
      <c r="M2325" s="33" t="s">
        <v>91</v>
      </c>
      <c r="N2325" s="33" t="s">
        <v>42</v>
      </c>
      <c r="Q2325" s="33" t="s">
        <v>8143</v>
      </c>
    </row>
    <row r="2326" spans="1:17">
      <c r="A2326" s="33" t="s">
        <v>8556</v>
      </c>
      <c r="B2326" s="33" t="s">
        <v>8557</v>
      </c>
      <c r="C2326" s="33" t="s">
        <v>1891</v>
      </c>
      <c r="D2326" s="33" t="s">
        <v>41</v>
      </c>
      <c r="E2326" s="33" t="s">
        <v>935</v>
      </c>
      <c r="G2326" s="33" t="s">
        <v>41</v>
      </c>
      <c r="H2326" s="33" t="s">
        <v>2541</v>
      </c>
      <c r="I2326" s="33" t="s">
        <v>2541</v>
      </c>
      <c r="J2326" s="33" t="s">
        <v>8558</v>
      </c>
      <c r="K2326" s="33" t="s">
        <v>6898</v>
      </c>
      <c r="L2326" s="33" t="s">
        <v>3318</v>
      </c>
      <c r="M2326" s="33" t="s">
        <v>91</v>
      </c>
      <c r="N2326" s="33" t="s">
        <v>42</v>
      </c>
      <c r="Q2326" s="33" t="s">
        <v>8143</v>
      </c>
    </row>
    <row r="2327" spans="1:17" hidden="1">
      <c r="A2327" s="33" t="s">
        <v>9298</v>
      </c>
      <c r="B2327" s="33" t="s">
        <v>9299</v>
      </c>
      <c r="C2327" s="33" t="s">
        <v>1891</v>
      </c>
      <c r="D2327" s="33" t="s">
        <v>2349</v>
      </c>
      <c r="E2327" s="33" t="s">
        <v>6609</v>
      </c>
      <c r="G2327" s="33" t="s">
        <v>41</v>
      </c>
      <c r="H2327" s="33" t="s">
        <v>3696</v>
      </c>
      <c r="I2327" s="33" t="s">
        <v>3696</v>
      </c>
      <c r="J2327" s="33" t="s">
        <v>9300</v>
      </c>
      <c r="K2327" s="33" t="s">
        <v>6611</v>
      </c>
      <c r="L2327" s="33" t="s">
        <v>3696</v>
      </c>
      <c r="M2327" s="33" t="s">
        <v>92</v>
      </c>
      <c r="N2327" s="33" t="s">
        <v>42</v>
      </c>
      <c r="Q2327" s="33" t="s">
        <v>8143</v>
      </c>
    </row>
    <row r="2328" spans="1:17" hidden="1">
      <c r="A2328" s="33" t="s">
        <v>8592</v>
      </c>
      <c r="B2328" s="33" t="s">
        <v>8593</v>
      </c>
      <c r="C2328" s="33" t="s">
        <v>1891</v>
      </c>
      <c r="D2328" s="33" t="s">
        <v>8594</v>
      </c>
      <c r="E2328" s="33" t="s">
        <v>6609</v>
      </c>
      <c r="G2328" s="33" t="s">
        <v>41</v>
      </c>
      <c r="H2328" s="33" t="s">
        <v>2541</v>
      </c>
      <c r="I2328" s="33" t="s">
        <v>2541</v>
      </c>
      <c r="J2328" s="33" t="s">
        <v>8595</v>
      </c>
      <c r="K2328" s="33" t="s">
        <v>6611</v>
      </c>
      <c r="L2328" s="33" t="s">
        <v>2541</v>
      </c>
      <c r="M2328" s="33" t="s">
        <v>61</v>
      </c>
      <c r="N2328" s="33" t="s">
        <v>42</v>
      </c>
      <c r="Q2328" s="33" t="s">
        <v>8143</v>
      </c>
    </row>
    <row r="2329" spans="1:17">
      <c r="A2329" s="33" t="s">
        <v>8565</v>
      </c>
      <c r="B2329" s="33" t="s">
        <v>8566</v>
      </c>
      <c r="C2329" s="33" t="s">
        <v>1891</v>
      </c>
      <c r="D2329" s="33" t="s">
        <v>41</v>
      </c>
      <c r="E2329" s="33" t="s">
        <v>935</v>
      </c>
      <c r="G2329" s="33" t="s">
        <v>41</v>
      </c>
      <c r="H2329" s="33" t="s">
        <v>2541</v>
      </c>
      <c r="I2329" s="33" t="s">
        <v>2541</v>
      </c>
      <c r="J2329" s="33" t="s">
        <v>8567</v>
      </c>
      <c r="K2329" s="33" t="s">
        <v>6898</v>
      </c>
      <c r="L2329" s="33" t="s">
        <v>3436</v>
      </c>
      <c r="M2329" s="33" t="s">
        <v>91</v>
      </c>
      <c r="N2329" s="33" t="s">
        <v>42</v>
      </c>
      <c r="Q2329" s="33" t="s">
        <v>8143</v>
      </c>
    </row>
    <row r="2330" spans="1:17">
      <c r="A2330" s="33" t="s">
        <v>8568</v>
      </c>
      <c r="B2330" s="33" t="s">
        <v>8569</v>
      </c>
      <c r="C2330" s="33" t="s">
        <v>1891</v>
      </c>
      <c r="D2330" s="33" t="s">
        <v>41</v>
      </c>
      <c r="E2330" s="33" t="s">
        <v>935</v>
      </c>
      <c r="G2330" s="33" t="s">
        <v>41</v>
      </c>
      <c r="H2330" s="33" t="s">
        <v>2541</v>
      </c>
      <c r="I2330" s="33" t="s">
        <v>2541</v>
      </c>
      <c r="J2330" s="33" t="s">
        <v>8570</v>
      </c>
      <c r="K2330" s="33" t="s">
        <v>6898</v>
      </c>
      <c r="L2330" s="33" t="s">
        <v>2692</v>
      </c>
      <c r="M2330" s="33" t="s">
        <v>91</v>
      </c>
      <c r="N2330" s="33" t="s">
        <v>42</v>
      </c>
      <c r="Q2330" s="33" t="s">
        <v>8143</v>
      </c>
    </row>
    <row r="2331" spans="1:17">
      <c r="A2331" s="33" t="s">
        <v>8571</v>
      </c>
      <c r="B2331" s="33" t="s">
        <v>8572</v>
      </c>
      <c r="C2331" s="33" t="s">
        <v>1891</v>
      </c>
      <c r="D2331" s="33" t="s">
        <v>41</v>
      </c>
      <c r="E2331" s="33" t="s">
        <v>935</v>
      </c>
      <c r="G2331" s="33" t="s">
        <v>41</v>
      </c>
      <c r="H2331" s="33" t="s">
        <v>2541</v>
      </c>
      <c r="I2331" s="33" t="s">
        <v>2541</v>
      </c>
      <c r="J2331" s="33" t="s">
        <v>8573</v>
      </c>
      <c r="K2331" s="33" t="s">
        <v>6898</v>
      </c>
      <c r="L2331" s="33" t="s">
        <v>2735</v>
      </c>
      <c r="M2331" s="33" t="s">
        <v>91</v>
      </c>
      <c r="N2331" s="33" t="s">
        <v>42</v>
      </c>
      <c r="Q2331" s="33" t="s">
        <v>8143</v>
      </c>
    </row>
    <row r="2332" spans="1:17" hidden="1">
      <c r="A2332" s="33" t="s">
        <v>8656</v>
      </c>
      <c r="B2332" s="33" t="s">
        <v>8657</v>
      </c>
      <c r="C2332" s="33" t="s">
        <v>1891</v>
      </c>
      <c r="D2332" s="33" t="s">
        <v>8594</v>
      </c>
      <c r="E2332" s="33" t="s">
        <v>6609</v>
      </c>
      <c r="G2332" s="33" t="s">
        <v>41</v>
      </c>
      <c r="H2332" s="33" t="s">
        <v>2589</v>
      </c>
      <c r="I2332" s="33" t="s">
        <v>2589</v>
      </c>
      <c r="J2332" s="33" t="s">
        <v>8658</v>
      </c>
      <c r="K2332" s="33" t="s">
        <v>6611</v>
      </c>
      <c r="L2332" s="33" t="s">
        <v>2589</v>
      </c>
      <c r="M2332" s="33" t="s">
        <v>61</v>
      </c>
      <c r="N2332" s="33" t="s">
        <v>42</v>
      </c>
      <c r="Q2332" s="33" t="s">
        <v>8143</v>
      </c>
    </row>
    <row r="2333" spans="1:17" hidden="1">
      <c r="A2333" s="33" t="s">
        <v>8577</v>
      </c>
      <c r="B2333" s="33" t="s">
        <v>8578</v>
      </c>
      <c r="C2333" s="33" t="s">
        <v>1891</v>
      </c>
      <c r="D2333" s="33" t="s">
        <v>85</v>
      </c>
      <c r="E2333" s="33" t="s">
        <v>6600</v>
      </c>
      <c r="G2333" s="33" t="s">
        <v>41</v>
      </c>
      <c r="H2333" s="33" t="s">
        <v>2541</v>
      </c>
      <c r="I2333" s="33" t="s">
        <v>2541</v>
      </c>
      <c r="J2333" s="33" t="s">
        <v>8579</v>
      </c>
      <c r="K2333" s="33" t="s">
        <v>6602</v>
      </c>
      <c r="L2333" s="33" t="s">
        <v>3365</v>
      </c>
      <c r="M2333" s="33" t="str">
        <f>_xlfn.XLOOKUP(Tabela14[[#This Row],[Responsável]],Organograma!H:H,Organograma!G:G,"")</f>
        <v>Diretoria Técnica</v>
      </c>
      <c r="N2333" s="33" t="s">
        <v>42</v>
      </c>
      <c r="Q2333" s="33" t="s">
        <v>8143</v>
      </c>
    </row>
    <row r="2334" spans="1:17" hidden="1">
      <c r="A2334" s="33" t="s">
        <v>8580</v>
      </c>
      <c r="B2334" s="33" t="s">
        <v>8581</v>
      </c>
      <c r="C2334" s="33" t="s">
        <v>1891</v>
      </c>
      <c r="D2334" s="33" t="s">
        <v>10</v>
      </c>
      <c r="E2334" s="33" t="s">
        <v>6609</v>
      </c>
      <c r="G2334" s="33" t="s">
        <v>41</v>
      </c>
      <c r="H2334" s="33" t="s">
        <v>2541</v>
      </c>
      <c r="I2334" s="33" t="s">
        <v>2541</v>
      </c>
      <c r="J2334" s="33" t="s">
        <v>8582</v>
      </c>
      <c r="K2334" s="33" t="s">
        <v>6611</v>
      </c>
      <c r="L2334" s="33" t="s">
        <v>2541</v>
      </c>
      <c r="M2334" s="33" t="str">
        <f>_xlfn.XLOOKUP(Tabela14[[#This Row],[Responsável]],Organograma!H:H,Organograma!G:G,"")</f>
        <v>ENG - Núcleo de Engenharia Clínica</v>
      </c>
      <c r="N2334" s="33" t="s">
        <v>42</v>
      </c>
      <c r="Q2334" s="33" t="s">
        <v>8143</v>
      </c>
    </row>
    <row r="2335" spans="1:17">
      <c r="A2335" s="33" t="s">
        <v>8583</v>
      </c>
      <c r="B2335" s="33" t="s">
        <v>8584</v>
      </c>
      <c r="C2335" s="33" t="s">
        <v>1891</v>
      </c>
      <c r="D2335" s="33" t="s">
        <v>41</v>
      </c>
      <c r="E2335" s="33" t="s">
        <v>935</v>
      </c>
      <c r="G2335" s="33" t="s">
        <v>41</v>
      </c>
      <c r="H2335" s="33" t="s">
        <v>2541</v>
      </c>
      <c r="I2335" s="33" t="s">
        <v>2541</v>
      </c>
      <c r="J2335" s="33" t="s">
        <v>8585</v>
      </c>
      <c r="K2335" s="33" t="s">
        <v>6898</v>
      </c>
      <c r="L2335" s="33" t="s">
        <v>3436</v>
      </c>
      <c r="M2335" s="33" t="s">
        <v>196</v>
      </c>
      <c r="N2335" s="33" t="s">
        <v>42</v>
      </c>
      <c r="Q2335" s="33" t="s">
        <v>8143</v>
      </c>
    </row>
    <row r="2336" spans="1:17">
      <c r="A2336" s="33" t="s">
        <v>8586</v>
      </c>
      <c r="B2336" s="33" t="s">
        <v>8587</v>
      </c>
      <c r="C2336" s="33" t="s">
        <v>1891</v>
      </c>
      <c r="D2336" s="33" t="s">
        <v>41</v>
      </c>
      <c r="E2336" s="33" t="s">
        <v>935</v>
      </c>
      <c r="G2336" s="33" t="s">
        <v>41</v>
      </c>
      <c r="H2336" s="33" t="s">
        <v>2541</v>
      </c>
      <c r="I2336" s="33" t="s">
        <v>2541</v>
      </c>
      <c r="J2336" s="33" t="s">
        <v>8588</v>
      </c>
      <c r="K2336" s="33" t="s">
        <v>6898</v>
      </c>
      <c r="L2336" s="33" t="s">
        <v>3436</v>
      </c>
      <c r="M2336" s="33" t="s">
        <v>196</v>
      </c>
      <c r="N2336" s="33" t="s">
        <v>42</v>
      </c>
      <c r="Q2336" s="33" t="s">
        <v>8143</v>
      </c>
    </row>
    <row r="2337" spans="1:17" hidden="1">
      <c r="A2337" s="33" t="s">
        <v>8713</v>
      </c>
      <c r="B2337" s="33" t="s">
        <v>8714</v>
      </c>
      <c r="C2337" s="33" t="s">
        <v>1891</v>
      </c>
      <c r="D2337" s="33" t="s">
        <v>8594</v>
      </c>
      <c r="E2337" s="33" t="s">
        <v>6609</v>
      </c>
      <c r="G2337" s="33" t="s">
        <v>41</v>
      </c>
      <c r="H2337" s="33" t="s">
        <v>2473</v>
      </c>
      <c r="I2337" s="33" t="s">
        <v>2473</v>
      </c>
      <c r="J2337" s="33" t="s">
        <v>8715</v>
      </c>
      <c r="K2337" s="33" t="s">
        <v>6611</v>
      </c>
      <c r="L2337" s="33" t="s">
        <v>2473</v>
      </c>
      <c r="M2337" s="33" t="s">
        <v>61</v>
      </c>
      <c r="N2337" s="33" t="s">
        <v>42</v>
      </c>
      <c r="Q2337" s="33" t="s">
        <v>8143</v>
      </c>
    </row>
    <row r="2338" spans="1:17" hidden="1">
      <c r="A2338" s="33" t="s">
        <v>8964</v>
      </c>
      <c r="B2338" s="33" t="s">
        <v>8965</v>
      </c>
      <c r="C2338" s="33" t="s">
        <v>1891</v>
      </c>
      <c r="D2338" s="33" t="s">
        <v>8594</v>
      </c>
      <c r="E2338" s="33" t="s">
        <v>6609</v>
      </c>
      <c r="G2338" s="33" t="s">
        <v>41</v>
      </c>
      <c r="H2338" s="33" t="s">
        <v>2685</v>
      </c>
      <c r="I2338" s="33" t="s">
        <v>2685</v>
      </c>
      <c r="J2338" s="33" t="s">
        <v>8966</v>
      </c>
      <c r="K2338" s="33" t="s">
        <v>6611</v>
      </c>
      <c r="L2338" s="33" t="s">
        <v>2685</v>
      </c>
      <c r="M2338" s="33" t="s">
        <v>61</v>
      </c>
      <c r="N2338" s="33" t="s">
        <v>42</v>
      </c>
      <c r="Q2338" s="33" t="s">
        <v>8143</v>
      </c>
    </row>
    <row r="2339" spans="1:17">
      <c r="A2339" s="33" t="s">
        <v>8596</v>
      </c>
      <c r="B2339" s="33" t="s">
        <v>8597</v>
      </c>
      <c r="C2339" s="33" t="s">
        <v>1891</v>
      </c>
      <c r="D2339" s="33" t="s">
        <v>41</v>
      </c>
      <c r="E2339" s="33" t="s">
        <v>3976</v>
      </c>
      <c r="G2339" s="33" t="s">
        <v>41</v>
      </c>
      <c r="H2339" s="33" t="s">
        <v>2541</v>
      </c>
      <c r="I2339" s="33" t="s">
        <v>2541</v>
      </c>
      <c r="J2339" s="33" t="s">
        <v>8598</v>
      </c>
      <c r="K2339" s="33" t="s">
        <v>6898</v>
      </c>
      <c r="L2339" s="33" t="s">
        <v>2589</v>
      </c>
      <c r="M2339" s="33" t="s">
        <v>69</v>
      </c>
      <c r="N2339" s="33" t="s">
        <v>42</v>
      </c>
      <c r="Q2339" s="33" t="s">
        <v>8143</v>
      </c>
    </row>
    <row r="2340" spans="1:17">
      <c r="A2340" s="33" t="s">
        <v>8599</v>
      </c>
      <c r="B2340" s="33" t="s">
        <v>8600</v>
      </c>
      <c r="C2340" s="33" t="s">
        <v>1891</v>
      </c>
      <c r="D2340" s="33" t="s">
        <v>41</v>
      </c>
      <c r="E2340" s="33" t="s">
        <v>3976</v>
      </c>
      <c r="G2340" s="33" t="s">
        <v>41</v>
      </c>
      <c r="H2340" s="33" t="s">
        <v>2541</v>
      </c>
      <c r="I2340" s="33" t="s">
        <v>2541</v>
      </c>
      <c r="J2340" s="33" t="s">
        <v>8601</v>
      </c>
      <c r="K2340" s="33" t="s">
        <v>6898</v>
      </c>
      <c r="L2340" s="33" t="s">
        <v>3458</v>
      </c>
      <c r="M2340" s="33" t="s">
        <v>69</v>
      </c>
      <c r="N2340" s="33" t="s">
        <v>42</v>
      </c>
      <c r="Q2340" s="33" t="s">
        <v>8143</v>
      </c>
    </row>
    <row r="2341" spans="1:17">
      <c r="A2341" s="33" t="s">
        <v>8602</v>
      </c>
      <c r="B2341" s="33" t="s">
        <v>8603</v>
      </c>
      <c r="C2341" s="33" t="s">
        <v>1891</v>
      </c>
      <c r="D2341" s="33" t="s">
        <v>41</v>
      </c>
      <c r="E2341" s="33" t="s">
        <v>935</v>
      </c>
      <c r="G2341" s="33" t="s">
        <v>41</v>
      </c>
      <c r="H2341" s="33" t="s">
        <v>2541</v>
      </c>
      <c r="I2341" s="33" t="s">
        <v>2541</v>
      </c>
      <c r="J2341" s="33" t="s">
        <v>8604</v>
      </c>
      <c r="K2341" s="33" t="s">
        <v>6898</v>
      </c>
      <c r="L2341" s="33" t="s">
        <v>7317</v>
      </c>
      <c r="M2341" s="33" t="s">
        <v>69</v>
      </c>
      <c r="N2341" s="33" t="s">
        <v>42</v>
      </c>
      <c r="Q2341" s="33" t="s">
        <v>8143</v>
      </c>
    </row>
    <row r="2342" spans="1:17">
      <c r="A2342" s="33" t="s">
        <v>8605</v>
      </c>
      <c r="B2342" s="33" t="s">
        <v>8606</v>
      </c>
      <c r="C2342" s="33" t="s">
        <v>1891</v>
      </c>
      <c r="D2342" s="33" t="s">
        <v>41</v>
      </c>
      <c r="E2342" s="33" t="s">
        <v>3976</v>
      </c>
      <c r="G2342" s="33" t="s">
        <v>41</v>
      </c>
      <c r="H2342" s="33" t="s">
        <v>2541</v>
      </c>
      <c r="I2342" s="33" t="s">
        <v>2541</v>
      </c>
      <c r="J2342" s="33" t="s">
        <v>8607</v>
      </c>
      <c r="K2342" s="33" t="s">
        <v>6898</v>
      </c>
      <c r="L2342" s="33" t="s">
        <v>2589</v>
      </c>
      <c r="M2342" s="33" t="s">
        <v>69</v>
      </c>
      <c r="N2342" s="33" t="s">
        <v>42</v>
      </c>
      <c r="Q2342" s="33" t="s">
        <v>8143</v>
      </c>
    </row>
    <row r="2343" spans="1:17" hidden="1">
      <c r="A2343" s="33" t="s">
        <v>8608</v>
      </c>
      <c r="B2343" s="33" t="s">
        <v>8609</v>
      </c>
      <c r="C2343" s="33" t="s">
        <v>1891</v>
      </c>
      <c r="D2343" s="33" t="s">
        <v>67</v>
      </c>
      <c r="E2343" s="33" t="s">
        <v>6609</v>
      </c>
      <c r="G2343" s="33" t="s">
        <v>41</v>
      </c>
      <c r="H2343" s="33" t="s">
        <v>2541</v>
      </c>
      <c r="I2343" s="33" t="s">
        <v>2541</v>
      </c>
      <c r="J2343" s="33" t="s">
        <v>8610</v>
      </c>
      <c r="K2343" s="33" t="s">
        <v>6611</v>
      </c>
      <c r="L2343" s="33" t="s">
        <v>2541</v>
      </c>
      <c r="M2343" s="33" t="str">
        <f>_xlfn.XLOOKUP(Tabela14[[#This Row],[Responsável]],Organograma!H:H,Organograma!G:G,"")</f>
        <v>CC - Centro Cirúrgico</v>
      </c>
      <c r="N2343" s="33" t="s">
        <v>42</v>
      </c>
      <c r="Q2343" s="33" t="s">
        <v>8143</v>
      </c>
    </row>
    <row r="2344" spans="1:17">
      <c r="A2344" s="33" t="s">
        <v>8611</v>
      </c>
      <c r="B2344" s="33" t="s">
        <v>8612</v>
      </c>
      <c r="C2344" s="33" t="s">
        <v>1891</v>
      </c>
      <c r="D2344" s="33" t="s">
        <v>41</v>
      </c>
      <c r="E2344" s="33" t="s">
        <v>935</v>
      </c>
      <c r="G2344" s="33" t="s">
        <v>41</v>
      </c>
      <c r="H2344" s="33" t="s">
        <v>2541</v>
      </c>
      <c r="I2344" s="33" t="s">
        <v>2541</v>
      </c>
      <c r="J2344" s="33" t="s">
        <v>8613</v>
      </c>
      <c r="K2344" s="33" t="s">
        <v>6898</v>
      </c>
      <c r="L2344" s="33" t="s">
        <v>7317</v>
      </c>
      <c r="M2344" s="33" t="s">
        <v>69</v>
      </c>
      <c r="N2344" s="33" t="s">
        <v>42</v>
      </c>
      <c r="Q2344" s="33" t="s">
        <v>8143</v>
      </c>
    </row>
    <row r="2345" spans="1:17" hidden="1">
      <c r="A2345" s="33" t="s">
        <v>8967</v>
      </c>
      <c r="B2345" s="33" t="s">
        <v>8968</v>
      </c>
      <c r="C2345" s="33" t="s">
        <v>1891</v>
      </c>
      <c r="D2345" s="33" t="s">
        <v>8594</v>
      </c>
      <c r="E2345" s="33" t="s">
        <v>6609</v>
      </c>
      <c r="G2345" s="33" t="s">
        <v>41</v>
      </c>
      <c r="H2345" s="33" t="s">
        <v>2685</v>
      </c>
      <c r="I2345" s="33" t="s">
        <v>2685</v>
      </c>
      <c r="J2345" s="33" t="s">
        <v>8969</v>
      </c>
      <c r="K2345" s="33" t="s">
        <v>6611</v>
      </c>
      <c r="L2345" s="33" t="s">
        <v>2685</v>
      </c>
      <c r="M2345" s="33" t="s">
        <v>61</v>
      </c>
      <c r="N2345" s="33" t="s">
        <v>42</v>
      </c>
      <c r="Q2345" s="33" t="s">
        <v>8143</v>
      </c>
    </row>
    <row r="2346" spans="1:17">
      <c r="A2346" s="33" t="s">
        <v>8617</v>
      </c>
      <c r="B2346" s="33" t="s">
        <v>8618</v>
      </c>
      <c r="C2346" s="33" t="s">
        <v>1891</v>
      </c>
      <c r="D2346" s="33" t="s">
        <v>41</v>
      </c>
      <c r="E2346" s="33" t="s">
        <v>935</v>
      </c>
      <c r="G2346" s="33" t="s">
        <v>41</v>
      </c>
      <c r="H2346" s="33" t="s">
        <v>2541</v>
      </c>
      <c r="I2346" s="33" t="s">
        <v>2541</v>
      </c>
      <c r="J2346" s="33" t="s">
        <v>8619</v>
      </c>
      <c r="K2346" s="33" t="s">
        <v>6898</v>
      </c>
      <c r="L2346" s="33" t="s">
        <v>7317</v>
      </c>
      <c r="M2346" s="33" t="s">
        <v>69</v>
      </c>
      <c r="N2346" s="33" t="s">
        <v>42</v>
      </c>
      <c r="Q2346" s="33" t="s">
        <v>8143</v>
      </c>
    </row>
    <row r="2347" spans="1:17">
      <c r="A2347" s="33" t="s">
        <v>8620</v>
      </c>
      <c r="B2347" s="33" t="s">
        <v>8621</v>
      </c>
      <c r="C2347" s="33" t="s">
        <v>1891</v>
      </c>
      <c r="D2347" s="33" t="s">
        <v>41</v>
      </c>
      <c r="E2347" s="33" t="s">
        <v>935</v>
      </c>
      <c r="G2347" s="33" t="s">
        <v>41</v>
      </c>
      <c r="H2347" s="33" t="s">
        <v>2541</v>
      </c>
      <c r="I2347" s="33" t="s">
        <v>2541</v>
      </c>
      <c r="J2347" s="33" t="s">
        <v>8622</v>
      </c>
      <c r="K2347" s="33" t="s">
        <v>6898</v>
      </c>
      <c r="L2347" s="33" t="s">
        <v>7317</v>
      </c>
      <c r="M2347" s="33" t="s">
        <v>69</v>
      </c>
      <c r="N2347" s="33" t="s">
        <v>42</v>
      </c>
      <c r="Q2347" s="33" t="s">
        <v>8143</v>
      </c>
    </row>
    <row r="2348" spans="1:17">
      <c r="A2348" s="33" t="s">
        <v>8623</v>
      </c>
      <c r="B2348" s="33" t="s">
        <v>8624</v>
      </c>
      <c r="C2348" s="33" t="s">
        <v>1891</v>
      </c>
      <c r="D2348" s="33" t="s">
        <v>41</v>
      </c>
      <c r="E2348" s="33" t="s">
        <v>3976</v>
      </c>
      <c r="G2348" s="33" t="s">
        <v>41</v>
      </c>
      <c r="H2348" s="33" t="s">
        <v>2541</v>
      </c>
      <c r="I2348" s="33" t="s">
        <v>2541</v>
      </c>
      <c r="J2348" s="33" t="s">
        <v>8625</v>
      </c>
      <c r="K2348" s="33" t="s">
        <v>6898</v>
      </c>
      <c r="L2348" s="33" t="s">
        <v>2589</v>
      </c>
      <c r="M2348" s="33" t="s">
        <v>69</v>
      </c>
      <c r="N2348" s="33" t="s">
        <v>42</v>
      </c>
      <c r="Q2348" s="33" t="s">
        <v>8143</v>
      </c>
    </row>
    <row r="2349" spans="1:17" hidden="1">
      <c r="A2349" s="33" t="s">
        <v>9226</v>
      </c>
      <c r="B2349" s="33" t="s">
        <v>9227</v>
      </c>
      <c r="C2349" s="33" t="s">
        <v>1891</v>
      </c>
      <c r="D2349" s="33" t="s">
        <v>6840</v>
      </c>
      <c r="E2349" s="33" t="s">
        <v>6609</v>
      </c>
      <c r="G2349" s="33" t="s">
        <v>41</v>
      </c>
      <c r="H2349" s="33" t="s">
        <v>2647</v>
      </c>
      <c r="I2349" s="33" t="s">
        <v>2647</v>
      </c>
      <c r="J2349" s="33" t="s">
        <v>9228</v>
      </c>
      <c r="K2349" s="33" t="s">
        <v>6611</v>
      </c>
      <c r="L2349" s="33" t="s">
        <v>2647</v>
      </c>
      <c r="M2349" s="33" t="s">
        <v>80</v>
      </c>
      <c r="N2349" s="33" t="s">
        <v>42</v>
      </c>
      <c r="Q2349" s="33" t="s">
        <v>8143</v>
      </c>
    </row>
    <row r="2350" spans="1:17">
      <c r="A2350" s="33" t="s">
        <v>8629</v>
      </c>
      <c r="B2350" s="33" t="s">
        <v>8630</v>
      </c>
      <c r="C2350" s="33" t="s">
        <v>1891</v>
      </c>
      <c r="D2350" s="33" t="s">
        <v>41</v>
      </c>
      <c r="E2350" s="33" t="s">
        <v>935</v>
      </c>
      <c r="G2350" s="33" t="s">
        <v>41</v>
      </c>
      <c r="H2350" s="33" t="s">
        <v>2569</v>
      </c>
      <c r="I2350" s="33" t="s">
        <v>2569</v>
      </c>
      <c r="J2350" s="33" t="s">
        <v>8631</v>
      </c>
      <c r="K2350" s="33" t="s">
        <v>6898</v>
      </c>
      <c r="L2350" s="33" t="s">
        <v>2735</v>
      </c>
      <c r="M2350" s="33" t="s">
        <v>1402</v>
      </c>
      <c r="N2350" s="33" t="s">
        <v>42</v>
      </c>
      <c r="Q2350" s="33" t="s">
        <v>8143</v>
      </c>
    </row>
    <row r="2351" spans="1:17" hidden="1">
      <c r="A2351" s="33" t="s">
        <v>7310</v>
      </c>
      <c r="B2351" s="33" t="s">
        <v>7311</v>
      </c>
      <c r="C2351" s="33" t="s">
        <v>1891</v>
      </c>
      <c r="D2351" s="33" t="s">
        <v>7312</v>
      </c>
      <c r="E2351" s="33" t="s">
        <v>6600</v>
      </c>
      <c r="G2351" s="33" t="s">
        <v>41</v>
      </c>
      <c r="H2351" s="33" t="s">
        <v>1945</v>
      </c>
      <c r="I2351" s="33" t="s">
        <v>1945</v>
      </c>
      <c r="J2351" s="33" t="s">
        <v>7313</v>
      </c>
      <c r="K2351" s="33" t="s">
        <v>6602</v>
      </c>
      <c r="L2351" s="33" t="s">
        <v>1881</v>
      </c>
      <c r="M2351" s="33" t="s">
        <v>69</v>
      </c>
      <c r="N2351" s="33" t="s">
        <v>42</v>
      </c>
      <c r="Q2351" s="33" t="s">
        <v>7095</v>
      </c>
    </row>
    <row r="2352" spans="1:17">
      <c r="A2352" s="33" t="s">
        <v>8635</v>
      </c>
      <c r="B2352" s="33" t="s">
        <v>8636</v>
      </c>
      <c r="C2352" s="33" t="s">
        <v>1891</v>
      </c>
      <c r="D2352" s="33" t="s">
        <v>41</v>
      </c>
      <c r="E2352" s="33" t="s">
        <v>935</v>
      </c>
      <c r="G2352" s="33" t="s">
        <v>41</v>
      </c>
      <c r="H2352" s="33" t="s">
        <v>2569</v>
      </c>
      <c r="I2352" s="33" t="s">
        <v>2569</v>
      </c>
      <c r="J2352" s="33" t="s">
        <v>8637</v>
      </c>
      <c r="K2352" s="33" t="s">
        <v>6898</v>
      </c>
      <c r="L2352" s="33" t="s">
        <v>2735</v>
      </c>
      <c r="M2352" s="33" t="s">
        <v>1402</v>
      </c>
      <c r="N2352" s="33" t="s">
        <v>42</v>
      </c>
      <c r="Q2352" s="33" t="s">
        <v>8143</v>
      </c>
    </row>
    <row r="2353" spans="1:17">
      <c r="A2353" s="33" t="s">
        <v>8638</v>
      </c>
      <c r="B2353" s="33" t="s">
        <v>8639</v>
      </c>
      <c r="C2353" s="33" t="s">
        <v>1891</v>
      </c>
      <c r="D2353" s="33" t="s">
        <v>41</v>
      </c>
      <c r="E2353" s="33" t="s">
        <v>935</v>
      </c>
      <c r="G2353" s="33" t="s">
        <v>41</v>
      </c>
      <c r="H2353" s="33" t="s">
        <v>2569</v>
      </c>
      <c r="I2353" s="33" t="s">
        <v>2569</v>
      </c>
      <c r="J2353" s="33" t="s">
        <v>8640</v>
      </c>
      <c r="K2353" s="33" t="s">
        <v>6898</v>
      </c>
      <c r="L2353" s="33" t="s">
        <v>3091</v>
      </c>
      <c r="M2353" s="33" t="s">
        <v>1402</v>
      </c>
      <c r="N2353" s="33" t="s">
        <v>42</v>
      </c>
      <c r="Q2353" s="33" t="s">
        <v>8143</v>
      </c>
    </row>
    <row r="2354" spans="1:17">
      <c r="A2354" s="33" t="s">
        <v>8641</v>
      </c>
      <c r="B2354" s="33" t="s">
        <v>8642</v>
      </c>
      <c r="C2354" s="33" t="s">
        <v>1891</v>
      </c>
      <c r="D2354" s="33" t="s">
        <v>41</v>
      </c>
      <c r="E2354" s="33" t="s">
        <v>3976</v>
      </c>
      <c r="G2354" s="33" t="s">
        <v>41</v>
      </c>
      <c r="H2354" s="33" t="s">
        <v>2569</v>
      </c>
      <c r="I2354" s="33" t="s">
        <v>2569</v>
      </c>
      <c r="J2354" s="33" t="s">
        <v>8643</v>
      </c>
      <c r="K2354" s="33" t="s">
        <v>6898</v>
      </c>
      <c r="L2354" s="33" t="s">
        <v>3246</v>
      </c>
      <c r="M2354" s="33" t="s">
        <v>1083</v>
      </c>
      <c r="N2354" s="33" t="s">
        <v>42</v>
      </c>
      <c r="Q2354" s="33" t="s">
        <v>8143</v>
      </c>
    </row>
    <row r="2355" spans="1:17">
      <c r="A2355" s="33" t="s">
        <v>8644</v>
      </c>
      <c r="B2355" s="33" t="s">
        <v>8645</v>
      </c>
      <c r="C2355" s="33" t="s">
        <v>1891</v>
      </c>
      <c r="D2355" s="33" t="s">
        <v>41</v>
      </c>
      <c r="E2355" s="33" t="s">
        <v>3976</v>
      </c>
      <c r="G2355" s="33" t="s">
        <v>41</v>
      </c>
      <c r="H2355" s="33" t="s">
        <v>2569</v>
      </c>
      <c r="I2355" s="33" t="s">
        <v>2569</v>
      </c>
      <c r="J2355" s="33" t="s">
        <v>8646</v>
      </c>
      <c r="K2355" s="33" t="s">
        <v>6898</v>
      </c>
      <c r="L2355" s="33" t="s">
        <v>2769</v>
      </c>
      <c r="M2355" s="33" t="s">
        <v>194</v>
      </c>
      <c r="N2355" s="33" t="s">
        <v>42</v>
      </c>
      <c r="Q2355" s="33" t="s">
        <v>8143</v>
      </c>
    </row>
    <row r="2356" spans="1:17" hidden="1">
      <c r="A2356" s="33" t="s">
        <v>8647</v>
      </c>
      <c r="B2356" s="33" t="s">
        <v>8648</v>
      </c>
      <c r="C2356" s="33" t="s">
        <v>1891</v>
      </c>
      <c r="D2356" s="33" t="s">
        <v>85</v>
      </c>
      <c r="E2356" s="33" t="s">
        <v>6600</v>
      </c>
      <c r="G2356" s="33" t="s">
        <v>41</v>
      </c>
      <c r="H2356" s="33" t="s">
        <v>2569</v>
      </c>
      <c r="I2356" s="33" t="s">
        <v>2569</v>
      </c>
      <c r="J2356" s="33" t="s">
        <v>8649</v>
      </c>
      <c r="K2356" s="33" t="s">
        <v>6602</v>
      </c>
      <c r="L2356" s="33" t="s">
        <v>3135</v>
      </c>
      <c r="M2356" s="33" t="str">
        <f>_xlfn.XLOOKUP(Tabela14[[#This Row],[Responsável]],Organograma!H:H,Organograma!G:G,"")</f>
        <v>Diretoria Técnica</v>
      </c>
      <c r="N2356" s="33" t="s">
        <v>42</v>
      </c>
      <c r="Q2356" s="33" t="s">
        <v>8143</v>
      </c>
    </row>
    <row r="2357" spans="1:17">
      <c r="A2357" s="33" t="s">
        <v>8650</v>
      </c>
      <c r="B2357" s="33" t="s">
        <v>8651</v>
      </c>
      <c r="C2357" s="33" t="s">
        <v>1891</v>
      </c>
      <c r="D2357" s="33" t="s">
        <v>41</v>
      </c>
      <c r="E2357" s="33" t="s">
        <v>3976</v>
      </c>
      <c r="G2357" s="33" t="s">
        <v>41</v>
      </c>
      <c r="H2357" s="33" t="s">
        <v>2569</v>
      </c>
      <c r="I2357" s="33" t="s">
        <v>2569</v>
      </c>
      <c r="J2357" s="33" t="s">
        <v>8652</v>
      </c>
      <c r="K2357" s="33" t="s">
        <v>6898</v>
      </c>
      <c r="L2357" s="33" t="s">
        <v>2769</v>
      </c>
      <c r="M2357" s="33" t="s">
        <v>194</v>
      </c>
      <c r="N2357" s="33" t="s">
        <v>42</v>
      </c>
      <c r="Q2357" s="33" t="s">
        <v>8143</v>
      </c>
    </row>
    <row r="2358" spans="1:17">
      <c r="A2358" s="33" t="s">
        <v>8653</v>
      </c>
      <c r="B2358" s="33" t="s">
        <v>8654</v>
      </c>
      <c r="C2358" s="33" t="s">
        <v>1891</v>
      </c>
      <c r="D2358" s="33" t="s">
        <v>41</v>
      </c>
      <c r="E2358" s="33" t="s">
        <v>935</v>
      </c>
      <c r="G2358" s="33" t="s">
        <v>41</v>
      </c>
      <c r="H2358" s="33" t="s">
        <v>2589</v>
      </c>
      <c r="I2358" s="33" t="s">
        <v>2589</v>
      </c>
      <c r="J2358" s="33" t="s">
        <v>8655</v>
      </c>
      <c r="K2358" s="33" t="s">
        <v>6898</v>
      </c>
      <c r="L2358" s="33" t="s">
        <v>3452</v>
      </c>
      <c r="M2358" s="33" t="s">
        <v>195</v>
      </c>
      <c r="N2358" s="33" t="s">
        <v>42</v>
      </c>
      <c r="Q2358" s="33" t="s">
        <v>8143</v>
      </c>
    </row>
    <row r="2359" spans="1:17" hidden="1">
      <c r="A2359" s="33" t="s">
        <v>8614</v>
      </c>
      <c r="B2359" s="33" t="s">
        <v>8615</v>
      </c>
      <c r="C2359" s="33" t="s">
        <v>1891</v>
      </c>
      <c r="D2359" s="33" t="s">
        <v>7312</v>
      </c>
      <c r="E2359" s="33" t="s">
        <v>6600</v>
      </c>
      <c r="G2359" s="33" t="s">
        <v>41</v>
      </c>
      <c r="H2359" s="33" t="s">
        <v>2541</v>
      </c>
      <c r="I2359" s="33" t="s">
        <v>2541</v>
      </c>
      <c r="J2359" s="33" t="s">
        <v>8616</v>
      </c>
      <c r="K2359" s="33" t="s">
        <v>6602</v>
      </c>
      <c r="L2359" s="33" t="s">
        <v>2769</v>
      </c>
      <c r="M2359" s="33" t="s">
        <v>69</v>
      </c>
      <c r="N2359" s="33" t="s">
        <v>42</v>
      </c>
      <c r="Q2359" s="33" t="s">
        <v>8143</v>
      </c>
    </row>
    <row r="2360" spans="1:17">
      <c r="A2360" s="33" t="s">
        <v>8659</v>
      </c>
      <c r="B2360" s="33" t="s">
        <v>8660</v>
      </c>
      <c r="C2360" s="33" t="s">
        <v>1891</v>
      </c>
      <c r="D2360" s="33" t="s">
        <v>41</v>
      </c>
      <c r="E2360" s="33" t="s">
        <v>935</v>
      </c>
      <c r="G2360" s="33" t="s">
        <v>41</v>
      </c>
      <c r="H2360" s="33" t="s">
        <v>2589</v>
      </c>
      <c r="I2360" s="33" t="s">
        <v>2589</v>
      </c>
      <c r="J2360" s="33" t="s">
        <v>8661</v>
      </c>
      <c r="K2360" s="33" t="s">
        <v>6898</v>
      </c>
      <c r="L2360" s="33" t="s">
        <v>3318</v>
      </c>
      <c r="M2360" s="33" t="s">
        <v>92</v>
      </c>
      <c r="N2360" s="33" t="s">
        <v>42</v>
      </c>
      <c r="Q2360" s="33" t="s">
        <v>8143</v>
      </c>
    </row>
    <row r="2361" spans="1:17">
      <c r="A2361" s="33" t="s">
        <v>8662</v>
      </c>
      <c r="B2361" s="33" t="s">
        <v>8663</v>
      </c>
      <c r="C2361" s="33" t="s">
        <v>1891</v>
      </c>
      <c r="D2361" s="33" t="s">
        <v>41</v>
      </c>
      <c r="E2361" s="33" t="s">
        <v>935</v>
      </c>
      <c r="G2361" s="33" t="s">
        <v>41</v>
      </c>
      <c r="H2361" s="33" t="s">
        <v>2589</v>
      </c>
      <c r="I2361" s="33" t="s">
        <v>2589</v>
      </c>
      <c r="J2361" s="33" t="s">
        <v>8664</v>
      </c>
      <c r="K2361" s="33" t="s">
        <v>6898</v>
      </c>
      <c r="L2361" s="33" t="s">
        <v>3318</v>
      </c>
      <c r="M2361" s="33" t="s">
        <v>92</v>
      </c>
      <c r="N2361" s="33" t="s">
        <v>42</v>
      </c>
      <c r="Q2361" s="33" t="s">
        <v>8143</v>
      </c>
    </row>
    <row r="2362" spans="1:17">
      <c r="A2362" s="33" t="s">
        <v>8665</v>
      </c>
      <c r="B2362" s="33" t="s">
        <v>8666</v>
      </c>
      <c r="C2362" s="33" t="s">
        <v>1891</v>
      </c>
      <c r="D2362" s="33" t="s">
        <v>41</v>
      </c>
      <c r="E2362" s="33" t="s">
        <v>935</v>
      </c>
      <c r="G2362" s="33" t="s">
        <v>41</v>
      </c>
      <c r="H2362" s="33" t="s">
        <v>2589</v>
      </c>
      <c r="I2362" s="33" t="s">
        <v>2589</v>
      </c>
      <c r="J2362" s="33" t="s">
        <v>8667</v>
      </c>
      <c r="K2362" s="33" t="s">
        <v>6898</v>
      </c>
      <c r="L2362" s="33" t="s">
        <v>3318</v>
      </c>
      <c r="M2362" s="33" t="s">
        <v>92</v>
      </c>
      <c r="N2362" s="33" t="s">
        <v>42</v>
      </c>
      <c r="Q2362" s="33" t="s">
        <v>8143</v>
      </c>
    </row>
    <row r="2363" spans="1:17">
      <c r="A2363" s="33" t="s">
        <v>8668</v>
      </c>
      <c r="B2363" s="33" t="s">
        <v>8669</v>
      </c>
      <c r="C2363" s="33" t="s">
        <v>1891</v>
      </c>
      <c r="D2363" s="33" t="s">
        <v>41</v>
      </c>
      <c r="E2363" s="33" t="s">
        <v>935</v>
      </c>
      <c r="G2363" s="33" t="s">
        <v>41</v>
      </c>
      <c r="H2363" s="33" t="s">
        <v>2428</v>
      </c>
      <c r="I2363" s="33" t="s">
        <v>2428</v>
      </c>
      <c r="J2363" s="33" t="s">
        <v>8670</v>
      </c>
      <c r="K2363" s="33" t="s">
        <v>6898</v>
      </c>
      <c r="L2363" s="33" t="s">
        <v>2647</v>
      </c>
      <c r="M2363" s="33" t="s">
        <v>1402</v>
      </c>
      <c r="N2363" s="33" t="s">
        <v>42</v>
      </c>
      <c r="Q2363" s="33" t="s">
        <v>8143</v>
      </c>
    </row>
    <row r="2364" spans="1:17">
      <c r="A2364" s="33" t="s">
        <v>8671</v>
      </c>
      <c r="B2364" s="33" t="s">
        <v>8672</v>
      </c>
      <c r="C2364" s="33" t="s">
        <v>1891</v>
      </c>
      <c r="D2364" s="33" t="s">
        <v>41</v>
      </c>
      <c r="E2364" s="33" t="s">
        <v>3976</v>
      </c>
      <c r="G2364" s="33" t="s">
        <v>41</v>
      </c>
      <c r="H2364" s="33" t="s">
        <v>2428</v>
      </c>
      <c r="I2364" s="33" t="s">
        <v>2428</v>
      </c>
      <c r="J2364" s="33" t="s">
        <v>8673</v>
      </c>
      <c r="K2364" s="33" t="s">
        <v>6898</v>
      </c>
      <c r="L2364" s="33" t="s">
        <v>3246</v>
      </c>
      <c r="M2364" s="33" t="s">
        <v>1083</v>
      </c>
      <c r="N2364" s="33" t="s">
        <v>42</v>
      </c>
      <c r="Q2364" s="33" t="s">
        <v>8143</v>
      </c>
    </row>
    <row r="2365" spans="1:17">
      <c r="A2365" s="33" t="s">
        <v>8674</v>
      </c>
      <c r="B2365" s="33" t="s">
        <v>8675</v>
      </c>
      <c r="C2365" s="33" t="s">
        <v>1891</v>
      </c>
      <c r="D2365" s="33" t="s">
        <v>90</v>
      </c>
      <c r="E2365" s="33" t="s">
        <v>936</v>
      </c>
      <c r="G2365" s="33" t="s">
        <v>41</v>
      </c>
      <c r="H2365" s="33" t="s">
        <v>2428</v>
      </c>
      <c r="I2365" s="33" t="s">
        <v>2428</v>
      </c>
      <c r="J2365" s="33" t="s">
        <v>8676</v>
      </c>
      <c r="K2365" s="33" t="s">
        <v>6737</v>
      </c>
      <c r="L2365" s="33" t="s">
        <v>945</v>
      </c>
      <c r="M2365" s="33" t="str">
        <f>_xlfn.XLOOKUP(Tabela14[[#This Row],[Responsável]],Organograma!H:H,Organograma!G:G,"")</f>
        <v>PSICO - Unidade de Atendimento a Saúde Mental</v>
      </c>
      <c r="N2365" s="33" t="s">
        <v>42</v>
      </c>
      <c r="Q2365" s="33" t="s">
        <v>8143</v>
      </c>
    </row>
    <row r="2366" spans="1:17">
      <c r="A2366" s="33" t="s">
        <v>8677</v>
      </c>
      <c r="B2366" s="33" t="s">
        <v>8678</v>
      </c>
      <c r="C2366" s="33" t="s">
        <v>1891</v>
      </c>
      <c r="D2366" s="33" t="s">
        <v>41</v>
      </c>
      <c r="E2366" s="33" t="s">
        <v>6689</v>
      </c>
      <c r="G2366" s="33" t="s">
        <v>41</v>
      </c>
      <c r="H2366" s="33" t="s">
        <v>2428</v>
      </c>
      <c r="I2366" s="33" t="s">
        <v>2428</v>
      </c>
      <c r="J2366" s="33" t="s">
        <v>8679</v>
      </c>
      <c r="K2366" s="33" t="s">
        <v>3859</v>
      </c>
      <c r="L2366" s="33" t="s">
        <v>4612</v>
      </c>
      <c r="M2366" s="33" t="s">
        <v>92</v>
      </c>
      <c r="N2366" s="33" t="s">
        <v>42</v>
      </c>
      <c r="Q2366" s="33" t="s">
        <v>8143</v>
      </c>
    </row>
    <row r="2367" spans="1:17" hidden="1">
      <c r="A2367" s="33" t="s">
        <v>8780</v>
      </c>
      <c r="B2367" s="33" t="s">
        <v>8781</v>
      </c>
      <c r="C2367" s="33" t="s">
        <v>1891</v>
      </c>
      <c r="D2367" s="33" t="s">
        <v>8782</v>
      </c>
      <c r="E2367" s="33" t="s">
        <v>6609</v>
      </c>
      <c r="G2367" s="33" t="s">
        <v>41</v>
      </c>
      <c r="H2367" s="33" t="s">
        <v>3211</v>
      </c>
      <c r="I2367" s="33" t="s">
        <v>3211</v>
      </c>
      <c r="J2367" s="33" t="s">
        <v>8783</v>
      </c>
      <c r="K2367" s="33" t="s">
        <v>6611</v>
      </c>
      <c r="L2367" s="33" t="s">
        <v>3211</v>
      </c>
      <c r="M2367" s="33" t="s">
        <v>92</v>
      </c>
      <c r="N2367" s="33" t="s">
        <v>42</v>
      </c>
      <c r="Q2367" s="33" t="s">
        <v>8143</v>
      </c>
    </row>
    <row r="2368" spans="1:17">
      <c r="A2368" s="33" t="s">
        <v>8683</v>
      </c>
      <c r="B2368" s="33" t="s">
        <v>8684</v>
      </c>
      <c r="C2368" s="33" t="s">
        <v>1891</v>
      </c>
      <c r="D2368" s="33" t="s">
        <v>41</v>
      </c>
      <c r="E2368" s="33" t="s">
        <v>3976</v>
      </c>
      <c r="G2368" s="33" t="s">
        <v>41</v>
      </c>
      <c r="H2368" s="33" t="s">
        <v>2428</v>
      </c>
      <c r="I2368" s="33" t="s">
        <v>2428</v>
      </c>
      <c r="J2368" s="33" t="s">
        <v>8685</v>
      </c>
      <c r="K2368" s="33" t="s">
        <v>6898</v>
      </c>
      <c r="L2368" s="33" t="s">
        <v>3246</v>
      </c>
      <c r="M2368" s="33" t="s">
        <v>1083</v>
      </c>
      <c r="N2368" s="33" t="s">
        <v>42</v>
      </c>
      <c r="Q2368" s="33" t="s">
        <v>8143</v>
      </c>
    </row>
    <row r="2369" spans="1:17">
      <c r="A2369" s="33" t="s">
        <v>8686</v>
      </c>
      <c r="B2369" s="33" t="s">
        <v>8687</v>
      </c>
      <c r="C2369" s="33" t="s">
        <v>1891</v>
      </c>
      <c r="D2369" s="33" t="s">
        <v>65</v>
      </c>
      <c r="E2369" s="33" t="s">
        <v>7018</v>
      </c>
      <c r="G2369" s="33" t="s">
        <v>41</v>
      </c>
      <c r="H2369" s="33" t="s">
        <v>2428</v>
      </c>
      <c r="I2369" s="33" t="s">
        <v>2428</v>
      </c>
      <c r="J2369" s="33" t="s">
        <v>8688</v>
      </c>
      <c r="K2369" s="33" t="s">
        <v>6737</v>
      </c>
      <c r="L2369" s="33" t="s">
        <v>2647</v>
      </c>
      <c r="M2369" s="33" t="str">
        <f>_xlfn.XLOOKUP(Tabela14[[#This Row],[Responsável]],Organograma!H:H,Organograma!G:G,"")</f>
        <v>CGO - Unidade de Internação Ginecobstétrica</v>
      </c>
      <c r="N2369" s="33" t="s">
        <v>42</v>
      </c>
      <c r="Q2369" s="33" t="s">
        <v>8143</v>
      </c>
    </row>
    <row r="2370" spans="1:17">
      <c r="A2370" s="33" t="s">
        <v>8689</v>
      </c>
      <c r="B2370" s="33" t="s">
        <v>8690</v>
      </c>
      <c r="C2370" s="33" t="s">
        <v>1891</v>
      </c>
      <c r="D2370" s="33" t="s">
        <v>79</v>
      </c>
      <c r="E2370" s="33" t="s">
        <v>7093</v>
      </c>
      <c r="G2370" s="33" t="s">
        <v>41</v>
      </c>
      <c r="H2370" s="33" t="s">
        <v>2428</v>
      </c>
      <c r="I2370" s="33" t="s">
        <v>2428</v>
      </c>
      <c r="J2370" s="33" t="s">
        <v>8691</v>
      </c>
      <c r="K2370" s="33" t="s">
        <v>6611</v>
      </c>
      <c r="L2370" s="33" t="s">
        <v>3072</v>
      </c>
      <c r="M2370" s="33" t="str">
        <f>_xlfn.XLOOKUP(Tabela14[[#This Row],[Responsável]],Organograma!H:H,Organograma!G:G,"")</f>
        <v>PED - Unidade de Internação Pediátrica</v>
      </c>
      <c r="N2370" s="33" t="s">
        <v>42</v>
      </c>
      <c r="Q2370" s="33" t="s">
        <v>8143</v>
      </c>
    </row>
    <row r="2371" spans="1:17" hidden="1">
      <c r="A2371" s="33" t="s">
        <v>8692</v>
      </c>
      <c r="B2371" s="33" t="s">
        <v>8693</v>
      </c>
      <c r="C2371" s="33" t="s">
        <v>1891</v>
      </c>
      <c r="D2371" s="33" t="s">
        <v>41</v>
      </c>
      <c r="E2371" s="33" t="s">
        <v>1836</v>
      </c>
      <c r="G2371" s="33" t="s">
        <v>41</v>
      </c>
      <c r="H2371" s="33" t="s">
        <v>2473</v>
      </c>
      <c r="I2371" s="33" t="s">
        <v>2473</v>
      </c>
      <c r="J2371" s="33" t="s">
        <v>8694</v>
      </c>
      <c r="K2371" s="33" t="s">
        <v>1791</v>
      </c>
      <c r="L2371" s="33" t="s">
        <v>4612</v>
      </c>
      <c r="M2371" s="33" t="s">
        <v>69</v>
      </c>
      <c r="N2371" s="33" t="s">
        <v>42</v>
      </c>
      <c r="Q2371" s="33" t="s">
        <v>8143</v>
      </c>
    </row>
    <row r="2372" spans="1:17">
      <c r="A2372" s="33" t="s">
        <v>8695</v>
      </c>
      <c r="B2372" s="33" t="s">
        <v>8696</v>
      </c>
      <c r="C2372" s="33" t="s">
        <v>1891</v>
      </c>
      <c r="D2372" s="33" t="s">
        <v>41</v>
      </c>
      <c r="E2372" s="33" t="s">
        <v>935</v>
      </c>
      <c r="G2372" s="33" t="s">
        <v>41</v>
      </c>
      <c r="H2372" s="33" t="s">
        <v>2473</v>
      </c>
      <c r="I2372" s="33" t="s">
        <v>2473</v>
      </c>
      <c r="J2372" s="33" t="s">
        <v>8697</v>
      </c>
      <c r="K2372" s="33" t="s">
        <v>6898</v>
      </c>
      <c r="L2372" s="33" t="s">
        <v>2647</v>
      </c>
      <c r="M2372" s="33" t="s">
        <v>1402</v>
      </c>
      <c r="N2372" s="33" t="s">
        <v>42</v>
      </c>
      <c r="Q2372" s="33" t="s">
        <v>8143</v>
      </c>
    </row>
    <row r="2373" spans="1:17" hidden="1">
      <c r="A2373" s="33" t="s">
        <v>7102</v>
      </c>
      <c r="B2373" s="33" t="s">
        <v>7103</v>
      </c>
      <c r="C2373" s="33" t="s">
        <v>1891</v>
      </c>
      <c r="D2373" s="33" t="s">
        <v>3323</v>
      </c>
      <c r="E2373" s="33" t="s">
        <v>6609</v>
      </c>
      <c r="G2373" s="33" t="s">
        <v>41</v>
      </c>
      <c r="H2373" s="33" t="s">
        <v>1955</v>
      </c>
      <c r="I2373" s="33" t="s">
        <v>1955</v>
      </c>
      <c r="J2373" s="33" t="s">
        <v>7104</v>
      </c>
      <c r="K2373" s="33" t="s">
        <v>6611</v>
      </c>
      <c r="L2373" s="33" t="s">
        <v>1955</v>
      </c>
      <c r="M2373" s="33" t="s">
        <v>69</v>
      </c>
      <c r="N2373" s="33" t="s">
        <v>42</v>
      </c>
      <c r="Q2373" s="33" t="s">
        <v>7095</v>
      </c>
    </row>
    <row r="2374" spans="1:17">
      <c r="A2374" s="33" t="s">
        <v>8701</v>
      </c>
      <c r="B2374" s="33" t="s">
        <v>8702</v>
      </c>
      <c r="C2374" s="33" t="s">
        <v>1891</v>
      </c>
      <c r="D2374" s="33" t="s">
        <v>41</v>
      </c>
      <c r="E2374" s="33" t="s">
        <v>935</v>
      </c>
      <c r="G2374" s="33" t="s">
        <v>41</v>
      </c>
      <c r="H2374" s="33" t="s">
        <v>2473</v>
      </c>
      <c r="I2374" s="33" t="s">
        <v>2473</v>
      </c>
      <c r="J2374" s="33" t="s">
        <v>8703</v>
      </c>
      <c r="K2374" s="33" t="s">
        <v>6898</v>
      </c>
      <c r="L2374" s="33" t="s">
        <v>7317</v>
      </c>
      <c r="M2374" s="33" t="s">
        <v>69</v>
      </c>
      <c r="N2374" s="33" t="s">
        <v>42</v>
      </c>
      <c r="Q2374" s="33" t="s">
        <v>8143</v>
      </c>
    </row>
    <row r="2375" spans="1:17">
      <c r="A2375" s="33" t="s">
        <v>8704</v>
      </c>
      <c r="B2375" s="33" t="s">
        <v>8705</v>
      </c>
      <c r="C2375" s="33" t="s">
        <v>1891</v>
      </c>
      <c r="D2375" s="33" t="s">
        <v>41</v>
      </c>
      <c r="E2375" s="33" t="s">
        <v>3976</v>
      </c>
      <c r="G2375" s="33" t="s">
        <v>41</v>
      </c>
      <c r="H2375" s="33" t="s">
        <v>2473</v>
      </c>
      <c r="I2375" s="33" t="s">
        <v>2473</v>
      </c>
      <c r="J2375" s="33" t="s">
        <v>8706</v>
      </c>
      <c r="K2375" s="33" t="s">
        <v>6898</v>
      </c>
      <c r="L2375" s="33" t="s">
        <v>5779</v>
      </c>
      <c r="M2375" s="33" t="s">
        <v>970</v>
      </c>
      <c r="N2375" s="33" t="s">
        <v>42</v>
      </c>
      <c r="Q2375" s="33" t="s">
        <v>8143</v>
      </c>
    </row>
    <row r="2376" spans="1:17" hidden="1">
      <c r="A2376" s="33" t="s">
        <v>8707</v>
      </c>
      <c r="B2376" s="33" t="s">
        <v>8708</v>
      </c>
      <c r="C2376" s="33" t="s">
        <v>1891</v>
      </c>
      <c r="D2376" s="33" t="s">
        <v>65</v>
      </c>
      <c r="E2376" s="33" t="s">
        <v>6609</v>
      </c>
      <c r="G2376" s="33" t="s">
        <v>41</v>
      </c>
      <c r="H2376" s="33" t="s">
        <v>2473</v>
      </c>
      <c r="I2376" s="33" t="s">
        <v>2473</v>
      </c>
      <c r="J2376" s="33" t="s">
        <v>8709</v>
      </c>
      <c r="K2376" s="33" t="s">
        <v>6611</v>
      </c>
      <c r="L2376" s="33" t="s">
        <v>3672</v>
      </c>
      <c r="M2376" s="33" t="str">
        <f>_xlfn.XLOOKUP(Tabela14[[#This Row],[Responsável]],Organograma!H:H,Organograma!G:G,"")</f>
        <v>CGO - Unidade de Internação Ginecobstétrica</v>
      </c>
      <c r="N2376" s="33" t="s">
        <v>42</v>
      </c>
      <c r="Q2376" s="33" t="s">
        <v>8143</v>
      </c>
    </row>
    <row r="2377" spans="1:17">
      <c r="A2377" s="33" t="s">
        <v>7117</v>
      </c>
      <c r="B2377" s="33" t="s">
        <v>7118</v>
      </c>
      <c r="C2377" s="33" t="s">
        <v>1891</v>
      </c>
      <c r="D2377" s="33" t="s">
        <v>3323</v>
      </c>
      <c r="E2377" s="33" t="s">
        <v>7093</v>
      </c>
      <c r="G2377" s="33" t="s">
        <v>41</v>
      </c>
      <c r="H2377" s="33" t="s">
        <v>1967</v>
      </c>
      <c r="I2377" s="33" t="s">
        <v>1967</v>
      </c>
      <c r="J2377" s="33" t="s">
        <v>7119</v>
      </c>
      <c r="K2377" s="33" t="s">
        <v>6611</v>
      </c>
      <c r="L2377" s="33" t="s">
        <v>3562</v>
      </c>
      <c r="M2377" s="33" t="s">
        <v>24</v>
      </c>
      <c r="N2377" s="33" t="s">
        <v>42</v>
      </c>
      <c r="Q2377" s="33" t="s">
        <v>7095</v>
      </c>
    </row>
    <row r="2378" spans="1:17" hidden="1">
      <c r="A2378" s="33" t="s">
        <v>7177</v>
      </c>
      <c r="B2378" s="33" t="s">
        <v>7178</v>
      </c>
      <c r="C2378" s="33" t="s">
        <v>1891</v>
      </c>
      <c r="D2378" s="33" t="s">
        <v>3323</v>
      </c>
      <c r="E2378" s="33" t="s">
        <v>6609</v>
      </c>
      <c r="G2378" s="33" t="s">
        <v>41</v>
      </c>
      <c r="H2378" s="33" t="s">
        <v>1993</v>
      </c>
      <c r="I2378" s="33" t="s">
        <v>1993</v>
      </c>
      <c r="J2378" s="33" t="s">
        <v>7179</v>
      </c>
      <c r="K2378" s="33" t="s">
        <v>6611</v>
      </c>
      <c r="L2378" s="33" t="s">
        <v>1993</v>
      </c>
      <c r="M2378" s="33" t="s">
        <v>69</v>
      </c>
      <c r="N2378" s="33" t="s">
        <v>42</v>
      </c>
      <c r="Q2378" s="33" t="s">
        <v>7095</v>
      </c>
    </row>
    <row r="2379" spans="1:17">
      <c r="A2379" s="33" t="s">
        <v>8716</v>
      </c>
      <c r="B2379" s="33" t="s">
        <v>8717</v>
      </c>
      <c r="C2379" s="33" t="s">
        <v>1891</v>
      </c>
      <c r="D2379" s="33" t="s">
        <v>41</v>
      </c>
      <c r="E2379" s="33" t="s">
        <v>935</v>
      </c>
      <c r="G2379" s="33" t="s">
        <v>41</v>
      </c>
      <c r="H2379" s="33" t="s">
        <v>2473</v>
      </c>
      <c r="I2379" s="33" t="s">
        <v>2473</v>
      </c>
      <c r="J2379" s="33" t="s">
        <v>8718</v>
      </c>
      <c r="K2379" s="33" t="s">
        <v>6898</v>
      </c>
      <c r="L2379" s="33" t="s">
        <v>3072</v>
      </c>
      <c r="M2379" s="33" t="s">
        <v>1402</v>
      </c>
      <c r="N2379" s="33" t="s">
        <v>42</v>
      </c>
      <c r="Q2379" s="33" t="s">
        <v>8143</v>
      </c>
    </row>
    <row r="2380" spans="1:17" hidden="1">
      <c r="A2380" s="33" t="s">
        <v>8487</v>
      </c>
      <c r="B2380" s="33" t="s">
        <v>8488</v>
      </c>
      <c r="C2380" s="33" t="s">
        <v>1891</v>
      </c>
      <c r="D2380" s="33" t="s">
        <v>3323</v>
      </c>
      <c r="E2380" s="33" t="s">
        <v>6609</v>
      </c>
      <c r="G2380" s="33" t="s">
        <v>41</v>
      </c>
      <c r="H2380" s="33" t="s">
        <v>2529</v>
      </c>
      <c r="I2380" s="33" t="s">
        <v>2529</v>
      </c>
      <c r="J2380" s="33" t="s">
        <v>8489</v>
      </c>
      <c r="K2380" s="33" t="s">
        <v>6611</v>
      </c>
      <c r="L2380" s="33" t="s">
        <v>2529</v>
      </c>
      <c r="M2380" s="33" t="s">
        <v>69</v>
      </c>
      <c r="N2380" s="33" t="s">
        <v>42</v>
      </c>
      <c r="Q2380" s="33" t="s">
        <v>8143</v>
      </c>
    </row>
    <row r="2381" spans="1:17">
      <c r="A2381" s="33" t="s">
        <v>8722</v>
      </c>
      <c r="B2381" s="33" t="s">
        <v>8723</v>
      </c>
      <c r="C2381" s="33" t="s">
        <v>1891</v>
      </c>
      <c r="D2381" s="33" t="s">
        <v>41</v>
      </c>
      <c r="E2381" s="33" t="s">
        <v>6689</v>
      </c>
      <c r="G2381" s="33" t="s">
        <v>41</v>
      </c>
      <c r="H2381" s="33" t="s">
        <v>3091</v>
      </c>
      <c r="I2381" s="33" t="s">
        <v>3091</v>
      </c>
      <c r="J2381" s="33" t="s">
        <v>8724</v>
      </c>
      <c r="K2381" s="33" t="s">
        <v>3859</v>
      </c>
      <c r="L2381" s="33" t="s">
        <v>4612</v>
      </c>
      <c r="M2381" s="33" t="s">
        <v>92</v>
      </c>
      <c r="N2381" s="33" t="s">
        <v>42</v>
      </c>
      <c r="Q2381" s="33" t="s">
        <v>8143</v>
      </c>
    </row>
    <row r="2382" spans="1:17">
      <c r="A2382" s="33" t="s">
        <v>8725</v>
      </c>
      <c r="B2382" s="33" t="s">
        <v>8726</v>
      </c>
      <c r="C2382" s="33" t="s">
        <v>1891</v>
      </c>
      <c r="D2382" s="33" t="s">
        <v>41</v>
      </c>
      <c r="E2382" s="33" t="s">
        <v>935</v>
      </c>
      <c r="G2382" s="33" t="s">
        <v>41</v>
      </c>
      <c r="H2382" s="33" t="s">
        <v>3091</v>
      </c>
      <c r="I2382" s="33" t="s">
        <v>3091</v>
      </c>
      <c r="J2382" s="33" t="s">
        <v>8727</v>
      </c>
      <c r="K2382" s="33" t="s">
        <v>6898</v>
      </c>
      <c r="L2382" s="33" t="s">
        <v>7317</v>
      </c>
      <c r="M2382" s="33" t="s">
        <v>69</v>
      </c>
      <c r="N2382" s="33" t="s">
        <v>42</v>
      </c>
      <c r="Q2382" s="33" t="s">
        <v>8143</v>
      </c>
    </row>
    <row r="2383" spans="1:17">
      <c r="A2383" s="33" t="s">
        <v>8728</v>
      </c>
      <c r="B2383" s="33" t="s">
        <v>8729</v>
      </c>
      <c r="C2383" s="33" t="s">
        <v>1891</v>
      </c>
      <c r="D2383" s="33" t="s">
        <v>41</v>
      </c>
      <c r="E2383" s="33" t="s">
        <v>6689</v>
      </c>
      <c r="G2383" s="33" t="s">
        <v>41</v>
      </c>
      <c r="H2383" s="33" t="s">
        <v>3091</v>
      </c>
      <c r="I2383" s="33" t="s">
        <v>3091</v>
      </c>
      <c r="J2383" s="33" t="s">
        <v>8730</v>
      </c>
      <c r="K2383" s="33" t="s">
        <v>3859</v>
      </c>
      <c r="L2383" s="33" t="s">
        <v>4612</v>
      </c>
      <c r="M2383" s="33" t="s">
        <v>92</v>
      </c>
      <c r="N2383" s="33" t="s">
        <v>42</v>
      </c>
      <c r="Q2383" s="33" t="s">
        <v>8143</v>
      </c>
    </row>
    <row r="2384" spans="1:17" hidden="1">
      <c r="A2384" s="33" t="s">
        <v>8490</v>
      </c>
      <c r="B2384" s="33" t="s">
        <v>8491</v>
      </c>
      <c r="C2384" s="33" t="s">
        <v>1891</v>
      </c>
      <c r="D2384" s="33" t="s">
        <v>3323</v>
      </c>
      <c r="E2384" s="33" t="s">
        <v>6609</v>
      </c>
      <c r="G2384" s="33" t="s">
        <v>41</v>
      </c>
      <c r="H2384" s="33" t="s">
        <v>2529</v>
      </c>
      <c r="I2384" s="33" t="s">
        <v>2529</v>
      </c>
      <c r="J2384" s="33" t="s">
        <v>8492</v>
      </c>
      <c r="K2384" s="33" t="s">
        <v>6611</v>
      </c>
      <c r="L2384" s="33" t="s">
        <v>2529</v>
      </c>
      <c r="M2384" s="33" t="s">
        <v>69</v>
      </c>
      <c r="N2384" s="33" t="s">
        <v>42</v>
      </c>
      <c r="Q2384" s="33" t="s">
        <v>8143</v>
      </c>
    </row>
    <row r="2385" spans="1:17">
      <c r="A2385" s="33" t="s">
        <v>8735</v>
      </c>
      <c r="B2385" s="33" t="s">
        <v>8736</v>
      </c>
      <c r="C2385" s="33" t="s">
        <v>1891</v>
      </c>
      <c r="D2385" s="33" t="s">
        <v>41</v>
      </c>
      <c r="E2385" s="33" t="s">
        <v>3976</v>
      </c>
      <c r="G2385" s="33" t="s">
        <v>41</v>
      </c>
      <c r="H2385" s="33" t="s">
        <v>3091</v>
      </c>
      <c r="I2385" s="33" t="s">
        <v>3091</v>
      </c>
      <c r="J2385" s="33" t="s">
        <v>8737</v>
      </c>
      <c r="K2385" s="33" t="s">
        <v>6898</v>
      </c>
      <c r="L2385" s="33" t="s">
        <v>3273</v>
      </c>
      <c r="M2385" s="33" t="s">
        <v>194</v>
      </c>
      <c r="N2385" s="33" t="s">
        <v>42</v>
      </c>
      <c r="Q2385" s="33" t="s">
        <v>8143</v>
      </c>
    </row>
    <row r="2386" spans="1:17">
      <c r="A2386" s="33" t="s">
        <v>8738</v>
      </c>
      <c r="B2386" s="33" t="s">
        <v>8739</v>
      </c>
      <c r="C2386" s="33" t="s">
        <v>1891</v>
      </c>
      <c r="D2386" s="33" t="s">
        <v>41</v>
      </c>
      <c r="E2386" s="33" t="s">
        <v>3976</v>
      </c>
      <c r="G2386" s="33" t="s">
        <v>41</v>
      </c>
      <c r="H2386" s="33" t="s">
        <v>3091</v>
      </c>
      <c r="I2386" s="33" t="s">
        <v>3091</v>
      </c>
      <c r="J2386" s="33" t="s">
        <v>8740</v>
      </c>
      <c r="K2386" s="33" t="s">
        <v>6898</v>
      </c>
      <c r="L2386" s="33" t="s">
        <v>3135</v>
      </c>
      <c r="M2386" s="33" t="s">
        <v>69</v>
      </c>
      <c r="N2386" s="33" t="s">
        <v>42</v>
      </c>
      <c r="Q2386" s="33" t="s">
        <v>8143</v>
      </c>
    </row>
    <row r="2387" spans="1:17" hidden="1">
      <c r="A2387" s="33" t="s">
        <v>8741</v>
      </c>
      <c r="B2387" s="33" t="s">
        <v>8742</v>
      </c>
      <c r="C2387" s="33" t="s">
        <v>1891</v>
      </c>
      <c r="D2387" s="33" t="s">
        <v>67</v>
      </c>
      <c r="E2387" s="33" t="s">
        <v>6609</v>
      </c>
      <c r="G2387" s="33" t="s">
        <v>41</v>
      </c>
      <c r="H2387" s="33" t="s">
        <v>3091</v>
      </c>
      <c r="I2387" s="33" t="s">
        <v>3091</v>
      </c>
      <c r="J2387" s="33" t="s">
        <v>8743</v>
      </c>
      <c r="K2387" s="33" t="s">
        <v>6611</v>
      </c>
      <c r="L2387" s="33" t="s">
        <v>3091</v>
      </c>
      <c r="M2387" s="33" t="str">
        <f>_xlfn.XLOOKUP(Tabela14[[#This Row],[Responsável]],Organograma!H:H,Organograma!G:G,"")</f>
        <v>CC - Centro Cirúrgico</v>
      </c>
      <c r="N2387" s="33" t="s">
        <v>42</v>
      </c>
      <c r="Q2387" s="33" t="s">
        <v>8143</v>
      </c>
    </row>
    <row r="2388" spans="1:17">
      <c r="A2388" s="33" t="s">
        <v>8744</v>
      </c>
      <c r="B2388" s="33" t="s">
        <v>8745</v>
      </c>
      <c r="C2388" s="33" t="s">
        <v>1891</v>
      </c>
      <c r="D2388" s="33" t="s">
        <v>41</v>
      </c>
      <c r="E2388" s="33" t="s">
        <v>935</v>
      </c>
      <c r="G2388" s="33" t="s">
        <v>41</v>
      </c>
      <c r="H2388" s="33" t="s">
        <v>3091</v>
      </c>
      <c r="I2388" s="33" t="s">
        <v>3091</v>
      </c>
      <c r="J2388" s="33" t="s">
        <v>8746</v>
      </c>
      <c r="K2388" s="33" t="s">
        <v>6898</v>
      </c>
      <c r="L2388" s="33" t="s">
        <v>3228</v>
      </c>
      <c r="M2388" s="33" t="s">
        <v>91</v>
      </c>
      <c r="N2388" s="33" t="s">
        <v>42</v>
      </c>
      <c r="Q2388" s="33" t="s">
        <v>8143</v>
      </c>
    </row>
    <row r="2389" spans="1:17" hidden="1">
      <c r="A2389" s="33" t="s">
        <v>8747</v>
      </c>
      <c r="B2389" s="33" t="s">
        <v>8748</v>
      </c>
      <c r="C2389" s="33" t="s">
        <v>1891</v>
      </c>
      <c r="D2389" s="33" t="s">
        <v>67</v>
      </c>
      <c r="E2389" s="33" t="s">
        <v>6600</v>
      </c>
      <c r="G2389" s="33" t="s">
        <v>41</v>
      </c>
      <c r="H2389" s="33" t="s">
        <v>3211</v>
      </c>
      <c r="I2389" s="33" t="s">
        <v>3211</v>
      </c>
      <c r="J2389" s="33" t="s">
        <v>8749</v>
      </c>
      <c r="K2389" s="33" t="s">
        <v>6602</v>
      </c>
      <c r="L2389" s="33" t="s">
        <v>3135</v>
      </c>
      <c r="M2389" s="33" t="str">
        <f>_xlfn.XLOOKUP(Tabela14[[#This Row],[Responsável]],Organograma!H:H,Organograma!G:G,"")</f>
        <v>CC - Centro Cirúrgico</v>
      </c>
      <c r="N2389" s="33" t="s">
        <v>42</v>
      </c>
      <c r="Q2389" s="33" t="s">
        <v>8143</v>
      </c>
    </row>
    <row r="2390" spans="1:17" hidden="1">
      <c r="A2390" s="33" t="s">
        <v>8750</v>
      </c>
      <c r="B2390" s="33" t="s">
        <v>8751</v>
      </c>
      <c r="C2390" s="33" t="s">
        <v>1891</v>
      </c>
      <c r="D2390" s="33" t="s">
        <v>67</v>
      </c>
      <c r="E2390" s="33" t="s">
        <v>6600</v>
      </c>
      <c r="G2390" s="33" t="s">
        <v>41</v>
      </c>
      <c r="H2390" s="33" t="s">
        <v>3211</v>
      </c>
      <c r="I2390" s="33" t="s">
        <v>3211</v>
      </c>
      <c r="J2390" s="33" t="s">
        <v>8752</v>
      </c>
      <c r="K2390" s="33" t="s">
        <v>6602</v>
      </c>
      <c r="L2390" s="33" t="s">
        <v>3135</v>
      </c>
      <c r="M2390" s="33" t="str">
        <f>_xlfn.XLOOKUP(Tabela14[[#This Row],[Responsável]],Organograma!H:H,Organograma!G:G,"")</f>
        <v>CC - Centro Cirúrgico</v>
      </c>
      <c r="N2390" s="33" t="s">
        <v>42</v>
      </c>
      <c r="Q2390" s="33" t="s">
        <v>8143</v>
      </c>
    </row>
    <row r="2391" spans="1:17">
      <c r="A2391" s="33" t="s">
        <v>8753</v>
      </c>
      <c r="B2391" s="33" t="s">
        <v>8754</v>
      </c>
      <c r="C2391" s="33" t="s">
        <v>1891</v>
      </c>
      <c r="D2391" s="33" t="s">
        <v>41</v>
      </c>
      <c r="E2391" s="33" t="s">
        <v>3976</v>
      </c>
      <c r="G2391" s="33" t="s">
        <v>41</v>
      </c>
      <c r="H2391" s="33" t="s">
        <v>3211</v>
      </c>
      <c r="I2391" s="33" t="s">
        <v>3211</v>
      </c>
      <c r="J2391" s="33" t="s">
        <v>8755</v>
      </c>
      <c r="K2391" s="33" t="s">
        <v>6898</v>
      </c>
      <c r="L2391" s="33" t="s">
        <v>3135</v>
      </c>
      <c r="M2391" s="33" t="s">
        <v>69</v>
      </c>
      <c r="N2391" s="33" t="s">
        <v>42</v>
      </c>
      <c r="Q2391" s="33" t="s">
        <v>8143</v>
      </c>
    </row>
    <row r="2392" spans="1:17" hidden="1">
      <c r="A2392" s="33" t="s">
        <v>8756</v>
      </c>
      <c r="B2392" s="33" t="s">
        <v>8757</v>
      </c>
      <c r="C2392" s="33" t="s">
        <v>1891</v>
      </c>
      <c r="D2392" s="33" t="s">
        <v>67</v>
      </c>
      <c r="E2392" s="33" t="s">
        <v>6600</v>
      </c>
      <c r="G2392" s="33" t="s">
        <v>41</v>
      </c>
      <c r="H2392" s="33" t="s">
        <v>3211</v>
      </c>
      <c r="I2392" s="33" t="s">
        <v>3211</v>
      </c>
      <c r="J2392" s="33" t="s">
        <v>8758</v>
      </c>
      <c r="K2392" s="33" t="s">
        <v>6602</v>
      </c>
      <c r="L2392" s="33" t="s">
        <v>3135</v>
      </c>
      <c r="M2392" s="33" t="str">
        <f>_xlfn.XLOOKUP(Tabela14[[#This Row],[Responsável]],Organograma!H:H,Organograma!G:G,"")</f>
        <v>CC - Centro Cirúrgico</v>
      </c>
      <c r="N2392" s="33" t="s">
        <v>42</v>
      </c>
      <c r="Q2392" s="33" t="s">
        <v>8143</v>
      </c>
    </row>
    <row r="2393" spans="1:17" hidden="1">
      <c r="A2393" s="33" t="s">
        <v>8759</v>
      </c>
      <c r="B2393" s="33" t="s">
        <v>8760</v>
      </c>
      <c r="C2393" s="33" t="s">
        <v>1891</v>
      </c>
      <c r="D2393" s="33" t="s">
        <v>67</v>
      </c>
      <c r="E2393" s="33" t="s">
        <v>6600</v>
      </c>
      <c r="G2393" s="33" t="s">
        <v>41</v>
      </c>
      <c r="H2393" s="33" t="s">
        <v>3211</v>
      </c>
      <c r="I2393" s="33" t="s">
        <v>3211</v>
      </c>
      <c r="J2393" s="33" t="s">
        <v>8761</v>
      </c>
      <c r="K2393" s="33" t="s">
        <v>6602</v>
      </c>
      <c r="L2393" s="33" t="s">
        <v>3135</v>
      </c>
      <c r="M2393" s="33" t="str">
        <f>_xlfn.XLOOKUP(Tabela14[[#This Row],[Responsável]],Organograma!H:H,Organograma!G:G,"")</f>
        <v>CC - Centro Cirúrgico</v>
      </c>
      <c r="N2393" s="33" t="s">
        <v>42</v>
      </c>
      <c r="Q2393" s="33" t="s">
        <v>8143</v>
      </c>
    </row>
    <row r="2394" spans="1:17" hidden="1">
      <c r="A2394" s="33" t="s">
        <v>8762</v>
      </c>
      <c r="B2394" s="33" t="s">
        <v>8763</v>
      </c>
      <c r="C2394" s="33" t="s">
        <v>1891</v>
      </c>
      <c r="D2394" s="33" t="s">
        <v>67</v>
      </c>
      <c r="E2394" s="33" t="s">
        <v>6600</v>
      </c>
      <c r="G2394" s="33" t="s">
        <v>41</v>
      </c>
      <c r="H2394" s="33" t="s">
        <v>3211</v>
      </c>
      <c r="I2394" s="33" t="s">
        <v>3211</v>
      </c>
      <c r="J2394" s="33" t="s">
        <v>8764</v>
      </c>
      <c r="K2394" s="33" t="s">
        <v>6602</v>
      </c>
      <c r="L2394" s="33" t="s">
        <v>3135</v>
      </c>
      <c r="M2394" s="33" t="str">
        <f>_xlfn.XLOOKUP(Tabela14[[#This Row],[Responsável]],Organograma!H:H,Organograma!G:G,"")</f>
        <v>CC - Centro Cirúrgico</v>
      </c>
      <c r="N2394" s="33" t="s">
        <v>42</v>
      </c>
      <c r="Q2394" s="33" t="s">
        <v>8143</v>
      </c>
    </row>
    <row r="2395" spans="1:17" hidden="1">
      <c r="A2395" s="33" t="s">
        <v>8765</v>
      </c>
      <c r="B2395" s="33" t="s">
        <v>8766</v>
      </c>
      <c r="C2395" s="33" t="s">
        <v>1891</v>
      </c>
      <c r="D2395" s="33" t="s">
        <v>67</v>
      </c>
      <c r="E2395" s="33" t="s">
        <v>6600</v>
      </c>
      <c r="G2395" s="33" t="s">
        <v>41</v>
      </c>
      <c r="H2395" s="33" t="s">
        <v>3211</v>
      </c>
      <c r="I2395" s="33" t="s">
        <v>3211</v>
      </c>
      <c r="J2395" s="33" t="s">
        <v>8767</v>
      </c>
      <c r="K2395" s="33" t="s">
        <v>6602</v>
      </c>
      <c r="L2395" s="33" t="s">
        <v>3135</v>
      </c>
      <c r="M2395" s="33" t="str">
        <f>_xlfn.XLOOKUP(Tabela14[[#This Row],[Responsável]],Organograma!H:H,Organograma!G:G,"")</f>
        <v>CC - Centro Cirúrgico</v>
      </c>
      <c r="N2395" s="33" t="s">
        <v>42</v>
      </c>
      <c r="Q2395" s="33" t="s">
        <v>8143</v>
      </c>
    </row>
    <row r="2396" spans="1:17">
      <c r="A2396" s="33" t="s">
        <v>8768</v>
      </c>
      <c r="B2396" s="33" t="s">
        <v>8769</v>
      </c>
      <c r="C2396" s="33" t="s">
        <v>1891</v>
      </c>
      <c r="D2396" s="33" t="s">
        <v>41</v>
      </c>
      <c r="E2396" s="33" t="s">
        <v>935</v>
      </c>
      <c r="G2396" s="33" t="s">
        <v>41</v>
      </c>
      <c r="H2396" s="33" t="s">
        <v>3211</v>
      </c>
      <c r="I2396" s="33" t="s">
        <v>3211</v>
      </c>
      <c r="J2396" s="33" t="s">
        <v>8770</v>
      </c>
      <c r="K2396" s="33" t="s">
        <v>6898</v>
      </c>
      <c r="L2396" s="33" t="s">
        <v>3318</v>
      </c>
      <c r="M2396" s="33" t="s">
        <v>92</v>
      </c>
      <c r="N2396" s="33" t="s">
        <v>42</v>
      </c>
      <c r="Q2396" s="33" t="s">
        <v>8143</v>
      </c>
    </row>
    <row r="2397" spans="1:17">
      <c r="A2397" s="33" t="s">
        <v>8771</v>
      </c>
      <c r="B2397" s="33" t="s">
        <v>8772</v>
      </c>
      <c r="C2397" s="33" t="s">
        <v>1891</v>
      </c>
      <c r="D2397" s="33" t="s">
        <v>41</v>
      </c>
      <c r="E2397" s="33" t="s">
        <v>935</v>
      </c>
      <c r="G2397" s="33" t="s">
        <v>41</v>
      </c>
      <c r="H2397" s="33" t="s">
        <v>3211</v>
      </c>
      <c r="I2397" s="33" t="s">
        <v>3211</v>
      </c>
      <c r="J2397" s="33" t="s">
        <v>8773</v>
      </c>
      <c r="K2397" s="33" t="s">
        <v>6898</v>
      </c>
      <c r="L2397" s="33" t="s">
        <v>3318</v>
      </c>
      <c r="M2397" s="33" t="s">
        <v>92</v>
      </c>
      <c r="N2397" s="33" t="s">
        <v>42</v>
      </c>
      <c r="Q2397" s="33" t="s">
        <v>8143</v>
      </c>
    </row>
    <row r="2398" spans="1:17">
      <c r="A2398" s="33" t="s">
        <v>8774</v>
      </c>
      <c r="B2398" s="33" t="s">
        <v>8775</v>
      </c>
      <c r="C2398" s="33" t="s">
        <v>1891</v>
      </c>
      <c r="D2398" s="33" t="s">
        <v>41</v>
      </c>
      <c r="E2398" s="33" t="s">
        <v>935</v>
      </c>
      <c r="G2398" s="33" t="s">
        <v>41</v>
      </c>
      <c r="H2398" s="33" t="s">
        <v>3211</v>
      </c>
      <c r="I2398" s="33" t="s">
        <v>3211</v>
      </c>
      <c r="J2398" s="33" t="s">
        <v>8776</v>
      </c>
      <c r="K2398" s="33" t="s">
        <v>6898</v>
      </c>
      <c r="L2398" s="33" t="s">
        <v>3318</v>
      </c>
      <c r="M2398" s="33" t="s">
        <v>92</v>
      </c>
      <c r="N2398" s="33" t="s">
        <v>42</v>
      </c>
      <c r="Q2398" s="33" t="s">
        <v>8143</v>
      </c>
    </row>
    <row r="2399" spans="1:17">
      <c r="A2399" s="33" t="s">
        <v>8777</v>
      </c>
      <c r="B2399" s="33" t="s">
        <v>8778</v>
      </c>
      <c r="C2399" s="33" t="s">
        <v>1891</v>
      </c>
      <c r="D2399" s="33" t="s">
        <v>41</v>
      </c>
      <c r="E2399" s="33" t="s">
        <v>935</v>
      </c>
      <c r="G2399" s="33" t="s">
        <v>41</v>
      </c>
      <c r="H2399" s="33" t="s">
        <v>3211</v>
      </c>
      <c r="I2399" s="33" t="s">
        <v>3211</v>
      </c>
      <c r="J2399" s="33" t="s">
        <v>8779</v>
      </c>
      <c r="K2399" s="33" t="s">
        <v>6898</v>
      </c>
      <c r="L2399" s="33" t="s">
        <v>3318</v>
      </c>
      <c r="M2399" s="33" t="s">
        <v>92</v>
      </c>
      <c r="N2399" s="33" t="s">
        <v>42</v>
      </c>
      <c r="Q2399" s="33" t="s">
        <v>8143</v>
      </c>
    </row>
    <row r="2400" spans="1:17" hidden="1">
      <c r="A2400" s="33" t="s">
        <v>8493</v>
      </c>
      <c r="B2400" s="33" t="s">
        <v>8494</v>
      </c>
      <c r="C2400" s="33" t="s">
        <v>1891</v>
      </c>
      <c r="D2400" s="33" t="s">
        <v>3323</v>
      </c>
      <c r="E2400" s="33" t="s">
        <v>6609</v>
      </c>
      <c r="G2400" s="33" t="s">
        <v>41</v>
      </c>
      <c r="H2400" s="33" t="s">
        <v>2529</v>
      </c>
      <c r="I2400" s="33" t="s">
        <v>2529</v>
      </c>
      <c r="J2400" s="33" t="s">
        <v>8495</v>
      </c>
      <c r="K2400" s="33" t="s">
        <v>6611</v>
      </c>
      <c r="L2400" s="33" t="s">
        <v>2529</v>
      </c>
      <c r="M2400" s="33" t="s">
        <v>69</v>
      </c>
      <c r="N2400" s="33" t="s">
        <v>42</v>
      </c>
      <c r="Q2400" s="33" t="s">
        <v>8143</v>
      </c>
    </row>
    <row r="2401" spans="1:17">
      <c r="A2401" s="33" t="s">
        <v>8784</v>
      </c>
      <c r="B2401" s="33" t="s">
        <v>8785</v>
      </c>
      <c r="C2401" s="33" t="s">
        <v>1891</v>
      </c>
      <c r="D2401" s="33" t="s">
        <v>41</v>
      </c>
      <c r="E2401" s="33" t="s">
        <v>935</v>
      </c>
      <c r="G2401" s="33" t="s">
        <v>41</v>
      </c>
      <c r="H2401" s="33" t="s">
        <v>3211</v>
      </c>
      <c r="I2401" s="33" t="s">
        <v>3211</v>
      </c>
      <c r="J2401" s="33" t="s">
        <v>8786</v>
      </c>
      <c r="K2401" s="33" t="s">
        <v>6898</v>
      </c>
      <c r="L2401" s="33" t="s">
        <v>3318</v>
      </c>
      <c r="M2401" s="33" t="s">
        <v>92</v>
      </c>
      <c r="N2401" s="33" t="s">
        <v>42</v>
      </c>
      <c r="Q2401" s="33" t="s">
        <v>8143</v>
      </c>
    </row>
    <row r="2402" spans="1:17">
      <c r="A2402" s="33" t="s">
        <v>8787</v>
      </c>
      <c r="B2402" s="33" t="s">
        <v>8788</v>
      </c>
      <c r="C2402" s="33" t="s">
        <v>1891</v>
      </c>
      <c r="D2402" s="33" t="s">
        <v>41</v>
      </c>
      <c r="E2402" s="33" t="s">
        <v>935</v>
      </c>
      <c r="G2402" s="33" t="s">
        <v>41</v>
      </c>
      <c r="H2402" s="33" t="s">
        <v>3211</v>
      </c>
      <c r="I2402" s="33" t="s">
        <v>3211</v>
      </c>
      <c r="J2402" s="33" t="s">
        <v>8789</v>
      </c>
      <c r="K2402" s="33" t="s">
        <v>6898</v>
      </c>
      <c r="L2402" s="33" t="s">
        <v>3251</v>
      </c>
      <c r="M2402" s="33" t="s">
        <v>195</v>
      </c>
      <c r="N2402" s="33" t="s">
        <v>42</v>
      </c>
      <c r="Q2402" s="33" t="s">
        <v>8143</v>
      </c>
    </row>
    <row r="2403" spans="1:17">
      <c r="A2403" s="33" t="s">
        <v>8790</v>
      </c>
      <c r="B2403" s="33" t="s">
        <v>8791</v>
      </c>
      <c r="C2403" s="33" t="s">
        <v>1891</v>
      </c>
      <c r="D2403" s="33" t="s">
        <v>41</v>
      </c>
      <c r="E2403" s="33" t="s">
        <v>935</v>
      </c>
      <c r="G2403" s="33" t="s">
        <v>41</v>
      </c>
      <c r="H2403" s="33" t="s">
        <v>3211</v>
      </c>
      <c r="I2403" s="33" t="s">
        <v>3211</v>
      </c>
      <c r="J2403" s="33" t="s">
        <v>8792</v>
      </c>
      <c r="K2403" s="33" t="s">
        <v>6898</v>
      </c>
      <c r="L2403" s="33" t="s">
        <v>3251</v>
      </c>
      <c r="M2403" s="33" t="s">
        <v>195</v>
      </c>
      <c r="N2403" s="33" t="s">
        <v>42</v>
      </c>
      <c r="Q2403" s="33" t="s">
        <v>8143</v>
      </c>
    </row>
    <row r="2404" spans="1:17">
      <c r="A2404" s="33" t="s">
        <v>8793</v>
      </c>
      <c r="B2404" s="33" t="s">
        <v>8794</v>
      </c>
      <c r="C2404" s="33" t="s">
        <v>1891</v>
      </c>
      <c r="D2404" s="33" t="s">
        <v>41</v>
      </c>
      <c r="E2404" s="33" t="s">
        <v>935</v>
      </c>
      <c r="G2404" s="33" t="s">
        <v>41</v>
      </c>
      <c r="H2404" s="33" t="s">
        <v>3211</v>
      </c>
      <c r="I2404" s="33" t="s">
        <v>3211</v>
      </c>
      <c r="J2404" s="33" t="s">
        <v>8795</v>
      </c>
      <c r="K2404" s="33" t="s">
        <v>6898</v>
      </c>
      <c r="L2404" s="33" t="s">
        <v>3251</v>
      </c>
      <c r="M2404" s="33" t="s">
        <v>195</v>
      </c>
      <c r="N2404" s="33" t="s">
        <v>42</v>
      </c>
      <c r="Q2404" s="33" t="s">
        <v>8143</v>
      </c>
    </row>
    <row r="2405" spans="1:17">
      <c r="A2405" s="33" t="s">
        <v>8796</v>
      </c>
      <c r="B2405" s="33" t="s">
        <v>8797</v>
      </c>
      <c r="C2405" s="33" t="s">
        <v>1891</v>
      </c>
      <c r="D2405" s="33" t="s">
        <v>41</v>
      </c>
      <c r="E2405" s="33" t="s">
        <v>935</v>
      </c>
      <c r="G2405" s="33" t="s">
        <v>41</v>
      </c>
      <c r="H2405" s="33" t="s">
        <v>3211</v>
      </c>
      <c r="I2405" s="33" t="s">
        <v>3211</v>
      </c>
      <c r="J2405" s="33" t="s">
        <v>8798</v>
      </c>
      <c r="K2405" s="33" t="s">
        <v>6898</v>
      </c>
      <c r="L2405" s="33" t="s">
        <v>3135</v>
      </c>
      <c r="M2405" s="33" t="s">
        <v>194</v>
      </c>
      <c r="N2405" s="33" t="s">
        <v>42</v>
      </c>
      <c r="Q2405" s="33" t="s">
        <v>8143</v>
      </c>
    </row>
    <row r="2406" spans="1:17">
      <c r="A2406" s="33" t="s">
        <v>8799</v>
      </c>
      <c r="B2406" s="33" t="s">
        <v>8800</v>
      </c>
      <c r="C2406" s="33" t="s">
        <v>1891</v>
      </c>
      <c r="D2406" s="33" t="s">
        <v>41</v>
      </c>
      <c r="E2406" s="33" t="s">
        <v>3976</v>
      </c>
      <c r="G2406" s="33" t="s">
        <v>41</v>
      </c>
      <c r="H2406" s="33" t="s">
        <v>3211</v>
      </c>
      <c r="I2406" s="33" t="s">
        <v>3211</v>
      </c>
      <c r="J2406" s="33" t="s">
        <v>8801</v>
      </c>
      <c r="K2406" s="33" t="s">
        <v>6898</v>
      </c>
      <c r="L2406" s="33" t="s">
        <v>3358</v>
      </c>
      <c r="M2406" s="33" t="s">
        <v>194</v>
      </c>
      <c r="N2406" s="33" t="s">
        <v>42</v>
      </c>
      <c r="Q2406" s="33" t="s">
        <v>8143</v>
      </c>
    </row>
    <row r="2407" spans="1:17">
      <c r="A2407" s="33" t="s">
        <v>8802</v>
      </c>
      <c r="B2407" s="33" t="s">
        <v>8803</v>
      </c>
      <c r="C2407" s="33" t="s">
        <v>1891</v>
      </c>
      <c r="D2407" s="33" t="s">
        <v>65</v>
      </c>
      <c r="E2407" s="33" t="s">
        <v>7018</v>
      </c>
      <c r="G2407" s="33" t="s">
        <v>41</v>
      </c>
      <c r="H2407" s="33" t="s">
        <v>3211</v>
      </c>
      <c r="I2407" s="33" t="s">
        <v>3211</v>
      </c>
      <c r="J2407" s="33" t="s">
        <v>8804</v>
      </c>
      <c r="K2407" s="33" t="s">
        <v>6737</v>
      </c>
      <c r="L2407" s="33" t="s">
        <v>3672</v>
      </c>
      <c r="M2407" s="33" t="str">
        <f>_xlfn.XLOOKUP(Tabela14[[#This Row],[Responsável]],Organograma!H:H,Organograma!G:G,"")</f>
        <v>CGO - Unidade de Internação Ginecobstétrica</v>
      </c>
      <c r="N2407" s="33" t="s">
        <v>42</v>
      </c>
      <c r="Q2407" s="33" t="s">
        <v>8143</v>
      </c>
    </row>
    <row r="2408" spans="1:17">
      <c r="A2408" s="33" t="s">
        <v>8805</v>
      </c>
      <c r="B2408" s="33" t="s">
        <v>8806</v>
      </c>
      <c r="C2408" s="33" t="s">
        <v>1891</v>
      </c>
      <c r="D2408" s="33" t="s">
        <v>65</v>
      </c>
      <c r="E2408" s="33" t="s">
        <v>7018</v>
      </c>
      <c r="G2408" s="33" t="s">
        <v>41</v>
      </c>
      <c r="H2408" s="33" t="s">
        <v>3211</v>
      </c>
      <c r="I2408" s="33" t="s">
        <v>3211</v>
      </c>
      <c r="J2408" s="33" t="s">
        <v>8807</v>
      </c>
      <c r="K2408" s="33" t="s">
        <v>6737</v>
      </c>
      <c r="L2408" s="33" t="s">
        <v>3633</v>
      </c>
      <c r="M2408" s="33" t="str">
        <f>_xlfn.XLOOKUP(Tabela14[[#This Row],[Responsável]],Organograma!H:H,Organograma!G:G,"")</f>
        <v>CGO - Unidade de Internação Ginecobstétrica</v>
      </c>
      <c r="N2408" s="33" t="s">
        <v>42</v>
      </c>
      <c r="Q2408" s="33" t="s">
        <v>8143</v>
      </c>
    </row>
    <row r="2409" spans="1:17">
      <c r="A2409" s="33" t="s">
        <v>8808</v>
      </c>
      <c r="B2409" s="33" t="s">
        <v>8809</v>
      </c>
      <c r="C2409" s="33" t="s">
        <v>1891</v>
      </c>
      <c r="D2409" s="33" t="s">
        <v>65</v>
      </c>
      <c r="E2409" s="33" t="s">
        <v>7018</v>
      </c>
      <c r="G2409" s="33" t="s">
        <v>41</v>
      </c>
      <c r="H2409" s="33" t="s">
        <v>3211</v>
      </c>
      <c r="I2409" s="33" t="s">
        <v>3211</v>
      </c>
      <c r="J2409" s="33" t="s">
        <v>8810</v>
      </c>
      <c r="K2409" s="33" t="s">
        <v>6737</v>
      </c>
      <c r="L2409" s="33" t="s">
        <v>3672</v>
      </c>
      <c r="M2409" s="33" t="str">
        <f>_xlfn.XLOOKUP(Tabela14[[#This Row],[Responsável]],Organograma!H:H,Organograma!G:G,"")</f>
        <v>CGO - Unidade de Internação Ginecobstétrica</v>
      </c>
      <c r="N2409" s="33" t="s">
        <v>42</v>
      </c>
      <c r="Q2409" s="33" t="s">
        <v>8143</v>
      </c>
    </row>
    <row r="2410" spans="1:17">
      <c r="A2410" s="33" t="s">
        <v>8811</v>
      </c>
      <c r="B2410" s="33" t="s">
        <v>8812</v>
      </c>
      <c r="C2410" s="33" t="s">
        <v>1891</v>
      </c>
      <c r="D2410" s="33" t="s">
        <v>65</v>
      </c>
      <c r="E2410" s="33" t="s">
        <v>7018</v>
      </c>
      <c r="G2410" s="33" t="s">
        <v>41</v>
      </c>
      <c r="H2410" s="33" t="s">
        <v>3211</v>
      </c>
      <c r="I2410" s="33" t="s">
        <v>3211</v>
      </c>
      <c r="J2410" s="33" t="s">
        <v>8813</v>
      </c>
      <c r="K2410" s="33" t="s">
        <v>6737</v>
      </c>
      <c r="L2410" s="33" t="s">
        <v>3672</v>
      </c>
      <c r="M2410" s="33" t="str">
        <f>_xlfn.XLOOKUP(Tabela14[[#This Row],[Responsável]],Organograma!H:H,Organograma!G:G,"")</f>
        <v>CGO - Unidade de Internação Ginecobstétrica</v>
      </c>
      <c r="N2410" s="33" t="s">
        <v>42</v>
      </c>
      <c r="Q2410" s="33" t="s">
        <v>8143</v>
      </c>
    </row>
    <row r="2411" spans="1:17">
      <c r="A2411" s="33" t="s">
        <v>8814</v>
      </c>
      <c r="B2411" s="33" t="s">
        <v>8815</v>
      </c>
      <c r="C2411" s="33" t="s">
        <v>1891</v>
      </c>
      <c r="D2411" s="33" t="s">
        <v>41</v>
      </c>
      <c r="E2411" s="33" t="s">
        <v>935</v>
      </c>
      <c r="G2411" s="33" t="s">
        <v>41</v>
      </c>
      <c r="H2411" s="33" t="s">
        <v>3211</v>
      </c>
      <c r="I2411" s="33" t="s">
        <v>3211</v>
      </c>
      <c r="J2411" s="33" t="s">
        <v>8816</v>
      </c>
      <c r="K2411" s="33" t="s">
        <v>6898</v>
      </c>
      <c r="L2411" s="33" t="s">
        <v>3436</v>
      </c>
      <c r="M2411" s="33" t="s">
        <v>1402</v>
      </c>
      <c r="N2411" s="33" t="s">
        <v>42</v>
      </c>
      <c r="Q2411" s="33" t="s">
        <v>8143</v>
      </c>
    </row>
    <row r="2412" spans="1:17">
      <c r="A2412" s="33" t="s">
        <v>8817</v>
      </c>
      <c r="B2412" s="33" t="s">
        <v>8818</v>
      </c>
      <c r="C2412" s="33" t="s">
        <v>1891</v>
      </c>
      <c r="D2412" s="33" t="s">
        <v>41</v>
      </c>
      <c r="E2412" s="33" t="s">
        <v>935</v>
      </c>
      <c r="G2412" s="33" t="s">
        <v>41</v>
      </c>
      <c r="H2412" s="33" t="s">
        <v>3211</v>
      </c>
      <c r="I2412" s="33" t="s">
        <v>3211</v>
      </c>
      <c r="J2412" s="33" t="s">
        <v>8819</v>
      </c>
      <c r="K2412" s="33" t="s">
        <v>6898</v>
      </c>
      <c r="L2412" s="33" t="s">
        <v>3072</v>
      </c>
      <c r="M2412" s="33" t="s">
        <v>1402</v>
      </c>
      <c r="N2412" s="33" t="s">
        <v>42</v>
      </c>
      <c r="Q2412" s="33" t="s">
        <v>8143</v>
      </c>
    </row>
    <row r="2413" spans="1:17" hidden="1">
      <c r="A2413" s="33" t="s">
        <v>8820</v>
      </c>
      <c r="B2413" s="33" t="s">
        <v>8821</v>
      </c>
      <c r="C2413" s="33" t="s">
        <v>1891</v>
      </c>
      <c r="D2413" s="33" t="s">
        <v>90</v>
      </c>
      <c r="E2413" s="33" t="s">
        <v>6609</v>
      </c>
      <c r="G2413" s="33" t="s">
        <v>41</v>
      </c>
      <c r="H2413" s="33" t="s">
        <v>3211</v>
      </c>
      <c r="I2413" s="33" t="s">
        <v>3211</v>
      </c>
      <c r="J2413" s="33" t="s">
        <v>8822</v>
      </c>
      <c r="K2413" s="33" t="s">
        <v>6611</v>
      </c>
      <c r="L2413" s="33" t="s">
        <v>3211</v>
      </c>
      <c r="M2413" s="33" t="str">
        <f>_xlfn.XLOOKUP(Tabela14[[#This Row],[Responsável]],Organograma!H:H,Organograma!G:G,"")</f>
        <v>PSICO - Unidade de Atendimento a Saúde Mental</v>
      </c>
      <c r="N2413" s="33" t="s">
        <v>42</v>
      </c>
      <c r="Q2413" s="33" t="s">
        <v>8143</v>
      </c>
    </row>
    <row r="2414" spans="1:17">
      <c r="A2414" s="33" t="s">
        <v>8823</v>
      </c>
      <c r="B2414" s="33" t="s">
        <v>8824</v>
      </c>
      <c r="C2414" s="33" t="s">
        <v>1891</v>
      </c>
      <c r="D2414" s="33" t="s">
        <v>41</v>
      </c>
      <c r="E2414" s="33" t="s">
        <v>935</v>
      </c>
      <c r="G2414" s="33" t="s">
        <v>41</v>
      </c>
      <c r="H2414" s="33" t="s">
        <v>3211</v>
      </c>
      <c r="I2414" s="33" t="s">
        <v>3211</v>
      </c>
      <c r="J2414" s="33" t="s">
        <v>8825</v>
      </c>
      <c r="K2414" s="33" t="s">
        <v>6898</v>
      </c>
      <c r="L2414" s="33" t="s">
        <v>2647</v>
      </c>
      <c r="M2414" s="33" t="s">
        <v>1402</v>
      </c>
      <c r="N2414" s="33" t="s">
        <v>42</v>
      </c>
      <c r="Q2414" s="33" t="s">
        <v>8143</v>
      </c>
    </row>
    <row r="2415" spans="1:17">
      <c r="A2415" s="33" t="s">
        <v>8505</v>
      </c>
      <c r="B2415" s="33" t="s">
        <v>8506</v>
      </c>
      <c r="C2415" s="33" t="s">
        <v>1891</v>
      </c>
      <c r="D2415" s="33" t="s">
        <v>2444</v>
      </c>
      <c r="E2415" s="33" t="s">
        <v>7018</v>
      </c>
      <c r="G2415" s="33" t="s">
        <v>41</v>
      </c>
      <c r="H2415" s="33" t="s">
        <v>2541</v>
      </c>
      <c r="I2415" s="33" t="s">
        <v>2541</v>
      </c>
      <c r="J2415" s="33" t="s">
        <v>8507</v>
      </c>
      <c r="K2415" s="33" t="s">
        <v>6737</v>
      </c>
      <c r="L2415" s="33" t="s">
        <v>3365</v>
      </c>
      <c r="M2415" s="33" t="s">
        <v>970</v>
      </c>
      <c r="N2415" s="33" t="s">
        <v>42</v>
      </c>
      <c r="Q2415" s="33" t="s">
        <v>8143</v>
      </c>
    </row>
    <row r="2416" spans="1:17">
      <c r="A2416" s="33" t="s">
        <v>8508</v>
      </c>
      <c r="B2416" s="33" t="s">
        <v>8509</v>
      </c>
      <c r="C2416" s="33" t="s">
        <v>1891</v>
      </c>
      <c r="D2416" s="33" t="s">
        <v>2444</v>
      </c>
      <c r="E2416" s="33" t="s">
        <v>7093</v>
      </c>
      <c r="G2416" s="33" t="s">
        <v>41</v>
      </c>
      <c r="H2416" s="33" t="s">
        <v>2541</v>
      </c>
      <c r="I2416" s="33" t="s">
        <v>2541</v>
      </c>
      <c r="J2416" s="33" t="s">
        <v>8510</v>
      </c>
      <c r="K2416" s="33" t="s">
        <v>6611</v>
      </c>
      <c r="L2416" s="33" t="s">
        <v>3365</v>
      </c>
      <c r="M2416" s="33" t="s">
        <v>970</v>
      </c>
      <c r="N2416" s="33" t="s">
        <v>42</v>
      </c>
      <c r="Q2416" s="33" t="s">
        <v>8143</v>
      </c>
    </row>
    <row r="2417" spans="1:17">
      <c r="A2417" s="33" t="s">
        <v>8877</v>
      </c>
      <c r="B2417" s="33" t="s">
        <v>8878</v>
      </c>
      <c r="C2417" s="33" t="s">
        <v>1891</v>
      </c>
      <c r="D2417" s="33" t="s">
        <v>2444</v>
      </c>
      <c r="E2417" s="33" t="s">
        <v>7093</v>
      </c>
      <c r="G2417" s="33" t="s">
        <v>41</v>
      </c>
      <c r="H2417" s="33" t="s">
        <v>2685</v>
      </c>
      <c r="I2417" s="33" t="s">
        <v>2685</v>
      </c>
      <c r="J2417" s="33" t="s">
        <v>8879</v>
      </c>
      <c r="K2417" s="33" t="s">
        <v>6611</v>
      </c>
      <c r="L2417" s="33" t="s">
        <v>3365</v>
      </c>
      <c r="M2417" s="33" t="s">
        <v>970</v>
      </c>
      <c r="N2417" s="33" t="s">
        <v>42</v>
      </c>
      <c r="Q2417" s="33" t="s">
        <v>8143</v>
      </c>
    </row>
    <row r="2418" spans="1:17">
      <c r="A2418" s="33" t="s">
        <v>8835</v>
      </c>
      <c r="B2418" s="33" t="s">
        <v>8836</v>
      </c>
      <c r="C2418" s="33" t="s">
        <v>1891</v>
      </c>
      <c r="D2418" s="33" t="s">
        <v>41</v>
      </c>
      <c r="E2418" s="33" t="s">
        <v>935</v>
      </c>
      <c r="G2418" s="33" t="s">
        <v>41</v>
      </c>
      <c r="H2418" s="33" t="s">
        <v>3211</v>
      </c>
      <c r="I2418" s="33" t="s">
        <v>3211</v>
      </c>
      <c r="J2418" s="33" t="s">
        <v>8837</v>
      </c>
      <c r="K2418" s="33" t="s">
        <v>6898</v>
      </c>
      <c r="L2418" s="33" t="s">
        <v>3475</v>
      </c>
      <c r="M2418" s="33" t="s">
        <v>1402</v>
      </c>
      <c r="N2418" s="33" t="s">
        <v>42</v>
      </c>
      <c r="Q2418" s="33" t="s">
        <v>8143</v>
      </c>
    </row>
    <row r="2419" spans="1:17">
      <c r="A2419" s="33" t="s">
        <v>8838</v>
      </c>
      <c r="B2419" s="33" t="s">
        <v>8839</v>
      </c>
      <c r="C2419" s="33" t="s">
        <v>1891</v>
      </c>
      <c r="D2419" s="33" t="s">
        <v>41</v>
      </c>
      <c r="E2419" s="33" t="s">
        <v>935</v>
      </c>
      <c r="G2419" s="33" t="s">
        <v>41</v>
      </c>
      <c r="H2419" s="33" t="s">
        <v>3211</v>
      </c>
      <c r="I2419" s="33" t="s">
        <v>3211</v>
      </c>
      <c r="J2419" s="33" t="s">
        <v>8840</v>
      </c>
      <c r="K2419" s="33" t="s">
        <v>6898</v>
      </c>
      <c r="L2419" s="33" t="s">
        <v>3475</v>
      </c>
      <c r="M2419" s="33" t="s">
        <v>1402</v>
      </c>
      <c r="N2419" s="33" t="s">
        <v>42</v>
      </c>
      <c r="Q2419" s="33" t="s">
        <v>8143</v>
      </c>
    </row>
    <row r="2420" spans="1:17">
      <c r="A2420" s="33" t="s">
        <v>8841</v>
      </c>
      <c r="B2420" s="33" t="s">
        <v>8842</v>
      </c>
      <c r="C2420" s="33" t="s">
        <v>1891</v>
      </c>
      <c r="D2420" s="33" t="s">
        <v>41</v>
      </c>
      <c r="E2420" s="33" t="s">
        <v>935</v>
      </c>
      <c r="G2420" s="33" t="s">
        <v>41</v>
      </c>
      <c r="H2420" s="33" t="s">
        <v>3211</v>
      </c>
      <c r="I2420" s="33" t="s">
        <v>3211</v>
      </c>
      <c r="J2420" s="33" t="s">
        <v>8843</v>
      </c>
      <c r="K2420" s="33" t="s">
        <v>6898</v>
      </c>
      <c r="L2420" s="33" t="s">
        <v>945</v>
      </c>
      <c r="M2420" s="33" t="s">
        <v>1402</v>
      </c>
      <c r="N2420" s="33" t="s">
        <v>42</v>
      </c>
      <c r="Q2420" s="33" t="s">
        <v>8143</v>
      </c>
    </row>
    <row r="2421" spans="1:17">
      <c r="A2421" s="33" t="s">
        <v>8844</v>
      </c>
      <c r="B2421" s="33" t="s">
        <v>8845</v>
      </c>
      <c r="C2421" s="33" t="s">
        <v>1891</v>
      </c>
      <c r="D2421" s="33" t="s">
        <v>41</v>
      </c>
      <c r="E2421" s="33" t="s">
        <v>935</v>
      </c>
      <c r="G2421" s="33" t="s">
        <v>41</v>
      </c>
      <c r="H2421" s="33" t="s">
        <v>3211</v>
      </c>
      <c r="I2421" s="33" t="s">
        <v>3211</v>
      </c>
      <c r="J2421" s="33" t="s">
        <v>8846</v>
      </c>
      <c r="K2421" s="33" t="s">
        <v>6898</v>
      </c>
      <c r="L2421" s="33" t="s">
        <v>3551</v>
      </c>
      <c r="M2421" s="33" t="s">
        <v>1402</v>
      </c>
      <c r="N2421" s="33" t="s">
        <v>42</v>
      </c>
      <c r="Q2421" s="33" t="s">
        <v>8143</v>
      </c>
    </row>
    <row r="2422" spans="1:17">
      <c r="A2422" s="33" t="s">
        <v>8847</v>
      </c>
      <c r="B2422" s="33" t="s">
        <v>8848</v>
      </c>
      <c r="C2422" s="33" t="s">
        <v>1891</v>
      </c>
      <c r="D2422" s="33" t="s">
        <v>41</v>
      </c>
      <c r="E2422" s="33" t="s">
        <v>935</v>
      </c>
      <c r="G2422" s="33" t="s">
        <v>41</v>
      </c>
      <c r="H2422" s="33" t="s">
        <v>3211</v>
      </c>
      <c r="I2422" s="33" t="s">
        <v>3211</v>
      </c>
      <c r="J2422" s="33" t="s">
        <v>8849</v>
      </c>
      <c r="K2422" s="33" t="s">
        <v>6898</v>
      </c>
      <c r="L2422" s="33" t="s">
        <v>3452</v>
      </c>
      <c r="M2422" s="33" t="s">
        <v>1402</v>
      </c>
      <c r="N2422" s="33" t="s">
        <v>42</v>
      </c>
      <c r="Q2422" s="33" t="s">
        <v>8143</v>
      </c>
    </row>
    <row r="2423" spans="1:17">
      <c r="A2423" s="33" t="s">
        <v>8850</v>
      </c>
      <c r="B2423" s="33" t="s">
        <v>8851</v>
      </c>
      <c r="C2423" s="33" t="s">
        <v>1891</v>
      </c>
      <c r="D2423" s="33" t="s">
        <v>90</v>
      </c>
      <c r="E2423" s="33" t="s">
        <v>936</v>
      </c>
      <c r="G2423" s="33" t="s">
        <v>41</v>
      </c>
      <c r="H2423" s="33" t="s">
        <v>3211</v>
      </c>
      <c r="I2423" s="33" t="s">
        <v>3211</v>
      </c>
      <c r="J2423" s="33" t="s">
        <v>8852</v>
      </c>
      <c r="K2423" s="33" t="s">
        <v>6737</v>
      </c>
      <c r="L2423" s="33" t="s">
        <v>2647</v>
      </c>
      <c r="M2423" s="33" t="str">
        <f>_xlfn.XLOOKUP(Tabela14[[#This Row],[Responsável]],Organograma!H:H,Organograma!G:G,"")</f>
        <v>PSICO - Unidade de Atendimento a Saúde Mental</v>
      </c>
      <c r="N2423" s="33" t="s">
        <v>42</v>
      </c>
      <c r="Q2423" s="33" t="s">
        <v>8143</v>
      </c>
    </row>
    <row r="2424" spans="1:17">
      <c r="A2424" s="33" t="s">
        <v>8853</v>
      </c>
      <c r="B2424" s="33" t="s">
        <v>8854</v>
      </c>
      <c r="C2424" s="33" t="s">
        <v>1891</v>
      </c>
      <c r="D2424" s="33" t="s">
        <v>41</v>
      </c>
      <c r="E2424" s="33" t="s">
        <v>3976</v>
      </c>
      <c r="G2424" s="33" t="s">
        <v>41</v>
      </c>
      <c r="H2424" s="33" t="s">
        <v>3211</v>
      </c>
      <c r="I2424" s="33" t="s">
        <v>3211</v>
      </c>
      <c r="J2424" s="33" t="s">
        <v>8855</v>
      </c>
      <c r="K2424" s="33" t="s">
        <v>6898</v>
      </c>
      <c r="L2424" s="33" t="s">
        <v>3273</v>
      </c>
      <c r="M2424" s="33" t="s">
        <v>69</v>
      </c>
      <c r="N2424" s="33" t="s">
        <v>42</v>
      </c>
      <c r="Q2424" s="33" t="s">
        <v>8143</v>
      </c>
    </row>
    <row r="2425" spans="1:17">
      <c r="A2425" s="33" t="s">
        <v>8856</v>
      </c>
      <c r="B2425" s="33" t="s">
        <v>8857</v>
      </c>
      <c r="C2425" s="33" t="s">
        <v>1891</v>
      </c>
      <c r="D2425" s="33" t="s">
        <v>41</v>
      </c>
      <c r="E2425" s="33" t="s">
        <v>3976</v>
      </c>
      <c r="G2425" s="33" t="s">
        <v>41</v>
      </c>
      <c r="H2425" s="33" t="s">
        <v>3211</v>
      </c>
      <c r="I2425" s="33" t="s">
        <v>3211</v>
      </c>
      <c r="J2425" s="33" t="s">
        <v>8858</v>
      </c>
      <c r="K2425" s="33" t="s">
        <v>6898</v>
      </c>
      <c r="L2425" s="33" t="s">
        <v>3072</v>
      </c>
      <c r="M2425" s="33" t="s">
        <v>69</v>
      </c>
      <c r="N2425" s="33" t="s">
        <v>42</v>
      </c>
      <c r="Q2425" s="33" t="s">
        <v>8143</v>
      </c>
    </row>
    <row r="2426" spans="1:17">
      <c r="A2426" s="33" t="s">
        <v>8859</v>
      </c>
      <c r="B2426" s="33" t="s">
        <v>8860</v>
      </c>
      <c r="C2426" s="33" t="s">
        <v>1891</v>
      </c>
      <c r="D2426" s="33" t="s">
        <v>41</v>
      </c>
      <c r="E2426" s="33" t="s">
        <v>3976</v>
      </c>
      <c r="G2426" s="33" t="s">
        <v>41</v>
      </c>
      <c r="H2426" s="33" t="s">
        <v>3211</v>
      </c>
      <c r="I2426" s="33" t="s">
        <v>3211</v>
      </c>
      <c r="J2426" s="33" t="s">
        <v>8861</v>
      </c>
      <c r="K2426" s="33" t="s">
        <v>6898</v>
      </c>
      <c r="L2426" s="33" t="s">
        <v>3072</v>
      </c>
      <c r="M2426" s="33" t="s">
        <v>69</v>
      </c>
      <c r="N2426" s="33" t="s">
        <v>42</v>
      </c>
      <c r="Q2426" s="33" t="s">
        <v>8143</v>
      </c>
    </row>
    <row r="2427" spans="1:17" hidden="1">
      <c r="A2427" s="33" t="s">
        <v>8862</v>
      </c>
      <c r="B2427" s="33" t="s">
        <v>8863</v>
      </c>
      <c r="C2427" s="33" t="s">
        <v>1891</v>
      </c>
      <c r="D2427" s="33" t="s">
        <v>39</v>
      </c>
      <c r="E2427" s="33" t="s">
        <v>6609</v>
      </c>
      <c r="G2427" s="33" t="s">
        <v>41</v>
      </c>
      <c r="H2427" s="33" t="s">
        <v>2685</v>
      </c>
      <c r="I2427" s="33" t="s">
        <v>2685</v>
      </c>
      <c r="J2427" s="33" t="s">
        <v>8864</v>
      </c>
      <c r="K2427" s="33" t="s">
        <v>6611</v>
      </c>
      <c r="L2427" s="33" t="s">
        <v>2685</v>
      </c>
      <c r="M2427" s="33" t="str">
        <f>_xlfn.XLOOKUP(Tabela14[[#This Row],[Responsável]],Organograma!H:H,Organograma!G:G,"")</f>
        <v>CEP - Centro de Ensino e Pesquisa</v>
      </c>
      <c r="N2427" s="33" t="s">
        <v>42</v>
      </c>
      <c r="Q2427" s="33" t="s">
        <v>8143</v>
      </c>
    </row>
    <row r="2428" spans="1:17">
      <c r="A2428" s="33" t="s">
        <v>8880</v>
      </c>
      <c r="B2428" s="33" t="s">
        <v>8881</v>
      </c>
      <c r="C2428" s="33" t="s">
        <v>1891</v>
      </c>
      <c r="D2428" s="33" t="s">
        <v>2444</v>
      </c>
      <c r="E2428" s="33" t="s">
        <v>7093</v>
      </c>
      <c r="G2428" s="33" t="s">
        <v>41</v>
      </c>
      <c r="H2428" s="33" t="s">
        <v>2685</v>
      </c>
      <c r="I2428" s="33" t="s">
        <v>2685</v>
      </c>
      <c r="J2428" s="33" t="s">
        <v>8882</v>
      </c>
      <c r="K2428" s="33" t="s">
        <v>6611</v>
      </c>
      <c r="L2428" s="33" t="s">
        <v>3365</v>
      </c>
      <c r="M2428" s="33" t="s">
        <v>970</v>
      </c>
      <c r="N2428" s="33" t="s">
        <v>42</v>
      </c>
      <c r="Q2428" s="33" t="s">
        <v>8143</v>
      </c>
    </row>
    <row r="2429" spans="1:17">
      <c r="A2429" s="33" t="s">
        <v>8883</v>
      </c>
      <c r="B2429" s="33" t="s">
        <v>8884</v>
      </c>
      <c r="C2429" s="33" t="s">
        <v>1891</v>
      </c>
      <c r="D2429" s="33" t="s">
        <v>2444</v>
      </c>
      <c r="E2429" s="33" t="s">
        <v>7093</v>
      </c>
      <c r="G2429" s="33" t="s">
        <v>41</v>
      </c>
      <c r="H2429" s="33" t="s">
        <v>2685</v>
      </c>
      <c r="I2429" s="33" t="s">
        <v>2685</v>
      </c>
      <c r="J2429" s="33" t="s">
        <v>8885</v>
      </c>
      <c r="K2429" s="33" t="s">
        <v>6611</v>
      </c>
      <c r="L2429" s="33" t="s">
        <v>3365</v>
      </c>
      <c r="M2429" s="33" t="s">
        <v>970</v>
      </c>
      <c r="N2429" s="33" t="s">
        <v>42</v>
      </c>
      <c r="Q2429" s="33" t="s">
        <v>8143</v>
      </c>
    </row>
    <row r="2430" spans="1:17" hidden="1">
      <c r="A2430" s="33" t="s">
        <v>8871</v>
      </c>
      <c r="B2430" s="33" t="s">
        <v>8872</v>
      </c>
      <c r="C2430" s="33" t="s">
        <v>1891</v>
      </c>
      <c r="D2430" s="33" t="s">
        <v>81</v>
      </c>
      <c r="E2430" s="33" t="s">
        <v>6609</v>
      </c>
      <c r="G2430" s="33" t="s">
        <v>41</v>
      </c>
      <c r="H2430" s="33" t="s">
        <v>2685</v>
      </c>
      <c r="I2430" s="33" t="s">
        <v>2685</v>
      </c>
      <c r="J2430" s="33" t="s">
        <v>8873</v>
      </c>
      <c r="K2430" s="33" t="s">
        <v>6611</v>
      </c>
      <c r="L2430" s="33" t="s">
        <v>2685</v>
      </c>
      <c r="M2430" s="33" t="str">
        <f>_xlfn.XLOOKUP(Tabela14[[#This Row],[Responsável]],Organograma!H:H,Organograma!G:G,"")</f>
        <v>CPN - Centro de Parto Normal</v>
      </c>
      <c r="N2430" s="33" t="s">
        <v>42</v>
      </c>
      <c r="Q2430" s="33" t="s">
        <v>8143</v>
      </c>
    </row>
    <row r="2431" spans="1:17">
      <c r="A2431" s="33" t="s">
        <v>8874</v>
      </c>
      <c r="B2431" s="33" t="s">
        <v>8875</v>
      </c>
      <c r="C2431" s="33" t="s">
        <v>1891</v>
      </c>
      <c r="D2431" s="33" t="s">
        <v>41</v>
      </c>
      <c r="E2431" s="33" t="s">
        <v>6689</v>
      </c>
      <c r="G2431" s="33" t="s">
        <v>41</v>
      </c>
      <c r="H2431" s="33" t="s">
        <v>2685</v>
      </c>
      <c r="I2431" s="33" t="s">
        <v>2685</v>
      </c>
      <c r="J2431" s="33" t="s">
        <v>8876</v>
      </c>
      <c r="K2431" s="33" t="s">
        <v>3859</v>
      </c>
      <c r="L2431" s="33" t="s">
        <v>3072</v>
      </c>
      <c r="M2431" s="33" t="s">
        <v>970</v>
      </c>
      <c r="N2431" s="33" t="s">
        <v>42</v>
      </c>
      <c r="Q2431" s="33" t="s">
        <v>8143</v>
      </c>
    </row>
    <row r="2432" spans="1:17">
      <c r="A2432" s="33" t="s">
        <v>8889</v>
      </c>
      <c r="B2432" s="33" t="s">
        <v>8890</v>
      </c>
      <c r="C2432" s="33" t="s">
        <v>1891</v>
      </c>
      <c r="D2432" s="33" t="s">
        <v>2444</v>
      </c>
      <c r="E2432" s="33" t="s">
        <v>7093</v>
      </c>
      <c r="G2432" s="33" t="s">
        <v>41</v>
      </c>
      <c r="H2432" s="33" t="s">
        <v>2685</v>
      </c>
      <c r="I2432" s="33" t="s">
        <v>2685</v>
      </c>
      <c r="J2432" s="33" t="s">
        <v>8891</v>
      </c>
      <c r="K2432" s="33" t="s">
        <v>6611</v>
      </c>
      <c r="L2432" s="33" t="s">
        <v>3365</v>
      </c>
      <c r="M2432" s="33" t="s">
        <v>970</v>
      </c>
      <c r="N2432" s="33" t="s">
        <v>42</v>
      </c>
      <c r="Q2432" s="33" t="s">
        <v>8143</v>
      </c>
    </row>
    <row r="2433" spans="1:17" hidden="1">
      <c r="A2433" s="33" t="s">
        <v>9099</v>
      </c>
      <c r="B2433" s="33" t="s">
        <v>9100</v>
      </c>
      <c r="C2433" s="33" t="s">
        <v>1891</v>
      </c>
      <c r="D2433" s="33" t="s">
        <v>2444</v>
      </c>
      <c r="E2433" s="33" t="s">
        <v>6609</v>
      </c>
      <c r="G2433" s="33" t="s">
        <v>41</v>
      </c>
      <c r="H2433" s="33" t="s">
        <v>3616</v>
      </c>
      <c r="I2433" s="33" t="s">
        <v>3616</v>
      </c>
      <c r="J2433" s="33" t="s">
        <v>9101</v>
      </c>
      <c r="K2433" s="33" t="s">
        <v>6611</v>
      </c>
      <c r="L2433" s="33" t="s">
        <v>3616</v>
      </c>
      <c r="M2433" s="33" t="s">
        <v>92</v>
      </c>
      <c r="N2433" s="33" t="s">
        <v>42</v>
      </c>
      <c r="Q2433" s="33" t="s">
        <v>8143</v>
      </c>
    </row>
    <row r="2434" spans="1:17" hidden="1">
      <c r="A2434" s="33" t="s">
        <v>9102</v>
      </c>
      <c r="B2434" s="33" t="s">
        <v>9103</v>
      </c>
      <c r="C2434" s="33" t="s">
        <v>1891</v>
      </c>
      <c r="D2434" s="33" t="s">
        <v>2444</v>
      </c>
      <c r="E2434" s="33" t="s">
        <v>6609</v>
      </c>
      <c r="G2434" s="33" t="s">
        <v>41</v>
      </c>
      <c r="H2434" s="33" t="s">
        <v>3616</v>
      </c>
      <c r="I2434" s="33" t="s">
        <v>3616</v>
      </c>
      <c r="J2434" s="33" t="s">
        <v>9104</v>
      </c>
      <c r="K2434" s="33" t="s">
        <v>6611</v>
      </c>
      <c r="L2434" s="33" t="s">
        <v>3616</v>
      </c>
      <c r="M2434" s="33" t="s">
        <v>970</v>
      </c>
      <c r="N2434" s="33" t="s">
        <v>42</v>
      </c>
      <c r="Q2434" s="33" t="s">
        <v>8143</v>
      </c>
    </row>
    <row r="2435" spans="1:17">
      <c r="A2435" s="33" t="s">
        <v>8886</v>
      </c>
      <c r="B2435" s="33" t="s">
        <v>8887</v>
      </c>
      <c r="C2435" s="33" t="s">
        <v>1891</v>
      </c>
      <c r="D2435" s="33" t="s">
        <v>41</v>
      </c>
      <c r="E2435" s="33" t="s">
        <v>6689</v>
      </c>
      <c r="G2435" s="33" t="s">
        <v>41</v>
      </c>
      <c r="H2435" s="33" t="s">
        <v>2685</v>
      </c>
      <c r="I2435" s="33" t="s">
        <v>2685</v>
      </c>
      <c r="J2435" s="33" t="s">
        <v>8888</v>
      </c>
      <c r="K2435" s="33" t="s">
        <v>3859</v>
      </c>
      <c r="L2435" s="33" t="s">
        <v>3308</v>
      </c>
      <c r="M2435" s="33" t="s">
        <v>970</v>
      </c>
      <c r="N2435" s="33" t="s">
        <v>42</v>
      </c>
      <c r="Q2435" s="33" t="s">
        <v>8143</v>
      </c>
    </row>
    <row r="2436" spans="1:17" hidden="1">
      <c r="A2436" s="33" t="s">
        <v>8246</v>
      </c>
      <c r="B2436" s="33" t="s">
        <v>8247</v>
      </c>
      <c r="C2436" s="33" t="s">
        <v>1891</v>
      </c>
      <c r="D2436" s="33" t="s">
        <v>8248</v>
      </c>
      <c r="E2436" s="33" t="s">
        <v>6609</v>
      </c>
      <c r="G2436" s="33" t="s">
        <v>41</v>
      </c>
      <c r="H2436" s="33" t="s">
        <v>1879</v>
      </c>
      <c r="I2436" s="33" t="s">
        <v>1879</v>
      </c>
      <c r="J2436" s="33" t="s">
        <v>8249</v>
      </c>
      <c r="K2436" s="33" t="s">
        <v>6611</v>
      </c>
      <c r="L2436" s="33" t="s">
        <v>5544</v>
      </c>
      <c r="M2436" s="33" t="s">
        <v>34</v>
      </c>
      <c r="N2436" s="33" t="s">
        <v>42</v>
      </c>
      <c r="Q2436" s="33" t="s">
        <v>8143</v>
      </c>
    </row>
    <row r="2437" spans="1:17" hidden="1">
      <c r="A2437" s="33" t="s">
        <v>7141</v>
      </c>
      <c r="B2437" s="33" t="s">
        <v>7142</v>
      </c>
      <c r="C2437" s="33" t="s">
        <v>1891</v>
      </c>
      <c r="D2437" s="33" t="s">
        <v>3467</v>
      </c>
      <c r="E2437" s="33" t="s">
        <v>6609</v>
      </c>
      <c r="G2437" s="33" t="s">
        <v>41</v>
      </c>
      <c r="H2437" s="33" t="s">
        <v>1993</v>
      </c>
      <c r="I2437" s="33" t="s">
        <v>1993</v>
      </c>
      <c r="J2437" s="33" t="s">
        <v>7143</v>
      </c>
      <c r="K2437" s="33" t="s">
        <v>6611</v>
      </c>
      <c r="L2437" s="33" t="s">
        <v>1993</v>
      </c>
      <c r="M2437" s="33" t="s">
        <v>78</v>
      </c>
      <c r="N2437" s="33" t="s">
        <v>42</v>
      </c>
      <c r="Q2437" s="33" t="s">
        <v>7095</v>
      </c>
    </row>
    <row r="2438" spans="1:17" hidden="1">
      <c r="A2438" s="33" t="s">
        <v>8895</v>
      </c>
      <c r="B2438" s="33" t="s">
        <v>8896</v>
      </c>
      <c r="C2438" s="33" t="s">
        <v>1891</v>
      </c>
      <c r="D2438" s="33" t="s">
        <v>64</v>
      </c>
      <c r="E2438" s="33" t="s">
        <v>6600</v>
      </c>
      <c r="G2438" s="33" t="s">
        <v>41</v>
      </c>
      <c r="H2438" s="33" t="s">
        <v>2685</v>
      </c>
      <c r="I2438" s="33" t="s">
        <v>2685</v>
      </c>
      <c r="J2438" s="33" t="s">
        <v>8897</v>
      </c>
      <c r="K2438" s="33" t="s">
        <v>6602</v>
      </c>
      <c r="L2438" s="33" t="s">
        <v>5753</v>
      </c>
      <c r="M2438" s="33" t="str">
        <f>_xlfn.XLOOKUP(Tabela14[[#This Row],[Responsável]],Organograma!H:H,Organograma!G:G,"")</f>
        <v>PAM - Pronto Atendimento Materno</v>
      </c>
      <c r="N2438" s="33" t="s">
        <v>42</v>
      </c>
      <c r="Q2438" s="33" t="s">
        <v>8143</v>
      </c>
    </row>
    <row r="2439" spans="1:17" hidden="1">
      <c r="A2439" s="33" t="s">
        <v>8898</v>
      </c>
      <c r="B2439" s="33" t="s">
        <v>8899</v>
      </c>
      <c r="C2439" s="33" t="s">
        <v>1891</v>
      </c>
      <c r="D2439" s="33" t="s">
        <v>81</v>
      </c>
      <c r="E2439" s="33" t="s">
        <v>6609</v>
      </c>
      <c r="G2439" s="33" t="s">
        <v>41</v>
      </c>
      <c r="H2439" s="33" t="s">
        <v>2685</v>
      </c>
      <c r="I2439" s="33" t="s">
        <v>2685</v>
      </c>
      <c r="J2439" s="33" t="s">
        <v>8900</v>
      </c>
      <c r="K2439" s="33" t="s">
        <v>6611</v>
      </c>
      <c r="L2439" s="33" t="s">
        <v>2685</v>
      </c>
      <c r="M2439" s="33" t="str">
        <f>_xlfn.XLOOKUP(Tabela14[[#This Row],[Responsável]],Organograma!H:H,Organograma!G:G,"")</f>
        <v>CPN - Centro de Parto Normal</v>
      </c>
      <c r="N2439" s="33" t="s">
        <v>42</v>
      </c>
      <c r="Q2439" s="33" t="s">
        <v>8143</v>
      </c>
    </row>
    <row r="2440" spans="1:17">
      <c r="A2440" s="33" t="s">
        <v>8901</v>
      </c>
      <c r="B2440" s="33" t="s">
        <v>8902</v>
      </c>
      <c r="C2440" s="33" t="s">
        <v>1891</v>
      </c>
      <c r="D2440" s="33" t="s">
        <v>41</v>
      </c>
      <c r="E2440" s="33" t="s">
        <v>935</v>
      </c>
      <c r="G2440" s="33" t="s">
        <v>41</v>
      </c>
      <c r="H2440" s="33" t="s">
        <v>2685</v>
      </c>
      <c r="I2440" s="33" t="s">
        <v>2685</v>
      </c>
      <c r="J2440" s="33" t="s">
        <v>8903</v>
      </c>
      <c r="K2440" s="33" t="s">
        <v>6898</v>
      </c>
      <c r="L2440" s="33" t="s">
        <v>3436</v>
      </c>
      <c r="M2440" s="33" t="s">
        <v>91</v>
      </c>
      <c r="N2440" s="33" t="s">
        <v>42</v>
      </c>
      <c r="Q2440" s="33" t="s">
        <v>8143</v>
      </c>
    </row>
    <row r="2441" spans="1:17" hidden="1">
      <c r="A2441" s="33" t="s">
        <v>7180</v>
      </c>
      <c r="B2441" s="33" t="s">
        <v>7181</v>
      </c>
      <c r="C2441" s="33" t="s">
        <v>1891</v>
      </c>
      <c r="D2441" s="33" t="s">
        <v>3467</v>
      </c>
      <c r="E2441" s="33" t="s">
        <v>6609</v>
      </c>
      <c r="G2441" s="33" t="s">
        <v>41</v>
      </c>
      <c r="H2441" s="33" t="s">
        <v>1993</v>
      </c>
      <c r="I2441" s="33" t="s">
        <v>1993</v>
      </c>
      <c r="J2441" s="33" t="s">
        <v>7182</v>
      </c>
      <c r="K2441" s="33" t="s">
        <v>6611</v>
      </c>
      <c r="L2441" s="33" t="s">
        <v>1993</v>
      </c>
      <c r="M2441" s="33" t="s">
        <v>193</v>
      </c>
      <c r="N2441" s="33" t="s">
        <v>42</v>
      </c>
      <c r="Q2441" s="33" t="s">
        <v>7095</v>
      </c>
    </row>
    <row r="2442" spans="1:17">
      <c r="A2442" s="33" t="s">
        <v>8907</v>
      </c>
      <c r="B2442" s="33" t="s">
        <v>8908</v>
      </c>
      <c r="C2442" s="33" t="s">
        <v>1891</v>
      </c>
      <c r="D2442" s="33" t="s">
        <v>41</v>
      </c>
      <c r="E2442" s="33" t="s">
        <v>935</v>
      </c>
      <c r="G2442" s="33" t="s">
        <v>41</v>
      </c>
      <c r="H2442" s="33" t="s">
        <v>2685</v>
      </c>
      <c r="I2442" s="33" t="s">
        <v>2685</v>
      </c>
      <c r="J2442" s="33" t="s">
        <v>8909</v>
      </c>
      <c r="K2442" s="33" t="s">
        <v>6898</v>
      </c>
      <c r="L2442" s="33" t="s">
        <v>3436</v>
      </c>
      <c r="M2442" s="33" t="s">
        <v>91</v>
      </c>
      <c r="N2442" s="33" t="s">
        <v>42</v>
      </c>
      <c r="Q2442" s="33" t="s">
        <v>8143</v>
      </c>
    </row>
    <row r="2443" spans="1:17">
      <c r="A2443" s="33" t="s">
        <v>8910</v>
      </c>
      <c r="B2443" s="33" t="s">
        <v>8911</v>
      </c>
      <c r="C2443" s="33" t="s">
        <v>1891</v>
      </c>
      <c r="D2443" s="33" t="s">
        <v>41</v>
      </c>
      <c r="E2443" s="33" t="s">
        <v>935</v>
      </c>
      <c r="G2443" s="33" t="s">
        <v>41</v>
      </c>
      <c r="H2443" s="33" t="s">
        <v>2685</v>
      </c>
      <c r="I2443" s="33" t="s">
        <v>2685</v>
      </c>
      <c r="J2443" s="33" t="s">
        <v>8912</v>
      </c>
      <c r="K2443" s="33" t="s">
        <v>6898</v>
      </c>
      <c r="L2443" s="33" t="s">
        <v>3318</v>
      </c>
      <c r="M2443" s="33" t="s">
        <v>91</v>
      </c>
      <c r="N2443" s="33" t="s">
        <v>42</v>
      </c>
      <c r="Q2443" s="33" t="s">
        <v>8143</v>
      </c>
    </row>
    <row r="2444" spans="1:17">
      <c r="A2444" s="33" t="s">
        <v>8913</v>
      </c>
      <c r="B2444" s="33" t="s">
        <v>8914</v>
      </c>
      <c r="C2444" s="33" t="s">
        <v>1891</v>
      </c>
      <c r="D2444" s="33" t="s">
        <v>41</v>
      </c>
      <c r="E2444" s="33" t="s">
        <v>935</v>
      </c>
      <c r="G2444" s="33" t="s">
        <v>41</v>
      </c>
      <c r="H2444" s="33" t="s">
        <v>2685</v>
      </c>
      <c r="I2444" s="33" t="s">
        <v>2685</v>
      </c>
      <c r="J2444" s="33" t="s">
        <v>8915</v>
      </c>
      <c r="K2444" s="33" t="s">
        <v>6898</v>
      </c>
      <c r="L2444" s="33" t="s">
        <v>3228</v>
      </c>
      <c r="M2444" s="33" t="s">
        <v>9344</v>
      </c>
      <c r="N2444" s="33" t="s">
        <v>42</v>
      </c>
      <c r="Q2444" s="33" t="s">
        <v>8143</v>
      </c>
    </row>
    <row r="2445" spans="1:17">
      <c r="A2445" s="33" t="s">
        <v>8916</v>
      </c>
      <c r="B2445" s="33" t="s">
        <v>8917</v>
      </c>
      <c r="C2445" s="33" t="s">
        <v>1891</v>
      </c>
      <c r="D2445" s="33" t="s">
        <v>41</v>
      </c>
      <c r="E2445" s="33" t="s">
        <v>935</v>
      </c>
      <c r="G2445" s="33" t="s">
        <v>41</v>
      </c>
      <c r="H2445" s="33" t="s">
        <v>2685</v>
      </c>
      <c r="I2445" s="33" t="s">
        <v>2685</v>
      </c>
      <c r="J2445" s="33" t="s">
        <v>8918</v>
      </c>
      <c r="K2445" s="33" t="s">
        <v>6898</v>
      </c>
      <c r="L2445" s="33" t="s">
        <v>3436</v>
      </c>
      <c r="M2445" s="33" t="s">
        <v>9344</v>
      </c>
      <c r="N2445" s="33" t="s">
        <v>42</v>
      </c>
      <c r="Q2445" s="33" t="s">
        <v>8143</v>
      </c>
    </row>
    <row r="2446" spans="1:17">
      <c r="A2446" s="33" t="s">
        <v>8919</v>
      </c>
      <c r="B2446" s="33" t="s">
        <v>8920</v>
      </c>
      <c r="C2446" s="33" t="s">
        <v>1891</v>
      </c>
      <c r="D2446" s="33" t="s">
        <v>41</v>
      </c>
      <c r="E2446" s="33" t="s">
        <v>935</v>
      </c>
      <c r="G2446" s="33" t="s">
        <v>41</v>
      </c>
      <c r="H2446" s="33" t="s">
        <v>2685</v>
      </c>
      <c r="I2446" s="33" t="s">
        <v>2685</v>
      </c>
      <c r="J2446" s="33" t="s">
        <v>8921</v>
      </c>
      <c r="K2446" s="33" t="s">
        <v>6898</v>
      </c>
      <c r="L2446" s="33" t="s">
        <v>3436</v>
      </c>
      <c r="M2446" s="33" t="s">
        <v>91</v>
      </c>
      <c r="N2446" s="33" t="s">
        <v>42</v>
      </c>
      <c r="Q2446" s="33" t="s">
        <v>8143</v>
      </c>
    </row>
    <row r="2447" spans="1:17">
      <c r="A2447" s="33" t="s">
        <v>8922</v>
      </c>
      <c r="B2447" s="33" t="s">
        <v>8923</v>
      </c>
      <c r="C2447" s="33" t="s">
        <v>1891</v>
      </c>
      <c r="D2447" s="33" t="s">
        <v>41</v>
      </c>
      <c r="E2447" s="33" t="s">
        <v>935</v>
      </c>
      <c r="G2447" s="33" t="s">
        <v>41</v>
      </c>
      <c r="H2447" s="33" t="s">
        <v>2685</v>
      </c>
      <c r="I2447" s="33" t="s">
        <v>2685</v>
      </c>
      <c r="J2447" s="33" t="s">
        <v>8924</v>
      </c>
      <c r="K2447" s="33" t="s">
        <v>6898</v>
      </c>
      <c r="L2447" s="33" t="s">
        <v>3436</v>
      </c>
      <c r="M2447" s="33" t="s">
        <v>91</v>
      </c>
      <c r="N2447" s="33" t="s">
        <v>42</v>
      </c>
      <c r="Q2447" s="33" t="s">
        <v>8143</v>
      </c>
    </row>
    <row r="2448" spans="1:17">
      <c r="A2448" s="33" t="s">
        <v>8925</v>
      </c>
      <c r="B2448" s="33" t="s">
        <v>8926</v>
      </c>
      <c r="C2448" s="33" t="s">
        <v>1891</v>
      </c>
      <c r="D2448" s="33" t="s">
        <v>41</v>
      </c>
      <c r="E2448" s="33" t="s">
        <v>3976</v>
      </c>
      <c r="G2448" s="33" t="s">
        <v>41</v>
      </c>
      <c r="H2448" s="33" t="s">
        <v>2685</v>
      </c>
      <c r="I2448" s="33" t="s">
        <v>2685</v>
      </c>
      <c r="J2448" s="33" t="s">
        <v>8927</v>
      </c>
      <c r="K2448" s="33" t="s">
        <v>6898</v>
      </c>
      <c r="L2448" s="33" t="s">
        <v>3308</v>
      </c>
      <c r="M2448" s="33" t="s">
        <v>91</v>
      </c>
      <c r="N2448" s="33" t="s">
        <v>42</v>
      </c>
      <c r="Q2448" s="33" t="s">
        <v>8143</v>
      </c>
    </row>
    <row r="2449" spans="1:17">
      <c r="A2449" s="33" t="s">
        <v>8928</v>
      </c>
      <c r="B2449" s="33" t="s">
        <v>8929</v>
      </c>
      <c r="C2449" s="33" t="s">
        <v>1891</v>
      </c>
      <c r="D2449" s="33" t="s">
        <v>41</v>
      </c>
      <c r="E2449" s="33" t="s">
        <v>935</v>
      </c>
      <c r="G2449" s="33" t="s">
        <v>41</v>
      </c>
      <c r="H2449" s="33" t="s">
        <v>2685</v>
      </c>
      <c r="I2449" s="33" t="s">
        <v>2685</v>
      </c>
      <c r="J2449" s="33" t="s">
        <v>8930</v>
      </c>
      <c r="K2449" s="33" t="s">
        <v>6898</v>
      </c>
      <c r="L2449" s="33" t="s">
        <v>3436</v>
      </c>
      <c r="M2449" s="33" t="s">
        <v>91</v>
      </c>
      <c r="N2449" s="33" t="s">
        <v>42</v>
      </c>
      <c r="Q2449" s="33" t="s">
        <v>8143</v>
      </c>
    </row>
    <row r="2450" spans="1:17">
      <c r="A2450" s="33" t="s">
        <v>8931</v>
      </c>
      <c r="B2450" s="33" t="s">
        <v>8932</v>
      </c>
      <c r="C2450" s="33" t="s">
        <v>1891</v>
      </c>
      <c r="D2450" s="33" t="s">
        <v>41</v>
      </c>
      <c r="E2450" s="33" t="s">
        <v>935</v>
      </c>
      <c r="G2450" s="33" t="s">
        <v>41</v>
      </c>
      <c r="H2450" s="33" t="s">
        <v>2685</v>
      </c>
      <c r="I2450" s="33" t="s">
        <v>2685</v>
      </c>
      <c r="J2450" s="33" t="s">
        <v>8933</v>
      </c>
      <c r="K2450" s="33" t="s">
        <v>6898</v>
      </c>
      <c r="L2450" s="33" t="s">
        <v>3436</v>
      </c>
      <c r="M2450" s="33" t="s">
        <v>91</v>
      </c>
      <c r="N2450" s="33" t="s">
        <v>42</v>
      </c>
      <c r="Q2450" s="33" t="s">
        <v>8143</v>
      </c>
    </row>
    <row r="2451" spans="1:17">
      <c r="A2451" s="33" t="s">
        <v>8934</v>
      </c>
      <c r="B2451" s="33" t="s">
        <v>8935</v>
      </c>
      <c r="C2451" s="33" t="s">
        <v>1891</v>
      </c>
      <c r="D2451" s="33" t="s">
        <v>41</v>
      </c>
      <c r="E2451" s="33" t="s">
        <v>935</v>
      </c>
      <c r="G2451" s="33" t="s">
        <v>41</v>
      </c>
      <c r="H2451" s="33" t="s">
        <v>2685</v>
      </c>
      <c r="I2451" s="33" t="s">
        <v>2685</v>
      </c>
      <c r="J2451" s="33" t="s">
        <v>8936</v>
      </c>
      <c r="K2451" s="33" t="s">
        <v>6898</v>
      </c>
      <c r="L2451" s="33" t="s">
        <v>3436</v>
      </c>
      <c r="M2451" s="33" t="s">
        <v>91</v>
      </c>
      <c r="N2451" s="33" t="s">
        <v>42</v>
      </c>
      <c r="Q2451" s="33" t="s">
        <v>8143</v>
      </c>
    </row>
    <row r="2452" spans="1:17">
      <c r="A2452" s="33" t="s">
        <v>8937</v>
      </c>
      <c r="B2452" s="33" t="s">
        <v>8938</v>
      </c>
      <c r="C2452" s="33" t="s">
        <v>1891</v>
      </c>
      <c r="D2452" s="33" t="s">
        <v>41</v>
      </c>
      <c r="E2452" s="33" t="s">
        <v>935</v>
      </c>
      <c r="G2452" s="33" t="s">
        <v>41</v>
      </c>
      <c r="H2452" s="33" t="s">
        <v>2685</v>
      </c>
      <c r="I2452" s="33" t="s">
        <v>2685</v>
      </c>
      <c r="J2452" s="33" t="s">
        <v>8939</v>
      </c>
      <c r="K2452" s="33" t="s">
        <v>6898</v>
      </c>
      <c r="L2452" s="33" t="s">
        <v>3436</v>
      </c>
      <c r="M2452" s="33" t="s">
        <v>91</v>
      </c>
      <c r="N2452" s="33" t="s">
        <v>42</v>
      </c>
      <c r="Q2452" s="33" t="s">
        <v>8143</v>
      </c>
    </row>
    <row r="2453" spans="1:17">
      <c r="A2453" s="33" t="s">
        <v>8940</v>
      </c>
      <c r="B2453" s="33" t="s">
        <v>8941</v>
      </c>
      <c r="C2453" s="33" t="s">
        <v>1891</v>
      </c>
      <c r="D2453" s="33" t="s">
        <v>41</v>
      </c>
      <c r="E2453" s="33" t="s">
        <v>3976</v>
      </c>
      <c r="G2453" s="33" t="s">
        <v>41</v>
      </c>
      <c r="H2453" s="33" t="s">
        <v>2685</v>
      </c>
      <c r="I2453" s="33" t="s">
        <v>2685</v>
      </c>
      <c r="J2453" s="33" t="s">
        <v>8942</v>
      </c>
      <c r="K2453" s="33" t="s">
        <v>6898</v>
      </c>
      <c r="L2453" s="33" t="s">
        <v>3246</v>
      </c>
      <c r="M2453" s="33" t="s">
        <v>93</v>
      </c>
      <c r="N2453" s="33" t="s">
        <v>42</v>
      </c>
      <c r="Q2453" s="33" t="s">
        <v>8143</v>
      </c>
    </row>
    <row r="2454" spans="1:17" hidden="1">
      <c r="A2454" s="33" t="s">
        <v>8943</v>
      </c>
      <c r="B2454" s="33" t="s">
        <v>8944</v>
      </c>
      <c r="C2454" s="33" t="s">
        <v>1891</v>
      </c>
      <c r="D2454" s="33" t="s">
        <v>10</v>
      </c>
      <c r="E2454" s="33" t="s">
        <v>6609</v>
      </c>
      <c r="G2454" s="33" t="s">
        <v>41</v>
      </c>
      <c r="H2454" s="33" t="s">
        <v>2685</v>
      </c>
      <c r="I2454" s="33" t="s">
        <v>2685</v>
      </c>
      <c r="J2454" s="33" t="s">
        <v>8945</v>
      </c>
      <c r="K2454" s="33" t="s">
        <v>6611</v>
      </c>
      <c r="L2454" s="33" t="s">
        <v>2685</v>
      </c>
      <c r="M2454" s="33" t="str">
        <f>_xlfn.XLOOKUP(Tabela14[[#This Row],[Responsável]],Organograma!H:H,Organograma!G:G,"")</f>
        <v>ENG - Núcleo de Engenharia Clínica</v>
      </c>
      <c r="N2454" s="33" t="s">
        <v>42</v>
      </c>
      <c r="Q2454" s="33" t="s">
        <v>8143</v>
      </c>
    </row>
    <row r="2455" spans="1:17" hidden="1">
      <c r="A2455" s="33" t="s">
        <v>8946</v>
      </c>
      <c r="B2455" s="33" t="s">
        <v>8947</v>
      </c>
      <c r="C2455" s="33" t="s">
        <v>1891</v>
      </c>
      <c r="D2455" s="33" t="s">
        <v>21</v>
      </c>
      <c r="E2455" s="33" t="s">
        <v>6600</v>
      </c>
      <c r="G2455" s="33" t="s">
        <v>41</v>
      </c>
      <c r="H2455" s="33" t="s">
        <v>2685</v>
      </c>
      <c r="I2455" s="33" t="s">
        <v>2685</v>
      </c>
      <c r="J2455" s="33" t="s">
        <v>8948</v>
      </c>
      <c r="K2455" s="33" t="s">
        <v>6602</v>
      </c>
      <c r="L2455" s="33" t="s">
        <v>3597</v>
      </c>
      <c r="M2455" s="33" t="str">
        <f>_xlfn.XLOOKUP(Tabela14[[#This Row],[Responsável]],Organograma!H:H,Organograma!G:G,"")</f>
        <v>DAF - Diretoria Administrativa/Financeira</v>
      </c>
      <c r="N2455" s="33" t="s">
        <v>42</v>
      </c>
      <c r="Q2455" s="33" t="s">
        <v>8143</v>
      </c>
    </row>
    <row r="2456" spans="1:17">
      <c r="A2456" s="33" t="s">
        <v>8949</v>
      </c>
      <c r="B2456" s="33" t="s">
        <v>8950</v>
      </c>
      <c r="C2456" s="33" t="s">
        <v>1891</v>
      </c>
      <c r="D2456" s="33" t="s">
        <v>41</v>
      </c>
      <c r="E2456" s="33" t="s">
        <v>3976</v>
      </c>
      <c r="G2456" s="33" t="s">
        <v>41</v>
      </c>
      <c r="H2456" s="33" t="s">
        <v>2685</v>
      </c>
      <c r="I2456" s="33" t="s">
        <v>2685</v>
      </c>
      <c r="J2456" s="33" t="s">
        <v>8951</v>
      </c>
      <c r="K2456" s="33" t="s">
        <v>6898</v>
      </c>
      <c r="L2456" s="33" t="s">
        <v>3948</v>
      </c>
      <c r="M2456" s="33" t="s">
        <v>9344</v>
      </c>
      <c r="N2456" s="33" t="s">
        <v>42</v>
      </c>
      <c r="Q2456" s="33" t="s">
        <v>8143</v>
      </c>
    </row>
    <row r="2457" spans="1:17" hidden="1">
      <c r="A2457" s="33" t="s">
        <v>8952</v>
      </c>
      <c r="B2457" s="33" t="s">
        <v>8953</v>
      </c>
      <c r="C2457" s="33" t="s">
        <v>1891</v>
      </c>
      <c r="D2457" s="33" t="s">
        <v>10</v>
      </c>
      <c r="E2457" s="33" t="s">
        <v>6609</v>
      </c>
      <c r="G2457" s="33" t="s">
        <v>41</v>
      </c>
      <c r="H2457" s="33" t="s">
        <v>2685</v>
      </c>
      <c r="I2457" s="33" t="s">
        <v>2685</v>
      </c>
      <c r="J2457" s="33" t="s">
        <v>8954</v>
      </c>
      <c r="K2457" s="33" t="s">
        <v>6611</v>
      </c>
      <c r="L2457" s="33" t="s">
        <v>2685</v>
      </c>
      <c r="M2457" s="33" t="str">
        <f>_xlfn.XLOOKUP(Tabela14[[#This Row],[Responsável]],Organograma!H:H,Organograma!G:G,"")</f>
        <v>ENG - Núcleo de Engenharia Clínica</v>
      </c>
      <c r="N2457" s="33" t="s">
        <v>42</v>
      </c>
      <c r="Q2457" s="33" t="s">
        <v>8143</v>
      </c>
    </row>
    <row r="2458" spans="1:17">
      <c r="A2458" s="33" t="s">
        <v>8955</v>
      </c>
      <c r="B2458" s="33" t="s">
        <v>8956</v>
      </c>
      <c r="C2458" s="33" t="s">
        <v>1891</v>
      </c>
      <c r="D2458" s="33" t="s">
        <v>41</v>
      </c>
      <c r="E2458" s="33" t="s">
        <v>935</v>
      </c>
      <c r="G2458" s="33" t="s">
        <v>41</v>
      </c>
      <c r="H2458" s="33" t="s">
        <v>2685</v>
      </c>
      <c r="I2458" s="33" t="s">
        <v>2685</v>
      </c>
      <c r="J2458" s="33" t="s">
        <v>8957</v>
      </c>
      <c r="K2458" s="33" t="s">
        <v>6898</v>
      </c>
      <c r="L2458" s="33" t="s">
        <v>3251</v>
      </c>
      <c r="M2458" s="33" t="s">
        <v>196</v>
      </c>
      <c r="N2458" s="33" t="s">
        <v>42</v>
      </c>
      <c r="Q2458" s="33" t="s">
        <v>8143</v>
      </c>
    </row>
    <row r="2459" spans="1:17">
      <c r="A2459" s="33" t="s">
        <v>8958</v>
      </c>
      <c r="B2459" s="33" t="s">
        <v>8959</v>
      </c>
      <c r="C2459" s="33" t="s">
        <v>1891</v>
      </c>
      <c r="D2459" s="33" t="s">
        <v>41</v>
      </c>
      <c r="E2459" s="33" t="s">
        <v>935</v>
      </c>
      <c r="G2459" s="33" t="s">
        <v>41</v>
      </c>
      <c r="H2459" s="33" t="s">
        <v>2685</v>
      </c>
      <c r="I2459" s="33" t="s">
        <v>2685</v>
      </c>
      <c r="J2459" s="33" t="s">
        <v>8960</v>
      </c>
      <c r="K2459" s="33" t="s">
        <v>6898</v>
      </c>
      <c r="L2459" s="33" t="s">
        <v>3251</v>
      </c>
      <c r="M2459" s="33" t="s">
        <v>196</v>
      </c>
      <c r="N2459" s="33" t="s">
        <v>42</v>
      </c>
      <c r="Q2459" s="33" t="s">
        <v>8143</v>
      </c>
    </row>
    <row r="2460" spans="1:17" hidden="1">
      <c r="A2460" s="33" t="s">
        <v>7183</v>
      </c>
      <c r="B2460" s="33" t="s">
        <v>7184</v>
      </c>
      <c r="C2460" s="33" t="s">
        <v>1891</v>
      </c>
      <c r="D2460" s="33" t="s">
        <v>3467</v>
      </c>
      <c r="E2460" s="33" t="s">
        <v>6609</v>
      </c>
      <c r="G2460" s="33" t="s">
        <v>41</v>
      </c>
      <c r="H2460" s="33" t="s">
        <v>1993</v>
      </c>
      <c r="I2460" s="33" t="s">
        <v>1993</v>
      </c>
      <c r="J2460" s="33" t="s">
        <v>7185</v>
      </c>
      <c r="K2460" s="33" t="s">
        <v>6611</v>
      </c>
      <c r="L2460" s="33" t="s">
        <v>1993</v>
      </c>
      <c r="M2460" s="33" t="s">
        <v>193</v>
      </c>
      <c r="N2460" s="33" t="s">
        <v>42</v>
      </c>
      <c r="Q2460" s="33" t="s">
        <v>7095</v>
      </c>
    </row>
    <row r="2461" spans="1:17" hidden="1">
      <c r="A2461" s="33" t="s">
        <v>7186</v>
      </c>
      <c r="B2461" s="33" t="s">
        <v>7187</v>
      </c>
      <c r="C2461" s="33" t="s">
        <v>1891</v>
      </c>
      <c r="D2461" s="33" t="s">
        <v>3467</v>
      </c>
      <c r="E2461" s="33" t="s">
        <v>6609</v>
      </c>
      <c r="G2461" s="33" t="s">
        <v>41</v>
      </c>
      <c r="H2461" s="33" t="s">
        <v>1993</v>
      </c>
      <c r="I2461" s="33" t="s">
        <v>1993</v>
      </c>
      <c r="J2461" s="33" t="s">
        <v>7188</v>
      </c>
      <c r="K2461" s="33" t="s">
        <v>6611</v>
      </c>
      <c r="L2461" s="33" t="s">
        <v>1993</v>
      </c>
      <c r="M2461" s="33" t="s">
        <v>193</v>
      </c>
      <c r="N2461" s="33" t="s">
        <v>42</v>
      </c>
      <c r="Q2461" s="33" t="s">
        <v>7095</v>
      </c>
    </row>
    <row r="2462" spans="1:17" hidden="1">
      <c r="A2462" s="33" t="s">
        <v>8511</v>
      </c>
      <c r="B2462" s="33" t="s">
        <v>8512</v>
      </c>
      <c r="C2462" s="33" t="s">
        <v>1891</v>
      </c>
      <c r="D2462" s="33" t="s">
        <v>3467</v>
      </c>
      <c r="E2462" s="33" t="s">
        <v>6609</v>
      </c>
      <c r="G2462" s="33" t="s">
        <v>41</v>
      </c>
      <c r="H2462" s="33" t="s">
        <v>2541</v>
      </c>
      <c r="I2462" s="33" t="s">
        <v>2541</v>
      </c>
      <c r="J2462" s="33" t="s">
        <v>8513</v>
      </c>
      <c r="K2462" s="33" t="s">
        <v>6611</v>
      </c>
      <c r="L2462" s="33" t="s">
        <v>2541</v>
      </c>
      <c r="M2462" s="33" t="s">
        <v>193</v>
      </c>
      <c r="N2462" s="33" t="s">
        <v>42</v>
      </c>
      <c r="Q2462" s="33" t="s">
        <v>8143</v>
      </c>
    </row>
    <row r="2463" spans="1:17">
      <c r="A2463" s="33" t="s">
        <v>8970</v>
      </c>
      <c r="B2463" s="33" t="s">
        <v>8971</v>
      </c>
      <c r="C2463" s="33" t="s">
        <v>1891</v>
      </c>
      <c r="D2463" s="33" t="s">
        <v>41</v>
      </c>
      <c r="E2463" s="33" t="s">
        <v>935</v>
      </c>
      <c r="G2463" s="33" t="s">
        <v>41</v>
      </c>
      <c r="H2463" s="33" t="s">
        <v>3072</v>
      </c>
      <c r="I2463" s="33" t="s">
        <v>3072</v>
      </c>
      <c r="J2463" s="33" t="s">
        <v>8972</v>
      </c>
      <c r="K2463" s="33" t="s">
        <v>6898</v>
      </c>
      <c r="L2463" s="33" t="s">
        <v>3597</v>
      </c>
      <c r="M2463" s="33" t="s">
        <v>69</v>
      </c>
      <c r="N2463" s="33" t="s">
        <v>42</v>
      </c>
      <c r="Q2463" s="33" t="s">
        <v>8143</v>
      </c>
    </row>
    <row r="2464" spans="1:17" hidden="1">
      <c r="A2464" s="33" t="s">
        <v>8973</v>
      </c>
      <c r="B2464" s="33" t="s">
        <v>8974</v>
      </c>
      <c r="C2464" s="33" t="s">
        <v>1891</v>
      </c>
      <c r="D2464" s="33" t="s">
        <v>85</v>
      </c>
      <c r="E2464" s="33" t="s">
        <v>6600</v>
      </c>
      <c r="G2464" s="33" t="s">
        <v>41</v>
      </c>
      <c r="H2464" s="33" t="s">
        <v>3251</v>
      </c>
      <c r="I2464" s="33" t="s">
        <v>3251</v>
      </c>
      <c r="J2464" s="33" t="s">
        <v>8975</v>
      </c>
      <c r="K2464" s="33" t="s">
        <v>6602</v>
      </c>
      <c r="L2464" s="33" t="s">
        <v>4039</v>
      </c>
      <c r="M2464" s="33" t="str">
        <f>_xlfn.XLOOKUP(Tabela14[[#This Row],[Responsável]],Organograma!H:H,Organograma!G:G,"")</f>
        <v>Diretoria Técnica</v>
      </c>
      <c r="N2464" s="33" t="s">
        <v>42</v>
      </c>
      <c r="Q2464" s="33" t="s">
        <v>8143</v>
      </c>
    </row>
    <row r="2465" spans="1:17" hidden="1">
      <c r="A2465" s="33" t="s">
        <v>8976</v>
      </c>
      <c r="B2465" s="33" t="s">
        <v>8977</v>
      </c>
      <c r="C2465" s="33" t="s">
        <v>1891</v>
      </c>
      <c r="D2465" s="33" t="s">
        <v>67</v>
      </c>
      <c r="E2465" s="33" t="s">
        <v>6609</v>
      </c>
      <c r="G2465" s="33" t="s">
        <v>41</v>
      </c>
      <c r="H2465" s="33" t="s">
        <v>3251</v>
      </c>
      <c r="I2465" s="33" t="s">
        <v>3251</v>
      </c>
      <c r="J2465" s="33" t="s">
        <v>8978</v>
      </c>
      <c r="K2465" s="33" t="s">
        <v>6611</v>
      </c>
      <c r="L2465" s="33" t="s">
        <v>3251</v>
      </c>
      <c r="M2465" s="33" t="str">
        <f>_xlfn.XLOOKUP(Tabela14[[#This Row],[Responsável]],Organograma!H:H,Organograma!G:G,"")</f>
        <v>CC - Centro Cirúrgico</v>
      </c>
      <c r="N2465" s="33" t="s">
        <v>42</v>
      </c>
      <c r="Q2465" s="33" t="s">
        <v>8143</v>
      </c>
    </row>
    <row r="2466" spans="1:17" hidden="1">
      <c r="A2466" s="33" t="s">
        <v>8892</v>
      </c>
      <c r="B2466" s="33" t="s">
        <v>8893</v>
      </c>
      <c r="C2466" s="33" t="s">
        <v>1891</v>
      </c>
      <c r="D2466" s="33" t="s">
        <v>3467</v>
      </c>
      <c r="E2466" s="33" t="s">
        <v>6609</v>
      </c>
      <c r="G2466" s="33" t="s">
        <v>41</v>
      </c>
      <c r="H2466" s="33" t="s">
        <v>2685</v>
      </c>
      <c r="I2466" s="33" t="s">
        <v>2685</v>
      </c>
      <c r="J2466" s="33" t="s">
        <v>8894</v>
      </c>
      <c r="K2466" s="33" t="s">
        <v>6611</v>
      </c>
      <c r="L2466" s="33" t="s">
        <v>2685</v>
      </c>
      <c r="M2466" s="33" t="s">
        <v>193</v>
      </c>
      <c r="N2466" s="33" t="s">
        <v>42</v>
      </c>
      <c r="Q2466" s="33" t="s">
        <v>8143</v>
      </c>
    </row>
    <row r="2467" spans="1:17" hidden="1">
      <c r="A2467" s="33" t="s">
        <v>8982</v>
      </c>
      <c r="B2467" s="33" t="s">
        <v>8983</v>
      </c>
      <c r="C2467" s="33" t="s">
        <v>1891</v>
      </c>
      <c r="D2467" s="33" t="s">
        <v>85</v>
      </c>
      <c r="E2467" s="33" t="s">
        <v>6600</v>
      </c>
      <c r="G2467" s="33" t="s">
        <v>41</v>
      </c>
      <c r="H2467" s="33" t="s">
        <v>3251</v>
      </c>
      <c r="I2467" s="33" t="s">
        <v>3251</v>
      </c>
      <c r="J2467" s="33" t="s">
        <v>8984</v>
      </c>
      <c r="K2467" s="33" t="s">
        <v>6602</v>
      </c>
      <c r="L2467" s="33" t="s">
        <v>3696</v>
      </c>
      <c r="M2467" s="33" t="str">
        <f>_xlfn.XLOOKUP(Tabela14[[#This Row],[Responsável]],Organograma!H:H,Organograma!G:G,"")</f>
        <v>Diretoria Técnica</v>
      </c>
      <c r="N2467" s="33" t="s">
        <v>42</v>
      </c>
      <c r="Q2467" s="33" t="s">
        <v>8143</v>
      </c>
    </row>
    <row r="2468" spans="1:17" hidden="1">
      <c r="A2468" s="33" t="s">
        <v>8985</v>
      </c>
      <c r="B2468" s="33" t="s">
        <v>8986</v>
      </c>
      <c r="C2468" s="33" t="s">
        <v>1891</v>
      </c>
      <c r="D2468" s="33" t="s">
        <v>41</v>
      </c>
      <c r="E2468" s="33" t="s">
        <v>3857</v>
      </c>
      <c r="G2468" s="33" t="s">
        <v>41</v>
      </c>
      <c r="H2468" s="33" t="s">
        <v>3251</v>
      </c>
      <c r="I2468" s="33" t="s">
        <v>3251</v>
      </c>
      <c r="J2468" s="33" t="s">
        <v>8987</v>
      </c>
      <c r="K2468" s="33" t="s">
        <v>3859</v>
      </c>
      <c r="L2468" s="33" t="s">
        <v>3251</v>
      </c>
      <c r="M2468" s="33" t="s">
        <v>970</v>
      </c>
      <c r="N2468" s="33" t="s">
        <v>42</v>
      </c>
      <c r="Q2468" s="33" t="s">
        <v>8143</v>
      </c>
    </row>
    <row r="2469" spans="1:17" hidden="1">
      <c r="A2469" s="33" t="s">
        <v>8731</v>
      </c>
      <c r="B2469" s="33" t="s">
        <v>8732</v>
      </c>
      <c r="C2469" s="33" t="s">
        <v>1891</v>
      </c>
      <c r="D2469" s="33" t="s">
        <v>8733</v>
      </c>
      <c r="E2469" s="33" t="s">
        <v>6609</v>
      </c>
      <c r="G2469" s="33" t="s">
        <v>41</v>
      </c>
      <c r="H2469" s="33" t="s">
        <v>3091</v>
      </c>
      <c r="I2469" s="33" t="s">
        <v>3091</v>
      </c>
      <c r="J2469" s="33" t="s">
        <v>8734</v>
      </c>
      <c r="K2469" s="33" t="s">
        <v>6611</v>
      </c>
      <c r="L2469" s="33" t="s">
        <v>3091</v>
      </c>
      <c r="M2469" s="33" t="s">
        <v>196</v>
      </c>
      <c r="N2469" s="33" t="s">
        <v>42</v>
      </c>
      <c r="Q2469" s="33" t="s">
        <v>8143</v>
      </c>
    </row>
    <row r="2470" spans="1:17">
      <c r="A2470" s="33" t="s">
        <v>8991</v>
      </c>
      <c r="B2470" s="33" t="s">
        <v>8992</v>
      </c>
      <c r="C2470" s="33" t="s">
        <v>1891</v>
      </c>
      <c r="D2470" s="33" t="s">
        <v>41</v>
      </c>
      <c r="E2470" s="33" t="s">
        <v>935</v>
      </c>
      <c r="G2470" s="33" t="s">
        <v>41</v>
      </c>
      <c r="H2470" s="33" t="s">
        <v>3135</v>
      </c>
      <c r="I2470" s="33" t="s">
        <v>3135</v>
      </c>
      <c r="J2470" s="33" t="s">
        <v>8993</v>
      </c>
      <c r="K2470" s="33" t="s">
        <v>6898</v>
      </c>
      <c r="L2470" s="33" t="s">
        <v>3562</v>
      </c>
      <c r="M2470" s="33" t="s">
        <v>91</v>
      </c>
      <c r="N2470" s="33" t="s">
        <v>42</v>
      </c>
      <c r="Q2470" s="33" t="s">
        <v>8143</v>
      </c>
    </row>
    <row r="2471" spans="1:17">
      <c r="A2471" s="33" t="s">
        <v>8589</v>
      </c>
      <c r="B2471" s="33" t="s">
        <v>8590</v>
      </c>
      <c r="C2471" s="33" t="s">
        <v>1891</v>
      </c>
      <c r="D2471" s="33" t="s">
        <v>3025</v>
      </c>
      <c r="E2471" s="33" t="s">
        <v>7018</v>
      </c>
      <c r="G2471" s="33" t="s">
        <v>41</v>
      </c>
      <c r="H2471" s="33" t="s">
        <v>2541</v>
      </c>
      <c r="I2471" s="33" t="s">
        <v>2541</v>
      </c>
      <c r="J2471" s="33" t="s">
        <v>8591</v>
      </c>
      <c r="K2471" s="33" t="s">
        <v>6737</v>
      </c>
      <c r="L2471" s="33" t="s">
        <v>3475</v>
      </c>
      <c r="M2471" s="33" t="s">
        <v>58</v>
      </c>
      <c r="N2471" s="33" t="s">
        <v>42</v>
      </c>
      <c r="Q2471" s="33" t="s">
        <v>8143</v>
      </c>
    </row>
    <row r="2472" spans="1:17" hidden="1">
      <c r="A2472" s="33" t="s">
        <v>9268</v>
      </c>
      <c r="B2472" s="33" t="s">
        <v>9269</v>
      </c>
      <c r="C2472" s="33" t="s">
        <v>1891</v>
      </c>
      <c r="D2472" s="33" t="s">
        <v>2274</v>
      </c>
      <c r="E2472" s="33" t="s">
        <v>6609</v>
      </c>
      <c r="G2472" s="33" t="s">
        <v>41</v>
      </c>
      <c r="H2472" s="33" t="s">
        <v>3696</v>
      </c>
      <c r="I2472" s="33" t="s">
        <v>3696</v>
      </c>
      <c r="J2472" s="33" t="s">
        <v>9270</v>
      </c>
      <c r="K2472" s="33" t="s">
        <v>6611</v>
      </c>
      <c r="L2472" s="33" t="s">
        <v>3696</v>
      </c>
      <c r="M2472" s="33" t="s">
        <v>91</v>
      </c>
      <c r="N2472" s="33" t="s">
        <v>42</v>
      </c>
      <c r="Q2472" s="33" t="s">
        <v>8143</v>
      </c>
    </row>
    <row r="2473" spans="1:17" hidden="1">
      <c r="A2473" s="33" t="s">
        <v>9000</v>
      </c>
      <c r="B2473" s="33" t="s">
        <v>9001</v>
      </c>
      <c r="C2473" s="33" t="s">
        <v>1891</v>
      </c>
      <c r="D2473" s="33" t="s">
        <v>41</v>
      </c>
      <c r="E2473" s="33" t="s">
        <v>2471</v>
      </c>
      <c r="G2473" s="33" t="s">
        <v>41</v>
      </c>
      <c r="H2473" s="33" t="s">
        <v>3135</v>
      </c>
      <c r="I2473" s="33" t="s">
        <v>3135</v>
      </c>
      <c r="J2473" s="33" t="s">
        <v>1764</v>
      </c>
      <c r="K2473" s="33" t="s">
        <v>2471</v>
      </c>
      <c r="L2473" s="33" t="s">
        <v>3135</v>
      </c>
      <c r="M2473" s="33" t="s">
        <v>91</v>
      </c>
      <c r="N2473" s="33" t="s">
        <v>42</v>
      </c>
      <c r="Q2473" s="33" t="s">
        <v>8143</v>
      </c>
    </row>
    <row r="2474" spans="1:17" hidden="1">
      <c r="A2474" s="33" t="s">
        <v>7132</v>
      </c>
      <c r="B2474" s="33" t="s">
        <v>7133</v>
      </c>
      <c r="C2474" s="33" t="s">
        <v>1891</v>
      </c>
      <c r="D2474" s="33" t="s">
        <v>6819</v>
      </c>
      <c r="E2474" s="33" t="s">
        <v>6609</v>
      </c>
      <c r="G2474" s="33" t="s">
        <v>41</v>
      </c>
      <c r="H2474" s="33" t="s">
        <v>1967</v>
      </c>
      <c r="I2474" s="33" t="s">
        <v>1967</v>
      </c>
      <c r="J2474" s="33" t="s">
        <v>7134</v>
      </c>
      <c r="K2474" s="33" t="s">
        <v>6611</v>
      </c>
      <c r="L2474" s="33" t="s">
        <v>1967</v>
      </c>
      <c r="M2474" s="33" t="s">
        <v>75</v>
      </c>
      <c r="N2474" s="33" t="s">
        <v>42</v>
      </c>
      <c r="Q2474" s="33" t="s">
        <v>7095</v>
      </c>
    </row>
    <row r="2475" spans="1:17">
      <c r="A2475" s="33" t="s">
        <v>9005</v>
      </c>
      <c r="B2475" s="33" t="s">
        <v>9006</v>
      </c>
      <c r="C2475" s="33" t="s">
        <v>1891</v>
      </c>
      <c r="D2475" s="33" t="s">
        <v>41</v>
      </c>
      <c r="E2475" s="33" t="s">
        <v>6689</v>
      </c>
      <c r="G2475" s="33" t="s">
        <v>41</v>
      </c>
      <c r="H2475" s="33" t="s">
        <v>3135</v>
      </c>
      <c r="I2475" s="33" t="s">
        <v>3135</v>
      </c>
      <c r="J2475" s="33" t="s">
        <v>9007</v>
      </c>
      <c r="K2475" s="33" t="s">
        <v>3859</v>
      </c>
      <c r="L2475" s="33" t="s">
        <v>3544</v>
      </c>
      <c r="M2475" s="33" t="s">
        <v>91</v>
      </c>
      <c r="N2475" s="33" t="s">
        <v>42</v>
      </c>
      <c r="Q2475" s="33" t="s">
        <v>8143</v>
      </c>
    </row>
    <row r="2476" spans="1:17" hidden="1">
      <c r="A2476" s="33" t="s">
        <v>9008</v>
      </c>
      <c r="B2476" s="33" t="s">
        <v>9009</v>
      </c>
      <c r="C2476" s="33" t="s">
        <v>1891</v>
      </c>
      <c r="D2476" s="33" t="s">
        <v>41</v>
      </c>
      <c r="E2476" s="33" t="s">
        <v>3857</v>
      </c>
      <c r="G2476" s="33" t="s">
        <v>41</v>
      </c>
      <c r="H2476" s="33" t="s">
        <v>3135</v>
      </c>
      <c r="I2476" s="33" t="s">
        <v>3135</v>
      </c>
      <c r="J2476" s="33" t="s">
        <v>9010</v>
      </c>
      <c r="K2476" s="33" t="s">
        <v>3859</v>
      </c>
      <c r="L2476" s="33" t="s">
        <v>3135</v>
      </c>
      <c r="M2476" s="33" t="s">
        <v>91</v>
      </c>
      <c r="N2476" s="33" t="s">
        <v>42</v>
      </c>
      <c r="Q2476" s="33" t="s">
        <v>8143</v>
      </c>
    </row>
    <row r="2477" spans="1:17">
      <c r="A2477" s="33" t="s">
        <v>9011</v>
      </c>
      <c r="B2477" s="33" t="s">
        <v>9012</v>
      </c>
      <c r="C2477" s="33" t="s">
        <v>1891</v>
      </c>
      <c r="D2477" s="33" t="s">
        <v>41</v>
      </c>
      <c r="E2477" s="33" t="s">
        <v>3976</v>
      </c>
      <c r="G2477" s="33" t="s">
        <v>41</v>
      </c>
      <c r="H2477" s="33" t="s">
        <v>3135</v>
      </c>
      <c r="I2477" s="33" t="s">
        <v>3135</v>
      </c>
      <c r="J2477" s="33" t="s">
        <v>9013</v>
      </c>
      <c r="K2477" s="33" t="s">
        <v>6898</v>
      </c>
      <c r="L2477" s="33" t="s">
        <v>3795</v>
      </c>
      <c r="M2477" s="33" t="s">
        <v>91</v>
      </c>
      <c r="N2477" s="33" t="s">
        <v>42</v>
      </c>
      <c r="Q2477" s="33" t="s">
        <v>8143</v>
      </c>
    </row>
    <row r="2478" spans="1:17">
      <c r="A2478" s="33" t="s">
        <v>9014</v>
      </c>
      <c r="B2478" s="33" t="s">
        <v>9015</v>
      </c>
      <c r="C2478" s="33" t="s">
        <v>1891</v>
      </c>
      <c r="D2478" s="33" t="s">
        <v>41</v>
      </c>
      <c r="E2478" s="33" t="s">
        <v>6689</v>
      </c>
      <c r="G2478" s="33" t="s">
        <v>41</v>
      </c>
      <c r="H2478" s="33" t="s">
        <v>3135</v>
      </c>
      <c r="I2478" s="33" t="s">
        <v>3135</v>
      </c>
      <c r="J2478" s="33" t="s">
        <v>9016</v>
      </c>
      <c r="K2478" s="33" t="s">
        <v>3859</v>
      </c>
      <c r="L2478" s="33" t="s">
        <v>3544</v>
      </c>
      <c r="M2478" s="33" t="s">
        <v>91</v>
      </c>
      <c r="N2478" s="33" t="s">
        <v>42</v>
      </c>
      <c r="Q2478" s="33" t="s">
        <v>8143</v>
      </c>
    </row>
    <row r="2479" spans="1:17" hidden="1">
      <c r="A2479" s="33" t="s">
        <v>9017</v>
      </c>
      <c r="B2479" s="33" t="s">
        <v>9018</v>
      </c>
      <c r="C2479" s="33" t="s">
        <v>1891</v>
      </c>
      <c r="D2479" s="33" t="s">
        <v>67</v>
      </c>
      <c r="E2479" s="33" t="s">
        <v>6600</v>
      </c>
      <c r="G2479" s="33" t="s">
        <v>41</v>
      </c>
      <c r="H2479" s="33" t="s">
        <v>3135</v>
      </c>
      <c r="I2479" s="33" t="s">
        <v>3135</v>
      </c>
      <c r="J2479" s="33" t="s">
        <v>9019</v>
      </c>
      <c r="K2479" s="33" t="s">
        <v>6602</v>
      </c>
      <c r="L2479" s="33" t="s">
        <v>3562</v>
      </c>
      <c r="M2479" s="33" t="str">
        <f>_xlfn.XLOOKUP(Tabela14[[#This Row],[Responsável]],Organograma!H:H,Organograma!G:G,"")</f>
        <v>CC - Centro Cirúrgico</v>
      </c>
      <c r="N2479" s="33" t="s">
        <v>42</v>
      </c>
      <c r="Q2479" s="33" t="s">
        <v>8143</v>
      </c>
    </row>
    <row r="2480" spans="1:17" hidden="1">
      <c r="A2480" s="33" t="s">
        <v>9020</v>
      </c>
      <c r="B2480" s="33" t="s">
        <v>9021</v>
      </c>
      <c r="C2480" s="33" t="s">
        <v>1891</v>
      </c>
      <c r="D2480" s="33" t="s">
        <v>41</v>
      </c>
      <c r="E2480" s="33" t="s">
        <v>3857</v>
      </c>
      <c r="G2480" s="33" t="s">
        <v>41</v>
      </c>
      <c r="H2480" s="33" t="s">
        <v>3135</v>
      </c>
      <c r="I2480" s="33" t="s">
        <v>3135</v>
      </c>
      <c r="J2480" s="33" t="s">
        <v>9022</v>
      </c>
      <c r="K2480" s="33" t="s">
        <v>3859</v>
      </c>
      <c r="L2480" s="33" t="s">
        <v>3135</v>
      </c>
      <c r="M2480" s="33" t="s">
        <v>69</v>
      </c>
      <c r="N2480" s="33" t="s">
        <v>42</v>
      </c>
      <c r="Q2480" s="33" t="s">
        <v>8143</v>
      </c>
    </row>
    <row r="2481" spans="1:17" hidden="1">
      <c r="A2481" s="33" t="s">
        <v>9023</v>
      </c>
      <c r="B2481" s="33" t="s">
        <v>9024</v>
      </c>
      <c r="C2481" s="33" t="s">
        <v>1891</v>
      </c>
      <c r="D2481" s="33" t="s">
        <v>67</v>
      </c>
      <c r="E2481" s="33" t="s">
        <v>6600</v>
      </c>
      <c r="G2481" s="33" t="s">
        <v>41</v>
      </c>
      <c r="H2481" s="33" t="s">
        <v>3135</v>
      </c>
      <c r="I2481" s="33" t="s">
        <v>3135</v>
      </c>
      <c r="J2481" s="33" t="s">
        <v>9025</v>
      </c>
      <c r="K2481" s="33" t="s">
        <v>6602</v>
      </c>
      <c r="L2481" s="33" t="s">
        <v>3562</v>
      </c>
      <c r="M2481" s="33" t="str">
        <f>_xlfn.XLOOKUP(Tabela14[[#This Row],[Responsável]],Organograma!H:H,Organograma!G:G,"")</f>
        <v>CC - Centro Cirúrgico</v>
      </c>
      <c r="N2481" s="33" t="s">
        <v>42</v>
      </c>
      <c r="Q2481" s="33" t="s">
        <v>8143</v>
      </c>
    </row>
    <row r="2482" spans="1:17">
      <c r="A2482" s="33" t="s">
        <v>9026</v>
      </c>
      <c r="B2482" s="33" t="s">
        <v>9027</v>
      </c>
      <c r="C2482" s="33" t="s">
        <v>1891</v>
      </c>
      <c r="D2482" s="33" t="s">
        <v>53</v>
      </c>
      <c r="E2482" s="33" t="s">
        <v>7093</v>
      </c>
      <c r="G2482" s="33" t="s">
        <v>41</v>
      </c>
      <c r="H2482" s="33" t="s">
        <v>3135</v>
      </c>
      <c r="I2482" s="33" t="s">
        <v>3135</v>
      </c>
      <c r="J2482" s="33" t="s">
        <v>9028</v>
      </c>
      <c r="K2482" s="33" t="s">
        <v>6611</v>
      </c>
      <c r="L2482" s="33" t="s">
        <v>3696</v>
      </c>
      <c r="M2482" s="33" t="str">
        <f>_xlfn.XLOOKUP(Tabela14[[#This Row],[Responsável]],Organograma!H:H,Organograma!G:G,"")</f>
        <v>GRSS - Gerenciamento de Resíduos de Serviço de Saúde</v>
      </c>
      <c r="N2482" s="33" t="s">
        <v>42</v>
      </c>
      <c r="Q2482" s="33" t="s">
        <v>8143</v>
      </c>
    </row>
    <row r="2483" spans="1:17">
      <c r="A2483" s="33" t="s">
        <v>9029</v>
      </c>
      <c r="B2483" s="33" t="s">
        <v>9030</v>
      </c>
      <c r="C2483" s="33" t="s">
        <v>1891</v>
      </c>
      <c r="D2483" s="33" t="s">
        <v>41</v>
      </c>
      <c r="E2483" s="33" t="s">
        <v>3976</v>
      </c>
      <c r="G2483" s="33" t="s">
        <v>41</v>
      </c>
      <c r="H2483" s="33" t="s">
        <v>3135</v>
      </c>
      <c r="I2483" s="33" t="s">
        <v>3135</v>
      </c>
      <c r="J2483" s="33" t="s">
        <v>8972</v>
      </c>
      <c r="K2483" s="33" t="s">
        <v>6898</v>
      </c>
      <c r="L2483" s="33" t="s">
        <v>3544</v>
      </c>
      <c r="M2483" s="33" t="s">
        <v>69</v>
      </c>
      <c r="N2483" s="33" t="s">
        <v>42</v>
      </c>
      <c r="Q2483" s="33" t="s">
        <v>8143</v>
      </c>
    </row>
    <row r="2484" spans="1:17">
      <c r="A2484" s="33" t="s">
        <v>9031</v>
      </c>
      <c r="B2484" s="33" t="s">
        <v>9032</v>
      </c>
      <c r="C2484" s="33" t="s">
        <v>1891</v>
      </c>
      <c r="D2484" s="33" t="s">
        <v>41</v>
      </c>
      <c r="E2484" s="33" t="s">
        <v>935</v>
      </c>
      <c r="G2484" s="33" t="s">
        <v>41</v>
      </c>
      <c r="H2484" s="33" t="s">
        <v>3135</v>
      </c>
      <c r="I2484" s="33" t="s">
        <v>3135</v>
      </c>
      <c r="J2484" s="33" t="s">
        <v>9033</v>
      </c>
      <c r="K2484" s="33" t="s">
        <v>6898</v>
      </c>
      <c r="L2484" s="33" t="s">
        <v>3562</v>
      </c>
      <c r="M2484" s="33" t="s">
        <v>1402</v>
      </c>
      <c r="N2484" s="33" t="s">
        <v>42</v>
      </c>
      <c r="Q2484" s="33" t="s">
        <v>8143</v>
      </c>
    </row>
    <row r="2485" spans="1:17">
      <c r="A2485" s="33" t="s">
        <v>9034</v>
      </c>
      <c r="B2485" s="33" t="s">
        <v>9035</v>
      </c>
      <c r="C2485" s="33" t="s">
        <v>1891</v>
      </c>
      <c r="D2485" s="33" t="s">
        <v>41</v>
      </c>
      <c r="E2485" s="33" t="s">
        <v>935</v>
      </c>
      <c r="G2485" s="33" t="s">
        <v>41</v>
      </c>
      <c r="H2485" s="33" t="s">
        <v>3135</v>
      </c>
      <c r="I2485" s="33" t="s">
        <v>3135</v>
      </c>
      <c r="J2485" s="33" t="s">
        <v>9036</v>
      </c>
      <c r="K2485" s="33" t="s">
        <v>6898</v>
      </c>
      <c r="L2485" s="33" t="s">
        <v>2647</v>
      </c>
      <c r="M2485" s="33" t="s">
        <v>1402</v>
      </c>
      <c r="N2485" s="33" t="s">
        <v>42</v>
      </c>
      <c r="Q2485" s="33" t="s">
        <v>8143</v>
      </c>
    </row>
    <row r="2486" spans="1:17">
      <c r="A2486" s="33" t="s">
        <v>9037</v>
      </c>
      <c r="B2486" s="33" t="s">
        <v>9038</v>
      </c>
      <c r="C2486" s="33" t="s">
        <v>1891</v>
      </c>
      <c r="D2486" s="33" t="s">
        <v>41</v>
      </c>
      <c r="E2486" s="33" t="s">
        <v>935</v>
      </c>
      <c r="G2486" s="33" t="s">
        <v>41</v>
      </c>
      <c r="H2486" s="33" t="s">
        <v>3135</v>
      </c>
      <c r="I2486" s="33" t="s">
        <v>3135</v>
      </c>
      <c r="J2486" s="33" t="s">
        <v>9039</v>
      </c>
      <c r="K2486" s="33" t="s">
        <v>6898</v>
      </c>
      <c r="L2486" s="33" t="s">
        <v>3696</v>
      </c>
      <c r="M2486" s="33" t="s">
        <v>92</v>
      </c>
      <c r="N2486" s="33" t="s">
        <v>42</v>
      </c>
      <c r="Q2486" s="33" t="s">
        <v>8143</v>
      </c>
    </row>
    <row r="2487" spans="1:17">
      <c r="A2487" s="33" t="s">
        <v>9040</v>
      </c>
      <c r="B2487" s="33" t="s">
        <v>9041</v>
      </c>
      <c r="C2487" s="33" t="s">
        <v>1891</v>
      </c>
      <c r="D2487" s="33" t="s">
        <v>41</v>
      </c>
      <c r="E2487" s="33" t="s">
        <v>935</v>
      </c>
      <c r="G2487" s="33" t="s">
        <v>41</v>
      </c>
      <c r="H2487" s="33" t="s">
        <v>3135</v>
      </c>
      <c r="I2487" s="33" t="s">
        <v>3135</v>
      </c>
      <c r="J2487" s="33" t="s">
        <v>9042</v>
      </c>
      <c r="K2487" s="33" t="s">
        <v>6898</v>
      </c>
      <c r="L2487" s="33" t="s">
        <v>3696</v>
      </c>
      <c r="M2487" s="33" t="s">
        <v>92</v>
      </c>
      <c r="N2487" s="33" t="s">
        <v>42</v>
      </c>
      <c r="Q2487" s="33" t="s">
        <v>8143</v>
      </c>
    </row>
    <row r="2488" spans="1:17">
      <c r="A2488" s="33" t="s">
        <v>9043</v>
      </c>
      <c r="B2488" s="33" t="s">
        <v>9044</v>
      </c>
      <c r="C2488" s="33" t="s">
        <v>1891</v>
      </c>
      <c r="D2488" s="33" t="s">
        <v>53</v>
      </c>
      <c r="E2488" s="33" t="s">
        <v>7093</v>
      </c>
      <c r="G2488" s="33" t="s">
        <v>41</v>
      </c>
      <c r="H2488" s="33" t="s">
        <v>3135</v>
      </c>
      <c r="I2488" s="33" t="s">
        <v>3135</v>
      </c>
      <c r="J2488" s="33" t="s">
        <v>9045</v>
      </c>
      <c r="K2488" s="33" t="s">
        <v>6611</v>
      </c>
      <c r="L2488" s="33" t="s">
        <v>3616</v>
      </c>
      <c r="M2488" s="33" t="str">
        <f>_xlfn.XLOOKUP(Tabela14[[#This Row],[Responsável]],Organograma!H:H,Organograma!G:G,"")</f>
        <v>GRSS - Gerenciamento de Resíduos de Serviço de Saúde</v>
      </c>
      <c r="N2488" s="33" t="s">
        <v>42</v>
      </c>
      <c r="Q2488" s="33" t="s">
        <v>8143</v>
      </c>
    </row>
    <row r="2489" spans="1:17">
      <c r="A2489" s="33" t="s">
        <v>9046</v>
      </c>
      <c r="B2489" s="33" t="s">
        <v>9047</v>
      </c>
      <c r="C2489" s="33" t="s">
        <v>1891</v>
      </c>
      <c r="D2489" s="33" t="s">
        <v>41</v>
      </c>
      <c r="E2489" s="33" t="s">
        <v>935</v>
      </c>
      <c r="G2489" s="33" t="s">
        <v>41</v>
      </c>
      <c r="H2489" s="33" t="s">
        <v>3135</v>
      </c>
      <c r="I2489" s="33" t="s">
        <v>3135</v>
      </c>
      <c r="J2489" s="33" t="s">
        <v>9048</v>
      </c>
      <c r="K2489" s="33" t="s">
        <v>6898</v>
      </c>
      <c r="L2489" s="33" t="s">
        <v>3633</v>
      </c>
      <c r="M2489" s="33" t="s">
        <v>92</v>
      </c>
      <c r="N2489" s="33" t="s">
        <v>42</v>
      </c>
      <c r="Q2489" s="33" t="s">
        <v>8143</v>
      </c>
    </row>
    <row r="2490" spans="1:17">
      <c r="A2490" s="33" t="s">
        <v>9049</v>
      </c>
      <c r="B2490" s="33" t="s">
        <v>9050</v>
      </c>
      <c r="C2490" s="33" t="s">
        <v>1891</v>
      </c>
      <c r="D2490" s="33" t="s">
        <v>41</v>
      </c>
      <c r="E2490" s="33" t="s">
        <v>3976</v>
      </c>
      <c r="G2490" s="33" t="s">
        <v>41</v>
      </c>
      <c r="H2490" s="33" t="s">
        <v>3135</v>
      </c>
      <c r="I2490" s="33" t="s">
        <v>3135</v>
      </c>
      <c r="J2490" s="33" t="s">
        <v>9051</v>
      </c>
      <c r="K2490" s="33" t="s">
        <v>6898</v>
      </c>
      <c r="L2490" s="33" t="s">
        <v>5779</v>
      </c>
      <c r="M2490" s="33" t="s">
        <v>92</v>
      </c>
      <c r="N2490" s="33" t="s">
        <v>42</v>
      </c>
      <c r="Q2490" s="33" t="s">
        <v>8143</v>
      </c>
    </row>
    <row r="2491" spans="1:17">
      <c r="A2491" s="33" t="s">
        <v>9052</v>
      </c>
      <c r="B2491" s="33" t="s">
        <v>9053</v>
      </c>
      <c r="C2491" s="33" t="s">
        <v>1891</v>
      </c>
      <c r="D2491" s="33" t="s">
        <v>41</v>
      </c>
      <c r="E2491" s="33" t="s">
        <v>3976</v>
      </c>
      <c r="G2491" s="33" t="s">
        <v>41</v>
      </c>
      <c r="H2491" s="33" t="s">
        <v>3135</v>
      </c>
      <c r="I2491" s="33" t="s">
        <v>3135</v>
      </c>
      <c r="J2491" s="33" t="s">
        <v>9054</v>
      </c>
      <c r="K2491" s="33" t="s">
        <v>6898</v>
      </c>
      <c r="L2491" s="33" t="s">
        <v>3795</v>
      </c>
      <c r="M2491" s="33" t="s">
        <v>92</v>
      </c>
      <c r="N2491" s="33" t="s">
        <v>42</v>
      </c>
      <c r="Q2491" s="33" t="s">
        <v>8143</v>
      </c>
    </row>
    <row r="2492" spans="1:17" hidden="1">
      <c r="A2492" s="33" t="s">
        <v>7247</v>
      </c>
      <c r="B2492" s="33" t="s">
        <v>7248</v>
      </c>
      <c r="C2492" s="33" t="s">
        <v>1891</v>
      </c>
      <c r="D2492" s="33" t="s">
        <v>6819</v>
      </c>
      <c r="E2492" s="33" t="s">
        <v>6609</v>
      </c>
      <c r="G2492" s="33" t="s">
        <v>41</v>
      </c>
      <c r="H2492" s="33" t="s">
        <v>1945</v>
      </c>
      <c r="I2492" s="33" t="s">
        <v>1945</v>
      </c>
      <c r="J2492" s="33" t="s">
        <v>7249</v>
      </c>
      <c r="K2492" s="33" t="s">
        <v>6611</v>
      </c>
      <c r="L2492" s="33" t="s">
        <v>1945</v>
      </c>
      <c r="M2492" s="33" t="s">
        <v>76</v>
      </c>
      <c r="N2492" s="33" t="s">
        <v>42</v>
      </c>
      <c r="Q2492" s="33" t="s">
        <v>7095</v>
      </c>
    </row>
    <row r="2493" spans="1:17">
      <c r="A2493" s="33" t="s">
        <v>9058</v>
      </c>
      <c r="B2493" s="33" t="s">
        <v>9059</v>
      </c>
      <c r="C2493" s="33" t="s">
        <v>1891</v>
      </c>
      <c r="D2493" s="33" t="s">
        <v>41</v>
      </c>
      <c r="E2493" s="33" t="s">
        <v>3976</v>
      </c>
      <c r="G2493" s="33" t="s">
        <v>41</v>
      </c>
      <c r="H2493" s="33" t="s">
        <v>3135</v>
      </c>
      <c r="I2493" s="33" t="s">
        <v>3135</v>
      </c>
      <c r="J2493" s="33" t="s">
        <v>9060</v>
      </c>
      <c r="K2493" s="33" t="s">
        <v>6898</v>
      </c>
      <c r="L2493" s="33" t="s">
        <v>3820</v>
      </c>
      <c r="M2493" s="33" t="s">
        <v>92</v>
      </c>
      <c r="N2493" s="33" t="s">
        <v>42</v>
      </c>
      <c r="Q2493" s="33" t="s">
        <v>8143</v>
      </c>
    </row>
    <row r="2494" spans="1:17">
      <c r="A2494" s="33" t="s">
        <v>9061</v>
      </c>
      <c r="B2494" s="33" t="s">
        <v>9062</v>
      </c>
      <c r="C2494" s="33" t="s">
        <v>1891</v>
      </c>
      <c r="D2494" s="33" t="s">
        <v>41</v>
      </c>
      <c r="E2494" s="33" t="s">
        <v>3976</v>
      </c>
      <c r="G2494" s="33" t="s">
        <v>41</v>
      </c>
      <c r="H2494" s="33" t="s">
        <v>3135</v>
      </c>
      <c r="I2494" s="33" t="s">
        <v>3135</v>
      </c>
      <c r="J2494" s="33" t="s">
        <v>9063</v>
      </c>
      <c r="K2494" s="33" t="s">
        <v>6898</v>
      </c>
      <c r="L2494" s="33" t="s">
        <v>3820</v>
      </c>
      <c r="M2494" s="33" t="s">
        <v>92</v>
      </c>
      <c r="N2494" s="33" t="s">
        <v>42</v>
      </c>
      <c r="Q2494" s="33" t="s">
        <v>8143</v>
      </c>
    </row>
    <row r="2495" spans="1:17">
      <c r="A2495" s="33" t="s">
        <v>9064</v>
      </c>
      <c r="B2495" s="33" t="s">
        <v>9065</v>
      </c>
      <c r="C2495" s="33" t="s">
        <v>1891</v>
      </c>
      <c r="D2495" s="33" t="s">
        <v>41</v>
      </c>
      <c r="E2495" s="33" t="s">
        <v>3976</v>
      </c>
      <c r="G2495" s="33" t="s">
        <v>41</v>
      </c>
      <c r="H2495" s="33" t="s">
        <v>3551</v>
      </c>
      <c r="I2495" s="33" t="s">
        <v>3551</v>
      </c>
      <c r="J2495" s="33" t="s">
        <v>9066</v>
      </c>
      <c r="K2495" s="33" t="s">
        <v>6898</v>
      </c>
      <c r="L2495" s="33" t="s">
        <v>3562</v>
      </c>
      <c r="M2495" s="33" t="s">
        <v>69</v>
      </c>
      <c r="N2495" s="33" t="s">
        <v>42</v>
      </c>
      <c r="Q2495" s="33" t="s">
        <v>8143</v>
      </c>
    </row>
    <row r="2496" spans="1:17" hidden="1">
      <c r="A2496" s="33" t="s">
        <v>9067</v>
      </c>
      <c r="B2496" s="33" t="s">
        <v>9068</v>
      </c>
      <c r="C2496" s="33" t="s">
        <v>1891</v>
      </c>
      <c r="D2496" s="33" t="s">
        <v>67</v>
      </c>
      <c r="E2496" s="33" t="s">
        <v>6609</v>
      </c>
      <c r="G2496" s="33" t="s">
        <v>41</v>
      </c>
      <c r="H2496" s="33" t="s">
        <v>3551</v>
      </c>
      <c r="I2496" s="33" t="s">
        <v>3551</v>
      </c>
      <c r="J2496" s="33" t="s">
        <v>9069</v>
      </c>
      <c r="K2496" s="33" t="s">
        <v>6611</v>
      </c>
      <c r="L2496" s="33" t="s">
        <v>3551</v>
      </c>
      <c r="M2496" s="33" t="str">
        <f>_xlfn.XLOOKUP(Tabela14[[#This Row],[Responsável]],Organograma!H:H,Organograma!G:G,"")</f>
        <v>CC - Centro Cirúrgico</v>
      </c>
      <c r="N2496" s="33" t="s">
        <v>42</v>
      </c>
      <c r="Q2496" s="33" t="s">
        <v>8143</v>
      </c>
    </row>
    <row r="2497" spans="1:17" hidden="1">
      <c r="A2497" s="33" t="s">
        <v>9070</v>
      </c>
      <c r="B2497" s="33" t="s">
        <v>9071</v>
      </c>
      <c r="C2497" s="33" t="s">
        <v>1785</v>
      </c>
      <c r="D2497" s="33" t="s">
        <v>1799</v>
      </c>
      <c r="E2497" s="33" t="s">
        <v>2471</v>
      </c>
      <c r="G2497" s="33" t="s">
        <v>1799</v>
      </c>
      <c r="H2497" s="33" t="s">
        <v>3562</v>
      </c>
      <c r="I2497" s="33" t="s">
        <v>3562</v>
      </c>
      <c r="J2497" s="33" t="s">
        <v>9072</v>
      </c>
      <c r="K2497" s="33" t="s">
        <v>2471</v>
      </c>
      <c r="L2497" s="33" t="s">
        <v>3564</v>
      </c>
      <c r="M2497" s="33" t="str">
        <f>_xlfn.XLOOKUP(Tabela14[[#This Row],[Responsável]],Organograma!H:H,Organograma!G:G,"")</f>
        <v/>
      </c>
      <c r="Q2497" s="33" t="s">
        <v>8143</v>
      </c>
    </row>
    <row r="2498" spans="1:17" hidden="1">
      <c r="A2498" s="33" t="s">
        <v>3842</v>
      </c>
      <c r="B2498" s="33" t="s">
        <v>9073</v>
      </c>
      <c r="C2498" s="33" t="s">
        <v>1785</v>
      </c>
      <c r="D2498" s="33" t="s">
        <v>41</v>
      </c>
      <c r="E2498" s="33" t="s">
        <v>1808</v>
      </c>
      <c r="G2498" s="33" t="s">
        <v>1799</v>
      </c>
      <c r="H2498" s="33" t="s">
        <v>3562</v>
      </c>
      <c r="I2498" s="33" t="s">
        <v>3562</v>
      </c>
      <c r="J2498" s="33" t="s">
        <v>3844</v>
      </c>
      <c r="K2498" s="33" t="s">
        <v>1791</v>
      </c>
      <c r="L2498" s="33" t="s">
        <v>3562</v>
      </c>
      <c r="M2498" s="33" t="str">
        <f>_xlfn.XLOOKUP(Tabela14[[#This Row],[Responsável]],Organograma!H:H,Organograma!G:G,"")</f>
        <v>APGQ - Assessoria de Planejamento e Gestão da Qualidade</v>
      </c>
      <c r="Q2498" s="33" t="s">
        <v>8143</v>
      </c>
    </row>
    <row r="2499" spans="1:17" hidden="1">
      <c r="A2499" s="33" t="s">
        <v>3838</v>
      </c>
      <c r="B2499" s="33" t="s">
        <v>9074</v>
      </c>
      <c r="C2499" s="33" t="s">
        <v>1785</v>
      </c>
      <c r="D2499" s="33" t="s">
        <v>41</v>
      </c>
      <c r="E2499" s="33" t="s">
        <v>1808</v>
      </c>
      <c r="G2499" s="33" t="s">
        <v>1799</v>
      </c>
      <c r="H2499" s="33" t="s">
        <v>3562</v>
      </c>
      <c r="I2499" s="33" t="s">
        <v>3562</v>
      </c>
      <c r="J2499" s="33" t="s">
        <v>3840</v>
      </c>
      <c r="K2499" s="33" t="s">
        <v>1791</v>
      </c>
      <c r="L2499" s="33" t="s">
        <v>3562</v>
      </c>
      <c r="M2499" s="33" t="str">
        <f>_xlfn.XLOOKUP(Tabela14[[#This Row],[Responsável]],Organograma!H:H,Organograma!G:G,"")</f>
        <v>APGQ - Assessoria de Planejamento e Gestão da Qualidade</v>
      </c>
      <c r="Q2499" s="33" t="s">
        <v>8143</v>
      </c>
    </row>
    <row r="2500" spans="1:17">
      <c r="A2500" s="33" t="s">
        <v>9075</v>
      </c>
      <c r="B2500" s="33" t="s">
        <v>9076</v>
      </c>
      <c r="C2500" s="33" t="s">
        <v>1891</v>
      </c>
      <c r="D2500" s="33" t="s">
        <v>41</v>
      </c>
      <c r="E2500" s="33" t="s">
        <v>3976</v>
      </c>
      <c r="G2500" s="33" t="s">
        <v>41</v>
      </c>
      <c r="H2500" s="33" t="s">
        <v>3616</v>
      </c>
      <c r="I2500" s="33" t="s">
        <v>3616</v>
      </c>
      <c r="J2500" s="33" t="s">
        <v>9077</v>
      </c>
      <c r="K2500" s="33" t="s">
        <v>6898</v>
      </c>
      <c r="L2500" s="33" t="s">
        <v>3795</v>
      </c>
      <c r="M2500" s="33" t="s">
        <v>69</v>
      </c>
      <c r="N2500" s="33" t="s">
        <v>42</v>
      </c>
      <c r="Q2500" s="33" t="s">
        <v>8143</v>
      </c>
    </row>
    <row r="2501" spans="1:17">
      <c r="A2501" s="33" t="s">
        <v>9078</v>
      </c>
      <c r="B2501" s="33" t="s">
        <v>9079</v>
      </c>
      <c r="C2501" s="33" t="s">
        <v>1891</v>
      </c>
      <c r="D2501" s="33" t="s">
        <v>41</v>
      </c>
      <c r="E2501" s="33" t="s">
        <v>3976</v>
      </c>
      <c r="G2501" s="33" t="s">
        <v>41</v>
      </c>
      <c r="H2501" s="33" t="s">
        <v>3616</v>
      </c>
      <c r="I2501" s="33" t="s">
        <v>3616</v>
      </c>
      <c r="J2501" s="33" t="s">
        <v>9080</v>
      </c>
      <c r="K2501" s="33" t="s">
        <v>6898</v>
      </c>
      <c r="L2501" s="33" t="s">
        <v>3564</v>
      </c>
      <c r="M2501" s="33" t="s">
        <v>69</v>
      </c>
      <c r="N2501" s="33" t="s">
        <v>42</v>
      </c>
      <c r="Q2501" s="33" t="s">
        <v>8143</v>
      </c>
    </row>
    <row r="2502" spans="1:17" hidden="1">
      <c r="A2502" s="33" t="s">
        <v>9081</v>
      </c>
      <c r="B2502" s="33" t="s">
        <v>9082</v>
      </c>
      <c r="C2502" s="33" t="s">
        <v>1891</v>
      </c>
      <c r="D2502" s="33" t="s">
        <v>67</v>
      </c>
      <c r="E2502" s="33" t="s">
        <v>6600</v>
      </c>
      <c r="G2502" s="33" t="s">
        <v>41</v>
      </c>
      <c r="H2502" s="33" t="s">
        <v>3616</v>
      </c>
      <c r="I2502" s="33" t="s">
        <v>3616</v>
      </c>
      <c r="J2502" s="33" t="s">
        <v>9083</v>
      </c>
      <c r="K2502" s="33" t="s">
        <v>6602</v>
      </c>
      <c r="L2502" s="33" t="s">
        <v>3564</v>
      </c>
      <c r="M2502" s="33" t="str">
        <f>_xlfn.XLOOKUP(Tabela14[[#This Row],[Responsável]],Organograma!H:H,Organograma!G:G,"")</f>
        <v>CC - Centro Cirúrgico</v>
      </c>
      <c r="N2502" s="33" t="s">
        <v>42</v>
      </c>
      <c r="Q2502" s="33" t="s">
        <v>8143</v>
      </c>
    </row>
    <row r="2503" spans="1:17">
      <c r="A2503" s="33" t="s">
        <v>9084</v>
      </c>
      <c r="B2503" s="33" t="s">
        <v>9085</v>
      </c>
      <c r="C2503" s="33" t="s">
        <v>1891</v>
      </c>
      <c r="D2503" s="33" t="s">
        <v>41</v>
      </c>
      <c r="E2503" s="33" t="s">
        <v>3976</v>
      </c>
      <c r="G2503" s="33" t="s">
        <v>41</v>
      </c>
      <c r="H2503" s="33" t="s">
        <v>3616</v>
      </c>
      <c r="I2503" s="33" t="s">
        <v>3616</v>
      </c>
      <c r="J2503" s="33" t="s">
        <v>9086</v>
      </c>
      <c r="K2503" s="33" t="s">
        <v>6898</v>
      </c>
      <c r="L2503" s="33" t="s">
        <v>3633</v>
      </c>
      <c r="M2503" s="33" t="s">
        <v>69</v>
      </c>
      <c r="N2503" s="33" t="s">
        <v>42</v>
      </c>
      <c r="Q2503" s="33" t="s">
        <v>8143</v>
      </c>
    </row>
    <row r="2504" spans="1:17" hidden="1">
      <c r="A2504" s="33" t="s">
        <v>9087</v>
      </c>
      <c r="B2504" s="33" t="s">
        <v>9088</v>
      </c>
      <c r="C2504" s="33" t="s">
        <v>1891</v>
      </c>
      <c r="D2504" s="33" t="s">
        <v>67</v>
      </c>
      <c r="E2504" s="33" t="s">
        <v>6600</v>
      </c>
      <c r="G2504" s="33" t="s">
        <v>41</v>
      </c>
      <c r="H2504" s="33" t="s">
        <v>3616</v>
      </c>
      <c r="I2504" s="33" t="s">
        <v>3616</v>
      </c>
      <c r="J2504" s="33" t="s">
        <v>9089</v>
      </c>
      <c r="K2504" s="33" t="s">
        <v>6602</v>
      </c>
      <c r="L2504" s="33" t="s">
        <v>3564</v>
      </c>
      <c r="M2504" s="33" t="str">
        <f>_xlfn.XLOOKUP(Tabela14[[#This Row],[Responsável]],Organograma!H:H,Organograma!G:G,"")</f>
        <v>CC - Centro Cirúrgico</v>
      </c>
      <c r="N2504" s="33" t="s">
        <v>42</v>
      </c>
      <c r="Q2504" s="33" t="s">
        <v>8143</v>
      </c>
    </row>
    <row r="2505" spans="1:17" hidden="1">
      <c r="A2505" s="33" t="s">
        <v>9090</v>
      </c>
      <c r="B2505" s="33" t="s">
        <v>9091</v>
      </c>
      <c r="C2505" s="33" t="s">
        <v>1891</v>
      </c>
      <c r="D2505" s="33" t="s">
        <v>65</v>
      </c>
      <c r="E2505" s="33" t="s">
        <v>6609</v>
      </c>
      <c r="G2505" s="33" t="s">
        <v>41</v>
      </c>
      <c r="H2505" s="33" t="s">
        <v>3616</v>
      </c>
      <c r="I2505" s="33" t="s">
        <v>3616</v>
      </c>
      <c r="J2505" s="33" t="s">
        <v>9092</v>
      </c>
      <c r="K2505" s="33" t="s">
        <v>6611</v>
      </c>
      <c r="L2505" s="33" t="s">
        <v>3616</v>
      </c>
      <c r="M2505" s="33" t="str">
        <f>_xlfn.XLOOKUP(Tabela14[[#This Row],[Responsável]],Organograma!H:H,Organograma!G:G,"")</f>
        <v>CGO - Unidade de Internação Ginecobstétrica</v>
      </c>
      <c r="N2505" s="33" t="s">
        <v>42</v>
      </c>
      <c r="Q2505" s="33" t="s">
        <v>8143</v>
      </c>
    </row>
    <row r="2506" spans="1:17" hidden="1">
      <c r="A2506" s="33" t="s">
        <v>9093</v>
      </c>
      <c r="B2506" s="33" t="s">
        <v>9094</v>
      </c>
      <c r="C2506" s="33" t="s">
        <v>1891</v>
      </c>
      <c r="D2506" s="33" t="s">
        <v>65</v>
      </c>
      <c r="E2506" s="33" t="s">
        <v>6609</v>
      </c>
      <c r="G2506" s="33" t="s">
        <v>41</v>
      </c>
      <c r="H2506" s="33" t="s">
        <v>3616</v>
      </c>
      <c r="I2506" s="33" t="s">
        <v>3616</v>
      </c>
      <c r="J2506" s="33" t="s">
        <v>9095</v>
      </c>
      <c r="K2506" s="33" t="s">
        <v>6611</v>
      </c>
      <c r="L2506" s="33" t="s">
        <v>3616</v>
      </c>
      <c r="M2506" s="33" t="str">
        <f>_xlfn.XLOOKUP(Tabela14[[#This Row],[Responsável]],Organograma!H:H,Organograma!G:G,"")</f>
        <v>CGO - Unidade de Internação Ginecobstétrica</v>
      </c>
      <c r="N2506" s="33" t="s">
        <v>42</v>
      </c>
      <c r="Q2506" s="33" t="s">
        <v>8143</v>
      </c>
    </row>
    <row r="2507" spans="1:17" hidden="1">
      <c r="A2507" s="33" t="s">
        <v>9096</v>
      </c>
      <c r="B2507" s="33" t="s">
        <v>9097</v>
      </c>
      <c r="C2507" s="33" t="s">
        <v>1891</v>
      </c>
      <c r="D2507" s="33" t="s">
        <v>64</v>
      </c>
      <c r="E2507" s="33" t="s">
        <v>6600</v>
      </c>
      <c r="G2507" s="33" t="s">
        <v>41</v>
      </c>
      <c r="H2507" s="33" t="s">
        <v>3616</v>
      </c>
      <c r="I2507" s="33" t="s">
        <v>3616</v>
      </c>
      <c r="J2507" s="33" t="s">
        <v>9098</v>
      </c>
      <c r="K2507" s="33" t="s">
        <v>6602</v>
      </c>
      <c r="L2507" s="33" t="s">
        <v>5753</v>
      </c>
      <c r="M2507" s="33" t="str">
        <f>_xlfn.XLOOKUP(Tabela14[[#This Row],[Responsável]],Organograma!H:H,Organograma!G:G,"")</f>
        <v>PAM - Pronto Atendimento Materno</v>
      </c>
      <c r="N2507" s="33" t="s">
        <v>42</v>
      </c>
      <c r="Q2507" s="33" t="s">
        <v>8143</v>
      </c>
    </row>
    <row r="2508" spans="1:17" hidden="1">
      <c r="A2508" s="33" t="s">
        <v>7250</v>
      </c>
      <c r="B2508" s="33" t="s">
        <v>7251</v>
      </c>
      <c r="C2508" s="33" t="s">
        <v>1891</v>
      </c>
      <c r="D2508" s="33" t="s">
        <v>6819</v>
      </c>
      <c r="E2508" s="33" t="s">
        <v>6609</v>
      </c>
      <c r="G2508" s="33" t="s">
        <v>41</v>
      </c>
      <c r="H2508" s="33" t="s">
        <v>1945</v>
      </c>
      <c r="I2508" s="33" t="s">
        <v>1945</v>
      </c>
      <c r="J2508" s="33" t="s">
        <v>7252</v>
      </c>
      <c r="K2508" s="33" t="s">
        <v>6611</v>
      </c>
      <c r="L2508" s="33" t="s">
        <v>1945</v>
      </c>
      <c r="M2508" s="33" t="s">
        <v>76</v>
      </c>
      <c r="N2508" s="33" t="s">
        <v>42</v>
      </c>
      <c r="Q2508" s="33" t="s">
        <v>7095</v>
      </c>
    </row>
    <row r="2509" spans="1:17" hidden="1">
      <c r="A2509" s="33" t="s">
        <v>8499</v>
      </c>
      <c r="B2509" s="33" t="s">
        <v>8500</v>
      </c>
      <c r="C2509" s="33" t="s">
        <v>1891</v>
      </c>
      <c r="D2509" s="33" t="s">
        <v>6819</v>
      </c>
      <c r="E2509" s="33" t="s">
        <v>6609</v>
      </c>
      <c r="G2509" s="33" t="s">
        <v>41</v>
      </c>
      <c r="H2509" s="33" t="s">
        <v>2529</v>
      </c>
      <c r="I2509" s="33" t="s">
        <v>2529</v>
      </c>
      <c r="J2509" s="33" t="s">
        <v>8501</v>
      </c>
      <c r="K2509" s="33" t="s">
        <v>6611</v>
      </c>
      <c r="L2509" s="33" t="s">
        <v>2529</v>
      </c>
      <c r="M2509" s="33" t="s">
        <v>75</v>
      </c>
      <c r="N2509" s="33" t="s">
        <v>42</v>
      </c>
      <c r="Q2509" s="33" t="s">
        <v>8143</v>
      </c>
    </row>
    <row r="2510" spans="1:17" hidden="1">
      <c r="A2510" s="33" t="s">
        <v>9105</v>
      </c>
      <c r="B2510" s="33" t="s">
        <v>9106</v>
      </c>
      <c r="C2510" s="33" t="s">
        <v>1891</v>
      </c>
      <c r="D2510" s="33" t="s">
        <v>57</v>
      </c>
      <c r="E2510" s="33" t="s">
        <v>6609</v>
      </c>
      <c r="G2510" s="33" t="s">
        <v>41</v>
      </c>
      <c r="H2510" s="33" t="s">
        <v>3616</v>
      </c>
      <c r="I2510" s="33" t="s">
        <v>3616</v>
      </c>
      <c r="J2510" s="33" t="s">
        <v>9107</v>
      </c>
      <c r="K2510" s="33" t="s">
        <v>6611</v>
      </c>
      <c r="L2510" s="33" t="s">
        <v>3616</v>
      </c>
      <c r="M2510" s="33" t="str">
        <f>_xlfn.XLOOKUP(Tabela14[[#This Row],[Responsável]],Organograma!H:H,Organograma!G:G,"")</f>
        <v>AMB - Unidade Ambulatorial</v>
      </c>
      <c r="N2510" s="33" t="s">
        <v>42</v>
      </c>
      <c r="Q2510" s="33" t="s">
        <v>8143</v>
      </c>
    </row>
    <row r="2511" spans="1:17" hidden="1">
      <c r="A2511" s="33" t="s">
        <v>9108</v>
      </c>
      <c r="B2511" s="33" t="s">
        <v>9109</v>
      </c>
      <c r="C2511" s="33" t="s">
        <v>1891</v>
      </c>
      <c r="D2511" s="33" t="s">
        <v>64</v>
      </c>
      <c r="E2511" s="33" t="s">
        <v>6600</v>
      </c>
      <c r="G2511" s="33" t="s">
        <v>41</v>
      </c>
      <c r="H2511" s="33" t="s">
        <v>3616</v>
      </c>
      <c r="I2511" s="33" t="s">
        <v>3616</v>
      </c>
      <c r="J2511" s="33" t="s">
        <v>9110</v>
      </c>
      <c r="K2511" s="33" t="s">
        <v>6602</v>
      </c>
      <c r="L2511" s="33" t="s">
        <v>5753</v>
      </c>
      <c r="M2511" s="33" t="str">
        <f>_xlfn.XLOOKUP(Tabela14[[#This Row],[Responsável]],Organograma!H:H,Organograma!G:G,"")</f>
        <v>PAM - Pronto Atendimento Materno</v>
      </c>
      <c r="N2511" s="33" t="s">
        <v>42</v>
      </c>
      <c r="Q2511" s="33" t="s">
        <v>8143</v>
      </c>
    </row>
    <row r="2512" spans="1:17" hidden="1">
      <c r="A2512" s="33" t="s">
        <v>9111</v>
      </c>
      <c r="B2512" s="33" t="s">
        <v>9112</v>
      </c>
      <c r="C2512" s="33" t="s">
        <v>1891</v>
      </c>
      <c r="D2512" s="33" t="s">
        <v>64</v>
      </c>
      <c r="E2512" s="33" t="s">
        <v>6600</v>
      </c>
      <c r="G2512" s="33" t="s">
        <v>41</v>
      </c>
      <c r="H2512" s="33" t="s">
        <v>3616</v>
      </c>
      <c r="I2512" s="33" t="s">
        <v>3616</v>
      </c>
      <c r="J2512" s="33" t="s">
        <v>9113</v>
      </c>
      <c r="K2512" s="33" t="s">
        <v>6602</v>
      </c>
      <c r="L2512" s="33" t="s">
        <v>5753</v>
      </c>
      <c r="M2512" s="33" t="str">
        <f>_xlfn.XLOOKUP(Tabela14[[#This Row],[Responsável]],Organograma!H:H,Organograma!G:G,"")</f>
        <v>PAM - Pronto Atendimento Materno</v>
      </c>
      <c r="N2512" s="33" t="s">
        <v>42</v>
      </c>
      <c r="Q2512" s="33" t="s">
        <v>8143</v>
      </c>
    </row>
    <row r="2513" spans="1:17" hidden="1">
      <c r="A2513" s="33" t="s">
        <v>9114</v>
      </c>
      <c r="B2513" s="33" t="s">
        <v>9115</v>
      </c>
      <c r="C2513" s="33" t="s">
        <v>1891</v>
      </c>
      <c r="D2513" s="33" t="s">
        <v>64</v>
      </c>
      <c r="E2513" s="33" t="s">
        <v>6600</v>
      </c>
      <c r="G2513" s="33" t="s">
        <v>41</v>
      </c>
      <c r="H2513" s="33" t="s">
        <v>3616</v>
      </c>
      <c r="I2513" s="33" t="s">
        <v>3616</v>
      </c>
      <c r="J2513" s="33" t="s">
        <v>9116</v>
      </c>
      <c r="K2513" s="33" t="s">
        <v>6602</v>
      </c>
      <c r="L2513" s="33" t="s">
        <v>5753</v>
      </c>
      <c r="M2513" s="33" t="str">
        <f>_xlfn.XLOOKUP(Tabela14[[#This Row],[Responsável]],Organograma!H:H,Organograma!G:G,"")</f>
        <v>PAM - Pronto Atendimento Materno</v>
      </c>
      <c r="N2513" s="33" t="s">
        <v>42</v>
      </c>
      <c r="Q2513" s="33" t="s">
        <v>8143</v>
      </c>
    </row>
    <row r="2514" spans="1:17" hidden="1">
      <c r="A2514" s="33" t="s">
        <v>9117</v>
      </c>
      <c r="B2514" s="33" t="s">
        <v>9118</v>
      </c>
      <c r="C2514" s="33" t="s">
        <v>1891</v>
      </c>
      <c r="D2514" s="33" t="s">
        <v>79</v>
      </c>
      <c r="E2514" s="33" t="s">
        <v>6609</v>
      </c>
      <c r="G2514" s="33" t="s">
        <v>41</v>
      </c>
      <c r="H2514" s="33" t="s">
        <v>3616</v>
      </c>
      <c r="I2514" s="33" t="s">
        <v>3616</v>
      </c>
      <c r="J2514" s="33" t="s">
        <v>9119</v>
      </c>
      <c r="K2514" s="33" t="s">
        <v>6611</v>
      </c>
      <c r="L2514" s="33" t="s">
        <v>3672</v>
      </c>
      <c r="M2514" s="33" t="str">
        <f>_xlfn.XLOOKUP(Tabela14[[#This Row],[Responsável]],Organograma!H:H,Organograma!G:G,"")</f>
        <v>PED - Unidade de Internação Pediátrica</v>
      </c>
      <c r="N2514" s="33" t="s">
        <v>42</v>
      </c>
      <c r="Q2514" s="33" t="s">
        <v>8143</v>
      </c>
    </row>
    <row r="2515" spans="1:17" hidden="1">
      <c r="A2515" s="33" t="s">
        <v>9120</v>
      </c>
      <c r="B2515" s="33" t="s">
        <v>9121</v>
      </c>
      <c r="C2515" s="33" t="s">
        <v>1891</v>
      </c>
      <c r="D2515" s="33" t="s">
        <v>79</v>
      </c>
      <c r="E2515" s="33" t="s">
        <v>6609</v>
      </c>
      <c r="G2515" s="33" t="s">
        <v>41</v>
      </c>
      <c r="H2515" s="33" t="s">
        <v>3616</v>
      </c>
      <c r="I2515" s="33" t="s">
        <v>3616</v>
      </c>
      <c r="J2515" s="33" t="s">
        <v>9122</v>
      </c>
      <c r="K2515" s="33" t="s">
        <v>6611</v>
      </c>
      <c r="L2515" s="33" t="s">
        <v>3672</v>
      </c>
      <c r="M2515" s="33" t="str">
        <f>_xlfn.XLOOKUP(Tabela14[[#This Row],[Responsável]],Organograma!H:H,Organograma!G:G,"")</f>
        <v>PED - Unidade de Internação Pediátrica</v>
      </c>
      <c r="N2515" s="33" t="s">
        <v>42</v>
      </c>
      <c r="Q2515" s="33" t="s">
        <v>8143</v>
      </c>
    </row>
    <row r="2516" spans="1:17" hidden="1">
      <c r="A2516" s="33" t="s">
        <v>9123</v>
      </c>
      <c r="B2516" s="33" t="s">
        <v>9124</v>
      </c>
      <c r="C2516" s="33" t="s">
        <v>1891</v>
      </c>
      <c r="D2516" s="33" t="s">
        <v>79</v>
      </c>
      <c r="E2516" s="33" t="s">
        <v>6609</v>
      </c>
      <c r="G2516" s="33" t="s">
        <v>41</v>
      </c>
      <c r="H2516" s="33" t="s">
        <v>3616</v>
      </c>
      <c r="I2516" s="33" t="s">
        <v>3616</v>
      </c>
      <c r="J2516" s="33" t="s">
        <v>9125</v>
      </c>
      <c r="K2516" s="33" t="s">
        <v>6611</v>
      </c>
      <c r="L2516" s="33" t="s">
        <v>3672</v>
      </c>
      <c r="M2516" s="33" t="str">
        <f>_xlfn.XLOOKUP(Tabela14[[#This Row],[Responsável]],Organograma!H:H,Organograma!G:G,"")</f>
        <v>PED - Unidade de Internação Pediátrica</v>
      </c>
      <c r="N2516" s="33" t="s">
        <v>42</v>
      </c>
      <c r="Q2516" s="33" t="s">
        <v>8143</v>
      </c>
    </row>
    <row r="2517" spans="1:17">
      <c r="A2517" s="33" t="s">
        <v>9126</v>
      </c>
      <c r="B2517" s="33" t="s">
        <v>9127</v>
      </c>
      <c r="C2517" s="33" t="s">
        <v>1891</v>
      </c>
      <c r="D2517" s="33" t="s">
        <v>41</v>
      </c>
      <c r="E2517" s="33" t="s">
        <v>935</v>
      </c>
      <c r="G2517" s="33" t="s">
        <v>41</v>
      </c>
      <c r="H2517" s="33" t="s">
        <v>3616</v>
      </c>
      <c r="I2517" s="33" t="s">
        <v>3616</v>
      </c>
      <c r="J2517" s="33" t="s">
        <v>9128</v>
      </c>
      <c r="K2517" s="33" t="s">
        <v>6898</v>
      </c>
      <c r="L2517" s="33" t="s">
        <v>3795</v>
      </c>
      <c r="M2517" s="33" t="s">
        <v>91</v>
      </c>
      <c r="N2517" s="33" t="s">
        <v>42</v>
      </c>
      <c r="Q2517" s="33" t="s">
        <v>8143</v>
      </c>
    </row>
    <row r="2518" spans="1:17" hidden="1">
      <c r="A2518" s="33" t="s">
        <v>8574</v>
      </c>
      <c r="B2518" s="33" t="s">
        <v>8575</v>
      </c>
      <c r="C2518" s="33" t="s">
        <v>1891</v>
      </c>
      <c r="D2518" s="33" t="s">
        <v>6819</v>
      </c>
      <c r="E2518" s="33" t="s">
        <v>6600</v>
      </c>
      <c r="G2518" s="33" t="s">
        <v>41</v>
      </c>
      <c r="H2518" s="33" t="s">
        <v>2541</v>
      </c>
      <c r="I2518" s="33" t="s">
        <v>2541</v>
      </c>
      <c r="J2518" s="33" t="s">
        <v>8576</v>
      </c>
      <c r="K2518" s="33" t="s">
        <v>6602</v>
      </c>
      <c r="L2518" s="33" t="s">
        <v>2735</v>
      </c>
      <c r="M2518" s="33" t="s">
        <v>76</v>
      </c>
      <c r="N2518" s="33" t="s">
        <v>42</v>
      </c>
      <c r="Q2518" s="33" t="s">
        <v>8143</v>
      </c>
    </row>
    <row r="2519" spans="1:17">
      <c r="A2519" s="33" t="s">
        <v>9132</v>
      </c>
      <c r="B2519" s="33" t="s">
        <v>9133</v>
      </c>
      <c r="C2519" s="33" t="s">
        <v>1891</v>
      </c>
      <c r="D2519" s="33" t="s">
        <v>41</v>
      </c>
      <c r="E2519" s="33" t="s">
        <v>935</v>
      </c>
      <c r="G2519" s="33" t="s">
        <v>41</v>
      </c>
      <c r="H2519" s="33" t="s">
        <v>3616</v>
      </c>
      <c r="I2519" s="33" t="s">
        <v>3616</v>
      </c>
      <c r="J2519" s="33" t="s">
        <v>9134</v>
      </c>
      <c r="K2519" s="33" t="s">
        <v>6898</v>
      </c>
      <c r="L2519" s="33" t="s">
        <v>5779</v>
      </c>
      <c r="M2519" s="33" t="s">
        <v>91</v>
      </c>
      <c r="N2519" s="33" t="s">
        <v>42</v>
      </c>
      <c r="Q2519" s="33" t="s">
        <v>8143</v>
      </c>
    </row>
    <row r="2520" spans="1:17">
      <c r="A2520" s="33" t="s">
        <v>9135</v>
      </c>
      <c r="B2520" s="33" t="s">
        <v>9136</v>
      </c>
      <c r="C2520" s="33" t="s">
        <v>1891</v>
      </c>
      <c r="D2520" s="33" t="s">
        <v>41</v>
      </c>
      <c r="E2520" s="33" t="s">
        <v>935</v>
      </c>
      <c r="G2520" s="33" t="s">
        <v>41</v>
      </c>
      <c r="H2520" s="33" t="s">
        <v>3616</v>
      </c>
      <c r="I2520" s="33" t="s">
        <v>3616</v>
      </c>
      <c r="J2520" s="33" t="s">
        <v>9137</v>
      </c>
      <c r="K2520" s="33" t="s">
        <v>6898</v>
      </c>
      <c r="L2520" s="33" t="s">
        <v>2647</v>
      </c>
      <c r="M2520" s="33" t="s">
        <v>91</v>
      </c>
      <c r="N2520" s="33" t="s">
        <v>42</v>
      </c>
      <c r="Q2520" s="33" t="s">
        <v>8143</v>
      </c>
    </row>
    <row r="2521" spans="1:17">
      <c r="A2521" s="33" t="s">
        <v>9138</v>
      </c>
      <c r="B2521" s="33" t="s">
        <v>9139</v>
      </c>
      <c r="C2521" s="33" t="s">
        <v>1891</v>
      </c>
      <c r="D2521" s="33" t="s">
        <v>41</v>
      </c>
      <c r="E2521" s="33" t="s">
        <v>935</v>
      </c>
      <c r="G2521" s="33" t="s">
        <v>41</v>
      </c>
      <c r="H2521" s="33" t="s">
        <v>3616</v>
      </c>
      <c r="I2521" s="33" t="s">
        <v>3616</v>
      </c>
      <c r="J2521" s="33" t="s">
        <v>9140</v>
      </c>
      <c r="K2521" s="33" t="s">
        <v>6898</v>
      </c>
      <c r="L2521" s="33" t="s">
        <v>5779</v>
      </c>
      <c r="M2521" s="33" t="s">
        <v>91</v>
      </c>
      <c r="N2521" s="33" t="s">
        <v>42</v>
      </c>
      <c r="Q2521" s="33" t="s">
        <v>8143</v>
      </c>
    </row>
    <row r="2522" spans="1:17">
      <c r="A2522" s="33" t="s">
        <v>9141</v>
      </c>
      <c r="B2522" s="33" t="s">
        <v>9142</v>
      </c>
      <c r="C2522" s="33" t="s">
        <v>1891</v>
      </c>
      <c r="D2522" s="33" t="s">
        <v>41</v>
      </c>
      <c r="E2522" s="33" t="s">
        <v>3976</v>
      </c>
      <c r="G2522" s="33" t="s">
        <v>41</v>
      </c>
      <c r="H2522" s="33" t="s">
        <v>3616</v>
      </c>
      <c r="I2522" s="33" t="s">
        <v>3616</v>
      </c>
      <c r="J2522" s="33" t="s">
        <v>9143</v>
      </c>
      <c r="K2522" s="33" t="s">
        <v>6898</v>
      </c>
      <c r="L2522" s="33" t="s">
        <v>3948</v>
      </c>
      <c r="M2522" s="33" t="s">
        <v>195</v>
      </c>
      <c r="N2522" s="33" t="s">
        <v>42</v>
      </c>
      <c r="Q2522" s="33" t="s">
        <v>8143</v>
      </c>
    </row>
    <row r="2523" spans="1:17" hidden="1">
      <c r="A2523" s="33" t="s">
        <v>9144</v>
      </c>
      <c r="B2523" s="33" t="s">
        <v>9145</v>
      </c>
      <c r="C2523" s="33" t="s">
        <v>1891</v>
      </c>
      <c r="D2523" s="33" t="s">
        <v>79</v>
      </c>
      <c r="E2523" s="33" t="s">
        <v>6609</v>
      </c>
      <c r="G2523" s="33" t="s">
        <v>41</v>
      </c>
      <c r="H2523" s="33" t="s">
        <v>3616</v>
      </c>
      <c r="I2523" s="33" t="s">
        <v>3616</v>
      </c>
      <c r="J2523" s="33" t="s">
        <v>9146</v>
      </c>
      <c r="K2523" s="33" t="s">
        <v>6611</v>
      </c>
      <c r="L2523" s="33" t="s">
        <v>3633</v>
      </c>
      <c r="M2523" s="33" t="str">
        <f>_xlfn.XLOOKUP(Tabela14[[#This Row],[Responsável]],Organograma!H:H,Organograma!G:G,"")</f>
        <v>PED - Unidade de Internação Pediátrica</v>
      </c>
      <c r="N2523" s="33" t="s">
        <v>42</v>
      </c>
      <c r="Q2523" s="33" t="s">
        <v>8143</v>
      </c>
    </row>
    <row r="2524" spans="1:17" hidden="1">
      <c r="A2524" s="33" t="s">
        <v>9147</v>
      </c>
      <c r="B2524" s="33" t="s">
        <v>9148</v>
      </c>
      <c r="C2524" s="33" t="s">
        <v>1891</v>
      </c>
      <c r="D2524" s="33" t="s">
        <v>67</v>
      </c>
      <c r="E2524" s="33" t="s">
        <v>6600</v>
      </c>
      <c r="G2524" s="33" t="s">
        <v>41</v>
      </c>
      <c r="H2524" s="33" t="s">
        <v>3616</v>
      </c>
      <c r="I2524" s="33" t="s">
        <v>3616</v>
      </c>
      <c r="J2524" s="33" t="s">
        <v>9149</v>
      </c>
      <c r="K2524" s="33" t="s">
        <v>6602</v>
      </c>
      <c r="L2524" s="33" t="s">
        <v>4039</v>
      </c>
      <c r="M2524" s="33" t="str">
        <f>_xlfn.XLOOKUP(Tabela14[[#This Row],[Responsável]],Organograma!H:H,Organograma!G:G,"")</f>
        <v>CC - Centro Cirúrgico</v>
      </c>
      <c r="N2524" s="33" t="s">
        <v>42</v>
      </c>
      <c r="Q2524" s="33" t="s">
        <v>8143</v>
      </c>
    </row>
    <row r="2525" spans="1:17">
      <c r="A2525" s="33" t="s">
        <v>9150</v>
      </c>
      <c r="B2525" s="33" t="s">
        <v>9151</v>
      </c>
      <c r="C2525" s="33" t="s">
        <v>1891</v>
      </c>
      <c r="D2525" s="33" t="s">
        <v>41</v>
      </c>
      <c r="E2525" s="33" t="s">
        <v>3976</v>
      </c>
      <c r="G2525" s="33" t="s">
        <v>41</v>
      </c>
      <c r="H2525" s="33" t="s">
        <v>3616</v>
      </c>
      <c r="I2525" s="33" t="s">
        <v>3616</v>
      </c>
      <c r="J2525" s="33" t="s">
        <v>9152</v>
      </c>
      <c r="K2525" s="33" t="s">
        <v>6898</v>
      </c>
      <c r="L2525" s="33" t="s">
        <v>4039</v>
      </c>
      <c r="M2525" s="33" t="s">
        <v>69</v>
      </c>
      <c r="N2525" s="33" t="s">
        <v>42</v>
      </c>
      <c r="Q2525" s="33" t="s">
        <v>8143</v>
      </c>
    </row>
    <row r="2526" spans="1:17" hidden="1">
      <c r="A2526" s="33" t="s">
        <v>9153</v>
      </c>
      <c r="B2526" s="33" t="s">
        <v>9154</v>
      </c>
      <c r="C2526" s="33" t="s">
        <v>1891</v>
      </c>
      <c r="D2526" s="33" t="s">
        <v>67</v>
      </c>
      <c r="E2526" s="33" t="s">
        <v>6600</v>
      </c>
      <c r="G2526" s="33" t="s">
        <v>41</v>
      </c>
      <c r="H2526" s="33" t="s">
        <v>3616</v>
      </c>
      <c r="I2526" s="33" t="s">
        <v>3616</v>
      </c>
      <c r="J2526" s="33" t="s">
        <v>9155</v>
      </c>
      <c r="K2526" s="33" t="s">
        <v>6602</v>
      </c>
      <c r="L2526" s="33" t="s">
        <v>4039</v>
      </c>
      <c r="M2526" s="33" t="str">
        <f>_xlfn.XLOOKUP(Tabela14[[#This Row],[Responsável]],Organograma!H:H,Organograma!G:G,"")</f>
        <v>CC - Centro Cirúrgico</v>
      </c>
      <c r="N2526" s="33" t="s">
        <v>42</v>
      </c>
      <c r="Q2526" s="33" t="s">
        <v>8143</v>
      </c>
    </row>
    <row r="2527" spans="1:17">
      <c r="A2527" s="33" t="s">
        <v>9156</v>
      </c>
      <c r="B2527" s="33" t="s">
        <v>9157</v>
      </c>
      <c r="C2527" s="33" t="s">
        <v>1891</v>
      </c>
      <c r="D2527" s="33" t="s">
        <v>41</v>
      </c>
      <c r="E2527" s="33" t="s">
        <v>3976</v>
      </c>
      <c r="G2527" s="33" t="s">
        <v>41</v>
      </c>
      <c r="H2527" s="33" t="s">
        <v>3616</v>
      </c>
      <c r="I2527" s="33" t="s">
        <v>3616</v>
      </c>
      <c r="J2527" s="33" t="s">
        <v>9158</v>
      </c>
      <c r="K2527" s="33" t="s">
        <v>6898</v>
      </c>
      <c r="L2527" s="33" t="s">
        <v>4039</v>
      </c>
      <c r="M2527" s="33" t="s">
        <v>69</v>
      </c>
      <c r="N2527" s="33" t="s">
        <v>42</v>
      </c>
      <c r="Q2527" s="33" t="s">
        <v>8143</v>
      </c>
    </row>
    <row r="2528" spans="1:17" hidden="1">
      <c r="A2528" s="33" t="s">
        <v>8865</v>
      </c>
      <c r="B2528" s="33" t="s">
        <v>8866</v>
      </c>
      <c r="C2528" s="33" t="s">
        <v>1891</v>
      </c>
      <c r="D2528" s="33" t="s">
        <v>6819</v>
      </c>
      <c r="E2528" s="33" t="s">
        <v>6609</v>
      </c>
      <c r="G2528" s="33" t="s">
        <v>41</v>
      </c>
      <c r="H2528" s="33" t="s">
        <v>2685</v>
      </c>
      <c r="I2528" s="33" t="s">
        <v>2685</v>
      </c>
      <c r="J2528" s="33" t="s">
        <v>8867</v>
      </c>
      <c r="K2528" s="33" t="s">
        <v>6611</v>
      </c>
      <c r="L2528" s="33" t="s">
        <v>2685</v>
      </c>
      <c r="M2528" s="33" t="s">
        <v>75</v>
      </c>
      <c r="N2528" s="33" t="s">
        <v>42</v>
      </c>
      <c r="Q2528" s="33" t="s">
        <v>8143</v>
      </c>
    </row>
    <row r="2529" spans="1:17">
      <c r="A2529" s="33" t="s">
        <v>9162</v>
      </c>
      <c r="B2529" s="33" t="s">
        <v>9163</v>
      </c>
      <c r="C2529" s="33" t="s">
        <v>1891</v>
      </c>
      <c r="D2529" s="33" t="s">
        <v>41</v>
      </c>
      <c r="E2529" s="33" t="s">
        <v>935</v>
      </c>
      <c r="G2529" s="33" t="s">
        <v>41</v>
      </c>
      <c r="H2529" s="33" t="s">
        <v>3616</v>
      </c>
      <c r="I2529" s="33" t="s">
        <v>3616</v>
      </c>
      <c r="J2529" s="33" t="s">
        <v>9164</v>
      </c>
      <c r="K2529" s="33" t="s">
        <v>6898</v>
      </c>
      <c r="L2529" s="33" t="s">
        <v>3633</v>
      </c>
      <c r="M2529" s="33" t="s">
        <v>1402</v>
      </c>
      <c r="N2529" s="33" t="s">
        <v>42</v>
      </c>
      <c r="Q2529" s="33" t="s">
        <v>8143</v>
      </c>
    </row>
    <row r="2530" spans="1:17">
      <c r="A2530" s="33" t="s">
        <v>9165</v>
      </c>
      <c r="B2530" s="33" t="s">
        <v>9166</v>
      </c>
      <c r="C2530" s="33" t="s">
        <v>1891</v>
      </c>
      <c r="D2530" s="33" t="s">
        <v>41</v>
      </c>
      <c r="E2530" s="33" t="s">
        <v>935</v>
      </c>
      <c r="G2530" s="33" t="s">
        <v>41</v>
      </c>
      <c r="H2530" s="33" t="s">
        <v>3616</v>
      </c>
      <c r="I2530" s="33" t="s">
        <v>3616</v>
      </c>
      <c r="J2530" s="33" t="s">
        <v>9167</v>
      </c>
      <c r="K2530" s="33" t="s">
        <v>6898</v>
      </c>
      <c r="L2530" s="33" t="s">
        <v>2647</v>
      </c>
      <c r="M2530" s="33" t="s">
        <v>1402</v>
      </c>
      <c r="N2530" s="33" t="s">
        <v>42</v>
      </c>
      <c r="Q2530" s="33" t="s">
        <v>8143</v>
      </c>
    </row>
    <row r="2531" spans="1:17">
      <c r="A2531" s="33" t="s">
        <v>9168</v>
      </c>
      <c r="B2531" s="33" t="s">
        <v>9169</v>
      </c>
      <c r="C2531" s="33" t="s">
        <v>1891</v>
      </c>
      <c r="D2531" s="33" t="s">
        <v>41</v>
      </c>
      <c r="E2531" s="33" t="s">
        <v>935</v>
      </c>
      <c r="G2531" s="33" t="s">
        <v>41</v>
      </c>
      <c r="H2531" s="33" t="s">
        <v>3616</v>
      </c>
      <c r="I2531" s="33" t="s">
        <v>3616</v>
      </c>
      <c r="J2531" s="33" t="s">
        <v>9170</v>
      </c>
      <c r="K2531" s="33" t="s">
        <v>6898</v>
      </c>
      <c r="L2531" s="33" t="s">
        <v>3633</v>
      </c>
      <c r="M2531" s="33" t="s">
        <v>1402</v>
      </c>
      <c r="N2531" s="33" t="s">
        <v>42</v>
      </c>
      <c r="Q2531" s="33" t="s">
        <v>8143</v>
      </c>
    </row>
    <row r="2532" spans="1:17">
      <c r="A2532" s="33" t="s">
        <v>9171</v>
      </c>
      <c r="B2532" s="33" t="s">
        <v>9172</v>
      </c>
      <c r="C2532" s="33" t="s">
        <v>1891</v>
      </c>
      <c r="D2532" s="33" t="s">
        <v>41</v>
      </c>
      <c r="E2532" s="33" t="s">
        <v>935</v>
      </c>
      <c r="G2532" s="33" t="s">
        <v>41</v>
      </c>
      <c r="H2532" s="33" t="s">
        <v>3616</v>
      </c>
      <c r="I2532" s="33" t="s">
        <v>3616</v>
      </c>
      <c r="J2532" s="33" t="s">
        <v>9173</v>
      </c>
      <c r="K2532" s="33" t="s">
        <v>6898</v>
      </c>
      <c r="L2532" s="33" t="s">
        <v>2647</v>
      </c>
      <c r="M2532" s="33" t="s">
        <v>1402</v>
      </c>
      <c r="N2532" s="33" t="s">
        <v>42</v>
      </c>
      <c r="Q2532" s="33" t="s">
        <v>8143</v>
      </c>
    </row>
    <row r="2533" spans="1:17">
      <c r="A2533" s="33" t="s">
        <v>9174</v>
      </c>
      <c r="B2533" s="33" t="s">
        <v>9175</v>
      </c>
      <c r="C2533" s="33" t="s">
        <v>1891</v>
      </c>
      <c r="D2533" s="33" t="s">
        <v>41</v>
      </c>
      <c r="E2533" s="33" t="s">
        <v>935</v>
      </c>
      <c r="G2533" s="33" t="s">
        <v>41</v>
      </c>
      <c r="H2533" s="33" t="s">
        <v>3616</v>
      </c>
      <c r="I2533" s="33" t="s">
        <v>3616</v>
      </c>
      <c r="J2533" s="33" t="s">
        <v>9176</v>
      </c>
      <c r="K2533" s="33" t="s">
        <v>6898</v>
      </c>
      <c r="L2533" s="33" t="s">
        <v>2647</v>
      </c>
      <c r="M2533" s="33" t="s">
        <v>1402</v>
      </c>
      <c r="N2533" s="33" t="s">
        <v>42</v>
      </c>
      <c r="Q2533" s="33" t="s">
        <v>8143</v>
      </c>
    </row>
    <row r="2534" spans="1:17">
      <c r="A2534" s="33" t="s">
        <v>9177</v>
      </c>
      <c r="B2534" s="33" t="s">
        <v>9178</v>
      </c>
      <c r="C2534" s="33" t="s">
        <v>1891</v>
      </c>
      <c r="D2534" s="33" t="s">
        <v>41</v>
      </c>
      <c r="E2534" s="33" t="s">
        <v>935</v>
      </c>
      <c r="G2534" s="33" t="s">
        <v>41</v>
      </c>
      <c r="H2534" s="33" t="s">
        <v>3616</v>
      </c>
      <c r="I2534" s="33" t="s">
        <v>3616</v>
      </c>
      <c r="J2534" s="33" t="s">
        <v>9179</v>
      </c>
      <c r="K2534" s="33" t="s">
        <v>6898</v>
      </c>
      <c r="L2534" s="33" t="s">
        <v>3633</v>
      </c>
      <c r="M2534" s="33" t="s">
        <v>1402</v>
      </c>
      <c r="N2534" s="33" t="s">
        <v>42</v>
      </c>
      <c r="Q2534" s="33" t="s">
        <v>8143</v>
      </c>
    </row>
    <row r="2535" spans="1:17">
      <c r="A2535" s="33" t="s">
        <v>9180</v>
      </c>
      <c r="B2535" s="33" t="s">
        <v>9181</v>
      </c>
      <c r="C2535" s="33" t="s">
        <v>1891</v>
      </c>
      <c r="D2535" s="33" t="s">
        <v>41</v>
      </c>
      <c r="E2535" s="33" t="s">
        <v>3976</v>
      </c>
      <c r="G2535" s="33" t="s">
        <v>41</v>
      </c>
      <c r="H2535" s="33" t="s">
        <v>3616</v>
      </c>
      <c r="I2535" s="33" t="s">
        <v>3616</v>
      </c>
      <c r="J2535" s="33" t="s">
        <v>9182</v>
      </c>
      <c r="K2535" s="33" t="s">
        <v>6898</v>
      </c>
      <c r="L2535" s="33" t="s">
        <v>4039</v>
      </c>
      <c r="M2535" s="33" t="s">
        <v>194</v>
      </c>
      <c r="N2535" s="33" t="s">
        <v>42</v>
      </c>
      <c r="Q2535" s="33" t="s">
        <v>8143</v>
      </c>
    </row>
    <row r="2536" spans="1:17">
      <c r="A2536" s="33" t="s">
        <v>9183</v>
      </c>
      <c r="B2536" s="33" t="s">
        <v>9184</v>
      </c>
      <c r="C2536" s="33" t="s">
        <v>1891</v>
      </c>
      <c r="D2536" s="33" t="s">
        <v>41</v>
      </c>
      <c r="E2536" s="33" t="s">
        <v>3976</v>
      </c>
      <c r="G2536" s="33" t="s">
        <v>41</v>
      </c>
      <c r="H2536" s="33" t="s">
        <v>3616</v>
      </c>
      <c r="I2536" s="33" t="s">
        <v>3616</v>
      </c>
      <c r="J2536" s="33" t="s">
        <v>9185</v>
      </c>
      <c r="K2536" s="33" t="s">
        <v>6898</v>
      </c>
      <c r="L2536" s="33" t="s">
        <v>4039</v>
      </c>
      <c r="M2536" s="33" t="s">
        <v>194</v>
      </c>
      <c r="N2536" s="33" t="s">
        <v>42</v>
      </c>
      <c r="Q2536" s="33" t="s">
        <v>8143</v>
      </c>
    </row>
    <row r="2537" spans="1:17">
      <c r="A2537" s="33" t="s">
        <v>9186</v>
      </c>
      <c r="B2537" s="33" t="s">
        <v>9187</v>
      </c>
      <c r="C2537" s="33" t="s">
        <v>1891</v>
      </c>
      <c r="D2537" s="33" t="s">
        <v>41</v>
      </c>
      <c r="E2537" s="33" t="s">
        <v>3976</v>
      </c>
      <c r="G2537" s="33" t="s">
        <v>41</v>
      </c>
      <c r="H2537" s="33" t="s">
        <v>3616</v>
      </c>
      <c r="I2537" s="33" t="s">
        <v>3616</v>
      </c>
      <c r="J2537" s="33" t="s">
        <v>9188</v>
      </c>
      <c r="K2537" s="33" t="s">
        <v>6898</v>
      </c>
      <c r="L2537" s="33" t="s">
        <v>4039</v>
      </c>
      <c r="M2537" s="33" t="s">
        <v>194</v>
      </c>
      <c r="N2537" s="33" t="s">
        <v>42</v>
      </c>
      <c r="Q2537" s="33" t="s">
        <v>8143</v>
      </c>
    </row>
    <row r="2538" spans="1:17">
      <c r="A2538" s="33" t="s">
        <v>9189</v>
      </c>
      <c r="B2538" s="33" t="s">
        <v>9190</v>
      </c>
      <c r="C2538" s="33" t="s">
        <v>1891</v>
      </c>
      <c r="D2538" s="33" t="s">
        <v>41</v>
      </c>
      <c r="E2538" s="33" t="s">
        <v>3976</v>
      </c>
      <c r="G2538" s="33" t="s">
        <v>41</v>
      </c>
      <c r="H2538" s="33" t="s">
        <v>3616</v>
      </c>
      <c r="I2538" s="33" t="s">
        <v>3616</v>
      </c>
      <c r="J2538" s="33" t="s">
        <v>9191</v>
      </c>
      <c r="K2538" s="33" t="s">
        <v>6898</v>
      </c>
      <c r="L2538" s="33" t="s">
        <v>4039</v>
      </c>
      <c r="M2538" s="33" t="s">
        <v>194</v>
      </c>
      <c r="N2538" s="33" t="s">
        <v>42</v>
      </c>
      <c r="Q2538" s="33" t="s">
        <v>8143</v>
      </c>
    </row>
    <row r="2539" spans="1:17" hidden="1">
      <c r="A2539" s="33" t="s">
        <v>8868</v>
      </c>
      <c r="B2539" s="33" t="s">
        <v>8869</v>
      </c>
      <c r="C2539" s="33" t="s">
        <v>1891</v>
      </c>
      <c r="D2539" s="33" t="s">
        <v>6819</v>
      </c>
      <c r="E2539" s="33" t="s">
        <v>6609</v>
      </c>
      <c r="G2539" s="33" t="s">
        <v>41</v>
      </c>
      <c r="H2539" s="33" t="s">
        <v>2685</v>
      </c>
      <c r="I2539" s="33" t="s">
        <v>2685</v>
      </c>
      <c r="J2539" s="33" t="s">
        <v>8870</v>
      </c>
      <c r="K2539" s="33" t="s">
        <v>6611</v>
      </c>
      <c r="L2539" s="33" t="s">
        <v>2685</v>
      </c>
      <c r="M2539" s="33" t="s">
        <v>78</v>
      </c>
      <c r="N2539" s="33" t="s">
        <v>42</v>
      </c>
      <c r="Q2539" s="33" t="s">
        <v>8143</v>
      </c>
    </row>
    <row r="2540" spans="1:17" hidden="1">
      <c r="A2540" s="33" t="s">
        <v>9195</v>
      </c>
      <c r="B2540" s="33" t="s">
        <v>9196</v>
      </c>
      <c r="C2540" s="33" t="s">
        <v>1891</v>
      </c>
      <c r="D2540" s="33" t="s">
        <v>57</v>
      </c>
      <c r="E2540" s="33" t="s">
        <v>6609</v>
      </c>
      <c r="G2540" s="33" t="s">
        <v>41</v>
      </c>
      <c r="H2540" s="33" t="s">
        <v>3616</v>
      </c>
      <c r="I2540" s="33" t="s">
        <v>3616</v>
      </c>
      <c r="J2540" s="33" t="s">
        <v>9197</v>
      </c>
      <c r="K2540" s="33" t="s">
        <v>6611</v>
      </c>
      <c r="L2540" s="33" t="s">
        <v>3616</v>
      </c>
      <c r="M2540" s="33" t="str">
        <f>_xlfn.XLOOKUP(Tabela14[[#This Row],[Responsável]],Organograma!H:H,Organograma!G:G,"")</f>
        <v>AMB - Unidade Ambulatorial</v>
      </c>
      <c r="N2540" s="33" t="s">
        <v>42</v>
      </c>
      <c r="Q2540" s="33" t="s">
        <v>8143</v>
      </c>
    </row>
    <row r="2541" spans="1:17" hidden="1">
      <c r="A2541" s="33" t="s">
        <v>9198</v>
      </c>
      <c r="B2541" s="33" t="s">
        <v>9199</v>
      </c>
      <c r="C2541" s="33" t="s">
        <v>1891</v>
      </c>
      <c r="D2541" s="33" t="s">
        <v>57</v>
      </c>
      <c r="E2541" s="33" t="s">
        <v>6609</v>
      </c>
      <c r="G2541" s="33" t="s">
        <v>41</v>
      </c>
      <c r="H2541" s="33" t="s">
        <v>3616</v>
      </c>
      <c r="I2541" s="33" t="s">
        <v>3616</v>
      </c>
      <c r="J2541" s="33" t="s">
        <v>9200</v>
      </c>
      <c r="K2541" s="33" t="s">
        <v>6611</v>
      </c>
      <c r="L2541" s="33" t="s">
        <v>3616</v>
      </c>
      <c r="M2541" s="33" t="str">
        <f>_xlfn.XLOOKUP(Tabela14[[#This Row],[Responsável]],Organograma!H:H,Organograma!G:G,"")</f>
        <v>AMB - Unidade Ambulatorial</v>
      </c>
      <c r="N2541" s="33" t="s">
        <v>42</v>
      </c>
      <c r="Q2541" s="33" t="s">
        <v>8143</v>
      </c>
    </row>
    <row r="2542" spans="1:17">
      <c r="A2542" s="33" t="s">
        <v>9201</v>
      </c>
      <c r="B2542" s="33" t="s">
        <v>9202</v>
      </c>
      <c r="C2542" s="33" t="s">
        <v>1891</v>
      </c>
      <c r="D2542" s="33" t="s">
        <v>41</v>
      </c>
      <c r="E2542" s="33" t="s">
        <v>3976</v>
      </c>
      <c r="G2542" s="33" t="s">
        <v>41</v>
      </c>
      <c r="H2542" s="33" t="s">
        <v>3616</v>
      </c>
      <c r="I2542" s="33" t="s">
        <v>3616</v>
      </c>
      <c r="J2542" s="33" t="s">
        <v>9203</v>
      </c>
      <c r="K2542" s="33" t="s">
        <v>6898</v>
      </c>
      <c r="L2542" s="33" t="s">
        <v>5544</v>
      </c>
      <c r="M2542" s="33" t="s">
        <v>92</v>
      </c>
      <c r="N2542" s="33" t="s">
        <v>42</v>
      </c>
      <c r="Q2542" s="33" t="s">
        <v>8143</v>
      </c>
    </row>
    <row r="2543" spans="1:17">
      <c r="A2543" s="33" t="s">
        <v>9204</v>
      </c>
      <c r="B2543" s="33" t="s">
        <v>9205</v>
      </c>
      <c r="C2543" s="33" t="s">
        <v>1891</v>
      </c>
      <c r="D2543" s="33" t="s">
        <v>41</v>
      </c>
      <c r="E2543" s="33" t="s">
        <v>935</v>
      </c>
      <c r="G2543" s="33" t="s">
        <v>41</v>
      </c>
      <c r="H2543" s="33" t="s">
        <v>3616</v>
      </c>
      <c r="I2543" s="33" t="s">
        <v>3616</v>
      </c>
      <c r="J2543" s="33" t="s">
        <v>9206</v>
      </c>
      <c r="K2543" s="33" t="s">
        <v>6898</v>
      </c>
      <c r="L2543" s="33" t="s">
        <v>3696</v>
      </c>
      <c r="M2543" s="33" t="s">
        <v>92</v>
      </c>
      <c r="N2543" s="33" t="s">
        <v>42</v>
      </c>
      <c r="Q2543" s="33" t="s">
        <v>8143</v>
      </c>
    </row>
    <row r="2544" spans="1:17">
      <c r="A2544" s="33" t="s">
        <v>9207</v>
      </c>
      <c r="B2544" s="33" t="s">
        <v>9208</v>
      </c>
      <c r="C2544" s="33" t="s">
        <v>1891</v>
      </c>
      <c r="D2544" s="33" t="s">
        <v>41</v>
      </c>
      <c r="E2544" s="33" t="s">
        <v>935</v>
      </c>
      <c r="G2544" s="33" t="s">
        <v>41</v>
      </c>
      <c r="H2544" s="33" t="s">
        <v>3616</v>
      </c>
      <c r="I2544" s="33" t="s">
        <v>3616</v>
      </c>
      <c r="J2544" s="33" t="s">
        <v>9209</v>
      </c>
      <c r="K2544" s="33" t="s">
        <v>6898</v>
      </c>
      <c r="L2544" s="33" t="s">
        <v>3633</v>
      </c>
      <c r="M2544" s="33" t="s">
        <v>92</v>
      </c>
      <c r="N2544" s="33" t="s">
        <v>42</v>
      </c>
      <c r="Q2544" s="33" t="s">
        <v>8143</v>
      </c>
    </row>
    <row r="2545" spans="1:17" hidden="1">
      <c r="A2545" s="33" t="s">
        <v>3845</v>
      </c>
      <c r="B2545" s="33" t="s">
        <v>9210</v>
      </c>
      <c r="C2545" s="33" t="s">
        <v>1785</v>
      </c>
      <c r="D2545" s="33" t="s">
        <v>41</v>
      </c>
      <c r="E2545" s="33" t="s">
        <v>1808</v>
      </c>
      <c r="G2545" s="33" t="s">
        <v>1799</v>
      </c>
      <c r="H2545" s="33" t="s">
        <v>3847</v>
      </c>
      <c r="I2545" s="33" t="s">
        <v>3847</v>
      </c>
      <c r="J2545" s="33" t="s">
        <v>3848</v>
      </c>
      <c r="K2545" s="33" t="s">
        <v>1791</v>
      </c>
      <c r="L2545" s="33" t="s">
        <v>3847</v>
      </c>
      <c r="M2545" s="33" t="str">
        <f>_xlfn.XLOOKUP(Tabela14[[#This Row],[Responsável]],Organograma!H:H,Organograma!G:G,"")</f>
        <v>APGQ - Assessoria de Planejamento e Gestão da Qualidade</v>
      </c>
      <c r="Q2545" s="33" t="s">
        <v>8143</v>
      </c>
    </row>
    <row r="2546" spans="1:17" hidden="1">
      <c r="A2546" s="33" t="s">
        <v>3849</v>
      </c>
      <c r="B2546" s="33" t="s">
        <v>9211</v>
      </c>
      <c r="C2546" s="33" t="s">
        <v>1785</v>
      </c>
      <c r="D2546" s="33" t="s">
        <v>41</v>
      </c>
      <c r="E2546" s="33" t="s">
        <v>1808</v>
      </c>
      <c r="G2546" s="33" t="s">
        <v>1799</v>
      </c>
      <c r="H2546" s="33" t="s">
        <v>3847</v>
      </c>
      <c r="I2546" s="33" t="s">
        <v>3847</v>
      </c>
      <c r="J2546" s="33" t="s">
        <v>3851</v>
      </c>
      <c r="K2546" s="33" t="s">
        <v>1791</v>
      </c>
      <c r="L2546" s="33" t="s">
        <v>3847</v>
      </c>
      <c r="M2546" s="33" t="str">
        <f>_xlfn.XLOOKUP(Tabela14[[#This Row],[Responsável]],Organograma!H:H,Organograma!G:G,"")</f>
        <v>APGQ - Assessoria de Planejamento e Gestão da Qualidade</v>
      </c>
      <c r="Q2546" s="33" t="s">
        <v>8143</v>
      </c>
    </row>
    <row r="2547" spans="1:17" hidden="1">
      <c r="A2547" s="33" t="s">
        <v>3877</v>
      </c>
      <c r="B2547" s="33" t="s">
        <v>9212</v>
      </c>
      <c r="C2547" s="33" t="s">
        <v>2443</v>
      </c>
      <c r="D2547" s="33" t="s">
        <v>41</v>
      </c>
      <c r="E2547" s="33" t="s">
        <v>1808</v>
      </c>
      <c r="G2547" s="33" t="s">
        <v>3879</v>
      </c>
      <c r="H2547" s="33" t="s">
        <v>3651</v>
      </c>
      <c r="I2547" s="33" t="s">
        <v>3651</v>
      </c>
      <c r="J2547" s="33" t="s">
        <v>3880</v>
      </c>
      <c r="K2547" s="33" t="s">
        <v>1791</v>
      </c>
      <c r="L2547" s="33" t="s">
        <v>3651</v>
      </c>
      <c r="M2547" s="33" t="str">
        <f>_xlfn.XLOOKUP(Tabela14[[#This Row],[Responsável]],Organograma!H:H,Organograma!G:G,"")</f>
        <v>APGQ - Assessoria de Planejamento e Gestão da Qualidade</v>
      </c>
      <c r="Q2547" s="33" t="s">
        <v>8143</v>
      </c>
    </row>
    <row r="2548" spans="1:17" hidden="1">
      <c r="A2548" s="33" t="s">
        <v>3881</v>
      </c>
      <c r="B2548" s="33" t="s">
        <v>9213</v>
      </c>
      <c r="C2548" s="33" t="s">
        <v>3205</v>
      </c>
      <c r="D2548" s="33" t="s">
        <v>41</v>
      </c>
      <c r="E2548" s="33" t="s">
        <v>1808</v>
      </c>
      <c r="G2548" s="33" t="s">
        <v>3883</v>
      </c>
      <c r="H2548" s="33" t="s">
        <v>3672</v>
      </c>
      <c r="I2548" s="33" t="s">
        <v>3672</v>
      </c>
      <c r="J2548" s="33" t="s">
        <v>3884</v>
      </c>
      <c r="K2548" s="33" t="s">
        <v>1791</v>
      </c>
      <c r="L2548" s="33" t="s">
        <v>3672</v>
      </c>
      <c r="M2548" s="33" t="str">
        <f>_xlfn.XLOOKUP(Tabela14[[#This Row],[Responsável]],Organograma!H:H,Organograma!G:G,"")</f>
        <v>APGQ - Assessoria de Planejamento e Gestão da Qualidade</v>
      </c>
      <c r="Q2548" s="33" t="s">
        <v>8143</v>
      </c>
    </row>
    <row r="2549" spans="1:17" hidden="1">
      <c r="A2549" s="33" t="s">
        <v>3885</v>
      </c>
      <c r="B2549" s="33" t="s">
        <v>9214</v>
      </c>
      <c r="C2549" s="33" t="s">
        <v>3205</v>
      </c>
      <c r="D2549" s="33" t="s">
        <v>41</v>
      </c>
      <c r="E2549" s="33" t="s">
        <v>1808</v>
      </c>
      <c r="G2549" s="33" t="s">
        <v>3883</v>
      </c>
      <c r="H2549" s="33" t="s">
        <v>3672</v>
      </c>
      <c r="I2549" s="33" t="s">
        <v>3672</v>
      </c>
      <c r="J2549" s="33" t="s">
        <v>5672</v>
      </c>
      <c r="K2549" s="33" t="s">
        <v>1791</v>
      </c>
      <c r="L2549" s="33" t="s">
        <v>3672</v>
      </c>
      <c r="M2549" s="33" t="str">
        <f>_xlfn.XLOOKUP(Tabela14[[#This Row],[Responsável]],Organograma!H:H,Organograma!G:G,"")</f>
        <v>APGQ - Assessoria de Planejamento e Gestão da Qualidade</v>
      </c>
      <c r="Q2549" s="33" t="s">
        <v>8143</v>
      </c>
    </row>
    <row r="2550" spans="1:17" hidden="1">
      <c r="A2550" s="33" t="s">
        <v>3885</v>
      </c>
      <c r="B2550" s="33" t="s">
        <v>9215</v>
      </c>
      <c r="C2550" s="33" t="s">
        <v>3205</v>
      </c>
      <c r="D2550" s="33" t="s">
        <v>41</v>
      </c>
      <c r="E2550" s="33" t="s">
        <v>1808</v>
      </c>
      <c r="G2550" s="33" t="s">
        <v>3883</v>
      </c>
      <c r="H2550" s="33" t="s">
        <v>3672</v>
      </c>
      <c r="I2550" s="33" t="s">
        <v>3672</v>
      </c>
      <c r="J2550" s="33" t="s">
        <v>9216</v>
      </c>
      <c r="K2550" s="33" t="s">
        <v>1791</v>
      </c>
      <c r="L2550" s="33" t="s">
        <v>3672</v>
      </c>
      <c r="M2550" s="33" t="str">
        <f>_xlfn.XLOOKUP(Tabela14[[#This Row],[Responsável]],Organograma!H:H,Organograma!G:G,"")</f>
        <v>APGQ - Assessoria de Planejamento e Gestão da Qualidade</v>
      </c>
      <c r="Q2550" s="33" t="s">
        <v>8143</v>
      </c>
    </row>
    <row r="2551" spans="1:17" hidden="1">
      <c r="A2551" s="33" t="s">
        <v>9217</v>
      </c>
      <c r="B2551" s="33" t="s">
        <v>9218</v>
      </c>
      <c r="C2551" s="33" t="s">
        <v>1891</v>
      </c>
      <c r="D2551" s="33" t="s">
        <v>67</v>
      </c>
      <c r="E2551" s="33" t="s">
        <v>6600</v>
      </c>
      <c r="G2551" s="33" t="s">
        <v>41</v>
      </c>
      <c r="H2551" s="33" t="s">
        <v>2647</v>
      </c>
      <c r="I2551" s="33" t="s">
        <v>2647</v>
      </c>
      <c r="J2551" s="33" t="s">
        <v>9219</v>
      </c>
      <c r="K2551" s="33" t="s">
        <v>6602</v>
      </c>
      <c r="L2551" s="33" t="s">
        <v>3902</v>
      </c>
      <c r="M2551" s="33" t="str">
        <f>_xlfn.XLOOKUP(Tabela14[[#This Row],[Responsável]],Organograma!H:H,Organograma!G:G,"")</f>
        <v>CC - Centro Cirúrgico</v>
      </c>
      <c r="N2551" s="33" t="s">
        <v>42</v>
      </c>
      <c r="Q2551" s="33" t="s">
        <v>8143</v>
      </c>
    </row>
    <row r="2552" spans="1:17">
      <c r="A2552" s="33" t="s">
        <v>9220</v>
      </c>
      <c r="B2552" s="33" t="s">
        <v>9221</v>
      </c>
      <c r="C2552" s="33" t="s">
        <v>1891</v>
      </c>
      <c r="D2552" s="33" t="s">
        <v>41</v>
      </c>
      <c r="E2552" s="33" t="s">
        <v>3976</v>
      </c>
      <c r="G2552" s="33" t="s">
        <v>41</v>
      </c>
      <c r="H2552" s="33" t="s">
        <v>2647</v>
      </c>
      <c r="I2552" s="33" t="s">
        <v>2647</v>
      </c>
      <c r="J2552" s="33" t="s">
        <v>9222</v>
      </c>
      <c r="K2552" s="33" t="s">
        <v>6898</v>
      </c>
      <c r="L2552" s="33" t="s">
        <v>3696</v>
      </c>
      <c r="M2552" s="33" t="s">
        <v>92</v>
      </c>
      <c r="N2552" s="33" t="s">
        <v>42</v>
      </c>
      <c r="Q2552" s="33" t="s">
        <v>8143</v>
      </c>
    </row>
    <row r="2553" spans="1:17">
      <c r="A2553" s="33" t="s">
        <v>9223</v>
      </c>
      <c r="B2553" s="33" t="s">
        <v>9224</v>
      </c>
      <c r="C2553" s="33" t="s">
        <v>1891</v>
      </c>
      <c r="D2553" s="33" t="s">
        <v>41</v>
      </c>
      <c r="E2553" s="33" t="s">
        <v>3976</v>
      </c>
      <c r="G2553" s="33" t="s">
        <v>41</v>
      </c>
      <c r="H2553" s="33" t="s">
        <v>2647</v>
      </c>
      <c r="I2553" s="33" t="s">
        <v>2647</v>
      </c>
      <c r="J2553" s="33" t="s">
        <v>9225</v>
      </c>
      <c r="K2553" s="33" t="s">
        <v>6898</v>
      </c>
      <c r="L2553" s="33" t="s">
        <v>2647</v>
      </c>
      <c r="M2553" s="33" t="s">
        <v>92</v>
      </c>
      <c r="N2553" s="33" t="s">
        <v>42</v>
      </c>
      <c r="Q2553" s="33" t="s">
        <v>8143</v>
      </c>
    </row>
    <row r="2554" spans="1:17">
      <c r="A2554" s="33" t="s">
        <v>8961</v>
      </c>
      <c r="B2554" s="33" t="s">
        <v>8962</v>
      </c>
      <c r="C2554" s="33" t="s">
        <v>1891</v>
      </c>
      <c r="D2554" s="33" t="s">
        <v>6665</v>
      </c>
      <c r="E2554" s="33" t="s">
        <v>7018</v>
      </c>
      <c r="G2554" s="33" t="s">
        <v>41</v>
      </c>
      <c r="H2554" s="33" t="s">
        <v>2685</v>
      </c>
      <c r="I2554" s="33" t="s">
        <v>2685</v>
      </c>
      <c r="J2554" s="33" t="s">
        <v>8963</v>
      </c>
      <c r="K2554" s="33" t="s">
        <v>6737</v>
      </c>
      <c r="L2554" s="33" t="s">
        <v>3847</v>
      </c>
      <c r="M2554" s="33" t="s">
        <v>58</v>
      </c>
      <c r="N2554" s="33" t="s">
        <v>42</v>
      </c>
      <c r="Q2554" s="33" t="s">
        <v>8143</v>
      </c>
    </row>
    <row r="2555" spans="1:17" hidden="1">
      <c r="A2555" s="33" t="s">
        <v>9229</v>
      </c>
      <c r="B2555" s="33" t="s">
        <v>9230</v>
      </c>
      <c r="C2555" s="33" t="s">
        <v>1891</v>
      </c>
      <c r="D2555" s="33" t="s">
        <v>67</v>
      </c>
      <c r="E2555" s="33" t="s">
        <v>6600</v>
      </c>
      <c r="G2555" s="33" t="s">
        <v>41</v>
      </c>
      <c r="H2555" s="33" t="s">
        <v>3564</v>
      </c>
      <c r="I2555" s="33" t="s">
        <v>3564</v>
      </c>
      <c r="J2555" s="33" t="s">
        <v>9231</v>
      </c>
      <c r="K2555" s="33" t="s">
        <v>6602</v>
      </c>
      <c r="L2555" s="33" t="s">
        <v>1152</v>
      </c>
      <c r="M2555" s="33" t="str">
        <f>_xlfn.XLOOKUP(Tabela14[[#This Row],[Responsável]],Organograma!H:H,Organograma!G:G,"")</f>
        <v>CC - Centro Cirúrgico</v>
      </c>
      <c r="N2555" s="33" t="s">
        <v>42</v>
      </c>
      <c r="Q2555" s="33" t="s">
        <v>8143</v>
      </c>
    </row>
    <row r="2556" spans="1:17">
      <c r="A2556" s="33" t="s">
        <v>9192</v>
      </c>
      <c r="B2556" s="33" t="s">
        <v>9193</v>
      </c>
      <c r="C2556" s="33" t="s">
        <v>1891</v>
      </c>
      <c r="D2556" s="33" t="s">
        <v>6665</v>
      </c>
      <c r="E2556" s="33" t="s">
        <v>7018</v>
      </c>
      <c r="G2556" s="33" t="s">
        <v>41</v>
      </c>
      <c r="H2556" s="33" t="s">
        <v>3616</v>
      </c>
      <c r="I2556" s="33" t="s">
        <v>3616</v>
      </c>
      <c r="J2556" s="33" t="s">
        <v>9194</v>
      </c>
      <c r="K2556" s="33" t="s">
        <v>6737</v>
      </c>
      <c r="L2556" s="33" t="s">
        <v>3633</v>
      </c>
      <c r="M2556" s="33" t="s">
        <v>58</v>
      </c>
      <c r="N2556" s="33" t="s">
        <v>42</v>
      </c>
      <c r="Q2556" s="33" t="s">
        <v>8143</v>
      </c>
    </row>
    <row r="2557" spans="1:17">
      <c r="A2557" s="33" t="s">
        <v>7210</v>
      </c>
      <c r="B2557" s="33" t="s">
        <v>7211</v>
      </c>
      <c r="C2557" s="33" t="s">
        <v>1891</v>
      </c>
      <c r="D2557" s="33" t="s">
        <v>7212</v>
      </c>
      <c r="E2557" s="33" t="s">
        <v>6689</v>
      </c>
      <c r="G2557" s="33" t="s">
        <v>41</v>
      </c>
      <c r="H2557" s="33" t="s">
        <v>2016</v>
      </c>
      <c r="I2557" s="33" t="s">
        <v>2016</v>
      </c>
      <c r="J2557" s="33" t="s">
        <v>7213</v>
      </c>
      <c r="K2557" s="33" t="s">
        <v>3859</v>
      </c>
      <c r="L2557" s="33" t="s">
        <v>2428</v>
      </c>
      <c r="M2557" s="33" t="s">
        <v>91</v>
      </c>
      <c r="N2557" s="33" t="s">
        <v>42</v>
      </c>
      <c r="Q2557" s="33" t="s">
        <v>7095</v>
      </c>
    </row>
    <row r="2558" spans="1:17" hidden="1">
      <c r="A2558" s="33" t="s">
        <v>9238</v>
      </c>
      <c r="B2558" s="33" t="s">
        <v>9239</v>
      </c>
      <c r="C2558" s="33" t="s">
        <v>2443</v>
      </c>
      <c r="D2558" s="33" t="s">
        <v>41</v>
      </c>
      <c r="E2558" s="33" t="s">
        <v>3857</v>
      </c>
      <c r="G2558" s="33" t="s">
        <v>3879</v>
      </c>
      <c r="H2558" s="33" t="s">
        <v>3820</v>
      </c>
      <c r="I2558" s="33" t="s">
        <v>3820</v>
      </c>
      <c r="J2558" s="33" t="s">
        <v>9240</v>
      </c>
      <c r="K2558" s="33" t="s">
        <v>3859</v>
      </c>
      <c r="L2558" s="33" t="s">
        <v>3820</v>
      </c>
      <c r="M2558" s="33" t="str">
        <f>_xlfn.XLOOKUP(Tabela14[[#This Row],[Responsável]],Organograma!H:H,Organograma!G:G,"")</f>
        <v>APGQ - Assessoria de Planejamento e Gestão da Qualidade</v>
      </c>
      <c r="Q2558" s="33" t="s">
        <v>8143</v>
      </c>
    </row>
    <row r="2559" spans="1:17" hidden="1">
      <c r="A2559" s="33" t="s">
        <v>9241</v>
      </c>
      <c r="B2559" s="33" t="s">
        <v>9242</v>
      </c>
      <c r="C2559" s="33" t="s">
        <v>1891</v>
      </c>
      <c r="D2559" s="33" t="s">
        <v>57</v>
      </c>
      <c r="E2559" s="33" t="s">
        <v>6609</v>
      </c>
      <c r="G2559" s="33" t="s">
        <v>41</v>
      </c>
      <c r="H2559" s="33" t="s">
        <v>3820</v>
      </c>
      <c r="I2559" s="33" t="s">
        <v>3820</v>
      </c>
      <c r="J2559" s="33" t="s">
        <v>9243</v>
      </c>
      <c r="K2559" s="33" t="s">
        <v>6611</v>
      </c>
      <c r="L2559" s="33" t="s">
        <v>3820</v>
      </c>
      <c r="M2559" s="33" t="str">
        <f>_xlfn.XLOOKUP(Tabela14[[#This Row],[Responsável]],Organograma!H:H,Organograma!G:G,"")</f>
        <v>AMB - Unidade Ambulatorial</v>
      </c>
      <c r="N2559" s="33" t="s">
        <v>42</v>
      </c>
      <c r="Q2559" s="33" t="s">
        <v>8143</v>
      </c>
    </row>
    <row r="2560" spans="1:17" hidden="1">
      <c r="A2560" s="33" t="s">
        <v>9244</v>
      </c>
      <c r="B2560" s="33" t="s">
        <v>9245</v>
      </c>
      <c r="C2560" s="33" t="s">
        <v>1891</v>
      </c>
      <c r="D2560" s="33" t="s">
        <v>68</v>
      </c>
      <c r="E2560" s="33" t="s">
        <v>6609</v>
      </c>
      <c r="G2560" s="33" t="s">
        <v>41</v>
      </c>
      <c r="H2560" s="33" t="s">
        <v>3696</v>
      </c>
      <c r="I2560" s="33" t="s">
        <v>3696</v>
      </c>
      <c r="J2560" s="33" t="s">
        <v>9246</v>
      </c>
      <c r="K2560" s="33" t="s">
        <v>6611</v>
      </c>
      <c r="L2560" s="33" t="s">
        <v>3696</v>
      </c>
      <c r="M2560" s="33" t="str">
        <f>_xlfn.XLOOKUP(Tabela14[[#This Row],[Responsável]],Organograma!H:H,Organograma!G:G,"")</f>
        <v>UICC - Unidade de Internação Cirúrgica</v>
      </c>
      <c r="N2560" s="33" t="s">
        <v>42</v>
      </c>
      <c r="Q2560" s="33" t="s">
        <v>8143</v>
      </c>
    </row>
    <row r="2561" spans="1:17" hidden="1">
      <c r="A2561" s="33" t="s">
        <v>9247</v>
      </c>
      <c r="B2561" s="33" t="s">
        <v>9248</v>
      </c>
      <c r="C2561" s="33" t="s">
        <v>1891</v>
      </c>
      <c r="D2561" s="33" t="s">
        <v>74</v>
      </c>
      <c r="E2561" s="33" t="s">
        <v>6609</v>
      </c>
      <c r="G2561" s="33" t="s">
        <v>41</v>
      </c>
      <c r="H2561" s="33" t="s">
        <v>3696</v>
      </c>
      <c r="I2561" s="33" t="s">
        <v>3696</v>
      </c>
      <c r="J2561" s="33" t="s">
        <v>9249</v>
      </c>
      <c r="K2561" s="33" t="s">
        <v>6611</v>
      </c>
      <c r="L2561" s="33" t="s">
        <v>3696</v>
      </c>
      <c r="M2561" s="33" t="str">
        <f>_xlfn.XLOOKUP(Tabela14[[#This Row],[Responsável]],Organograma!H:H,Organograma!G:G,"")</f>
        <v>CA - Controle de Acesso</v>
      </c>
      <c r="N2561" s="33" t="s">
        <v>42</v>
      </c>
      <c r="Q2561" s="33" t="s">
        <v>8143</v>
      </c>
    </row>
    <row r="2562" spans="1:17" hidden="1">
      <c r="A2562" s="33" t="s">
        <v>9250</v>
      </c>
      <c r="B2562" s="33" t="s">
        <v>9251</v>
      </c>
      <c r="C2562" s="33" t="s">
        <v>1891</v>
      </c>
      <c r="D2562" s="33" t="s">
        <v>89</v>
      </c>
      <c r="E2562" s="33" t="s">
        <v>6609</v>
      </c>
      <c r="G2562" s="33" t="s">
        <v>41</v>
      </c>
      <c r="H2562" s="33" t="s">
        <v>3696</v>
      </c>
      <c r="I2562" s="33" t="s">
        <v>3696</v>
      </c>
      <c r="J2562" s="33" t="s">
        <v>9252</v>
      </c>
      <c r="K2562" s="33" t="s">
        <v>6611</v>
      </c>
      <c r="L2562" s="33" t="s">
        <v>3696</v>
      </c>
      <c r="M2562" s="33" t="str">
        <f>_xlfn.XLOOKUP(Tabela14[[#This Row],[Responsável]],Organograma!H:H,Organograma!G:G,"")</f>
        <v>P.S - Pronto Socorro</v>
      </c>
      <c r="N2562" s="33" t="s">
        <v>42</v>
      </c>
      <c r="Q2562" s="33" t="s">
        <v>8143</v>
      </c>
    </row>
    <row r="2563" spans="1:17" hidden="1">
      <c r="A2563" s="33" t="s">
        <v>9253</v>
      </c>
      <c r="B2563" s="33" t="s">
        <v>9254</v>
      </c>
      <c r="C2563" s="33" t="s">
        <v>1891</v>
      </c>
      <c r="D2563" s="33" t="s">
        <v>65</v>
      </c>
      <c r="E2563" s="33" t="s">
        <v>6609</v>
      </c>
      <c r="G2563" s="33" t="s">
        <v>41</v>
      </c>
      <c r="H2563" s="33" t="s">
        <v>3696</v>
      </c>
      <c r="I2563" s="33" t="s">
        <v>3696</v>
      </c>
      <c r="J2563" s="33" t="s">
        <v>9255</v>
      </c>
      <c r="K2563" s="33" t="s">
        <v>6611</v>
      </c>
      <c r="L2563" s="33" t="s">
        <v>3696</v>
      </c>
      <c r="M2563" s="33" t="str">
        <f>_xlfn.XLOOKUP(Tabela14[[#This Row],[Responsável]],Organograma!H:H,Organograma!G:G,"")</f>
        <v>CGO - Unidade de Internação Ginecobstétrica</v>
      </c>
      <c r="N2563" s="33" t="s">
        <v>42</v>
      </c>
      <c r="Q2563" s="33" t="s">
        <v>8143</v>
      </c>
    </row>
    <row r="2564" spans="1:17" hidden="1">
      <c r="A2564" s="33" t="s">
        <v>9256</v>
      </c>
      <c r="B2564" s="33" t="s">
        <v>9257</v>
      </c>
      <c r="C2564" s="33" t="s">
        <v>1891</v>
      </c>
      <c r="D2564" s="33" t="s">
        <v>53</v>
      </c>
      <c r="E2564" s="33" t="s">
        <v>6609</v>
      </c>
      <c r="G2564" s="33" t="s">
        <v>41</v>
      </c>
      <c r="H2564" s="33" t="s">
        <v>3696</v>
      </c>
      <c r="I2564" s="33" t="s">
        <v>3696</v>
      </c>
      <c r="J2564" s="33" t="s">
        <v>9258</v>
      </c>
      <c r="K2564" s="33" t="s">
        <v>6611</v>
      </c>
      <c r="L2564" s="33" t="s">
        <v>3696</v>
      </c>
      <c r="M2564" s="33" t="str">
        <f>_xlfn.XLOOKUP(Tabela14[[#This Row],[Responsável]],Organograma!H:H,Organograma!G:G,"")</f>
        <v>GRSS - Gerenciamento de Resíduos de Serviço de Saúde</v>
      </c>
      <c r="N2564" s="33" t="s">
        <v>42</v>
      </c>
      <c r="Q2564" s="33" t="s">
        <v>8143</v>
      </c>
    </row>
    <row r="2565" spans="1:17" hidden="1">
      <c r="A2565" s="33" t="s">
        <v>9259</v>
      </c>
      <c r="B2565" s="33" t="s">
        <v>9260</v>
      </c>
      <c r="C2565" s="33" t="s">
        <v>1891</v>
      </c>
      <c r="D2565" s="33" t="s">
        <v>57</v>
      </c>
      <c r="E2565" s="33" t="s">
        <v>6609</v>
      </c>
      <c r="G2565" s="33" t="s">
        <v>41</v>
      </c>
      <c r="H2565" s="33" t="s">
        <v>3696</v>
      </c>
      <c r="I2565" s="33" t="s">
        <v>3696</v>
      </c>
      <c r="J2565" s="33" t="s">
        <v>9261</v>
      </c>
      <c r="K2565" s="33" t="s">
        <v>6611</v>
      </c>
      <c r="L2565" s="33" t="s">
        <v>3696</v>
      </c>
      <c r="M2565" s="33" t="str">
        <f>_xlfn.XLOOKUP(Tabela14[[#This Row],[Responsável]],Organograma!H:H,Organograma!G:G,"")</f>
        <v>AMB - Unidade Ambulatorial</v>
      </c>
      <c r="N2565" s="33" t="s">
        <v>42</v>
      </c>
      <c r="Q2565" s="33" t="s">
        <v>8143</v>
      </c>
    </row>
    <row r="2566" spans="1:17" hidden="1">
      <c r="A2566" s="33" t="s">
        <v>9262</v>
      </c>
      <c r="B2566" s="33" t="s">
        <v>9263</v>
      </c>
      <c r="C2566" s="33" t="s">
        <v>1891</v>
      </c>
      <c r="D2566" s="33" t="s">
        <v>53</v>
      </c>
      <c r="E2566" s="33" t="s">
        <v>6609</v>
      </c>
      <c r="G2566" s="33" t="s">
        <v>41</v>
      </c>
      <c r="H2566" s="33" t="s">
        <v>3696</v>
      </c>
      <c r="I2566" s="33" t="s">
        <v>3696</v>
      </c>
      <c r="J2566" s="33" t="s">
        <v>9264</v>
      </c>
      <c r="K2566" s="33" t="s">
        <v>6611</v>
      </c>
      <c r="L2566" s="33" t="s">
        <v>3696</v>
      </c>
      <c r="M2566" s="33" t="str">
        <f>_xlfn.XLOOKUP(Tabela14[[#This Row],[Responsável]],Organograma!H:H,Organograma!G:G,"")</f>
        <v>GRSS - Gerenciamento de Resíduos de Serviço de Saúde</v>
      </c>
      <c r="N2566" s="33" t="s">
        <v>42</v>
      </c>
      <c r="Q2566" s="33" t="s">
        <v>8143</v>
      </c>
    </row>
    <row r="2567" spans="1:17">
      <c r="A2567" s="33" t="s">
        <v>7091</v>
      </c>
      <c r="B2567" s="33" t="s">
        <v>7092</v>
      </c>
      <c r="C2567" s="33" t="s">
        <v>1891</v>
      </c>
      <c r="D2567" s="33" t="s">
        <v>4954</v>
      </c>
      <c r="E2567" s="33" t="s">
        <v>7093</v>
      </c>
      <c r="G2567" s="33" t="s">
        <v>41</v>
      </c>
      <c r="H2567" s="33" t="s">
        <v>1955</v>
      </c>
      <c r="I2567" s="33" t="s">
        <v>1955</v>
      </c>
      <c r="J2567" s="33" t="s">
        <v>7094</v>
      </c>
      <c r="K2567" s="33" t="s">
        <v>6611</v>
      </c>
      <c r="L2567" s="33" t="s">
        <v>3475</v>
      </c>
      <c r="M2567" s="33" t="s">
        <v>59</v>
      </c>
      <c r="N2567" s="33" t="s">
        <v>42</v>
      </c>
      <c r="Q2567" s="33" t="s">
        <v>7095</v>
      </c>
    </row>
    <row r="2568" spans="1:17">
      <c r="A2568" s="33" t="s">
        <v>7387</v>
      </c>
      <c r="B2568" s="33" t="s">
        <v>7388</v>
      </c>
      <c r="C2568" s="33" t="s">
        <v>1891</v>
      </c>
      <c r="D2568" s="33" t="s">
        <v>4068</v>
      </c>
      <c r="E2568" s="33" t="s">
        <v>6658</v>
      </c>
      <c r="G2568" s="33" t="s">
        <v>41</v>
      </c>
      <c r="H2568" s="33" t="s">
        <v>2633</v>
      </c>
      <c r="I2568" s="33" t="s">
        <v>2633</v>
      </c>
      <c r="J2568" s="33" t="s">
        <v>7389</v>
      </c>
      <c r="K2568" s="33" t="s">
        <v>1791</v>
      </c>
      <c r="L2568" s="33" t="s">
        <v>3228</v>
      </c>
      <c r="M2568" s="33" t="s">
        <v>91</v>
      </c>
      <c r="N2568" s="33" t="s">
        <v>42</v>
      </c>
      <c r="Q2568" s="33" t="s">
        <v>7095</v>
      </c>
    </row>
    <row r="2569" spans="1:17" hidden="1">
      <c r="A2569" s="33" t="s">
        <v>9271</v>
      </c>
      <c r="B2569" s="33" t="s">
        <v>9272</v>
      </c>
      <c r="C2569" s="33" t="s">
        <v>1891</v>
      </c>
      <c r="D2569" s="33" t="s">
        <v>68</v>
      </c>
      <c r="E2569" s="33" t="s">
        <v>6609</v>
      </c>
      <c r="G2569" s="33" t="s">
        <v>41</v>
      </c>
      <c r="H2569" s="33" t="s">
        <v>3696</v>
      </c>
      <c r="I2569" s="33" t="s">
        <v>3696</v>
      </c>
      <c r="J2569" s="33" t="s">
        <v>9273</v>
      </c>
      <c r="K2569" s="33" t="s">
        <v>6611</v>
      </c>
      <c r="L2569" s="33" t="s">
        <v>3696</v>
      </c>
      <c r="M2569" s="33" t="str">
        <f>_xlfn.XLOOKUP(Tabela14[[#This Row],[Responsável]],Organograma!H:H,Organograma!G:G,"")</f>
        <v>UICC - Unidade de Internação Cirúrgica</v>
      </c>
      <c r="N2569" s="33" t="s">
        <v>42</v>
      </c>
      <c r="Q2569" s="33" t="s">
        <v>8143</v>
      </c>
    </row>
    <row r="2570" spans="1:17" hidden="1">
      <c r="A2570" s="33" t="s">
        <v>9274</v>
      </c>
      <c r="B2570" s="33" t="s">
        <v>9275</v>
      </c>
      <c r="C2570" s="33" t="s">
        <v>1891</v>
      </c>
      <c r="D2570" s="33" t="s">
        <v>68</v>
      </c>
      <c r="E2570" s="33" t="s">
        <v>6609</v>
      </c>
      <c r="G2570" s="33" t="s">
        <v>41</v>
      </c>
      <c r="H2570" s="33" t="s">
        <v>3696</v>
      </c>
      <c r="I2570" s="33" t="s">
        <v>3696</v>
      </c>
      <c r="J2570" s="33" t="s">
        <v>9276</v>
      </c>
      <c r="K2570" s="33" t="s">
        <v>6611</v>
      </c>
      <c r="L2570" s="33" t="s">
        <v>3696</v>
      </c>
      <c r="M2570" s="33" t="str">
        <f>_xlfn.XLOOKUP(Tabela14[[#This Row],[Responsável]],Organograma!H:H,Organograma!G:G,"")</f>
        <v>UICC - Unidade de Internação Cirúrgica</v>
      </c>
      <c r="N2570" s="33" t="s">
        <v>42</v>
      </c>
      <c r="Q2570" s="33" t="s">
        <v>8143</v>
      </c>
    </row>
    <row r="2571" spans="1:17" hidden="1">
      <c r="A2571" s="33" t="s">
        <v>9277</v>
      </c>
      <c r="B2571" s="33" t="s">
        <v>9278</v>
      </c>
      <c r="C2571" s="33" t="s">
        <v>1891</v>
      </c>
      <c r="D2571" s="33" t="s">
        <v>68</v>
      </c>
      <c r="E2571" s="33" t="s">
        <v>6609</v>
      </c>
      <c r="G2571" s="33" t="s">
        <v>41</v>
      </c>
      <c r="H2571" s="33" t="s">
        <v>3696</v>
      </c>
      <c r="I2571" s="33" t="s">
        <v>3696</v>
      </c>
      <c r="J2571" s="33" t="s">
        <v>9279</v>
      </c>
      <c r="K2571" s="33" t="s">
        <v>6611</v>
      </c>
      <c r="L2571" s="33" t="s">
        <v>3696</v>
      </c>
      <c r="M2571" s="33" t="str">
        <f>_xlfn.XLOOKUP(Tabela14[[#This Row],[Responsável]],Organograma!H:H,Organograma!G:G,"")</f>
        <v>UICC - Unidade de Internação Cirúrgica</v>
      </c>
      <c r="N2571" s="33" t="s">
        <v>42</v>
      </c>
      <c r="Q2571" s="33" t="s">
        <v>8143</v>
      </c>
    </row>
    <row r="2572" spans="1:17" hidden="1">
      <c r="A2572" s="33" t="s">
        <v>9280</v>
      </c>
      <c r="B2572" s="33" t="s">
        <v>9281</v>
      </c>
      <c r="C2572" s="33" t="s">
        <v>1891</v>
      </c>
      <c r="D2572" s="33" t="s">
        <v>89</v>
      </c>
      <c r="E2572" s="33" t="s">
        <v>6600</v>
      </c>
      <c r="G2572" s="33" t="s">
        <v>41</v>
      </c>
      <c r="H2572" s="33" t="s">
        <v>3696</v>
      </c>
      <c r="I2572" s="33" t="s">
        <v>3696</v>
      </c>
      <c r="J2572" s="33" t="s">
        <v>9282</v>
      </c>
      <c r="K2572" s="33" t="s">
        <v>6602</v>
      </c>
      <c r="L2572" s="33" t="s">
        <v>4039</v>
      </c>
      <c r="M2572" s="33" t="str">
        <f>_xlfn.XLOOKUP(Tabela14[[#This Row],[Responsável]],Organograma!H:H,Organograma!G:G,"")</f>
        <v>P.S - Pronto Socorro</v>
      </c>
      <c r="N2572" s="33" t="s">
        <v>42</v>
      </c>
      <c r="Q2572" s="33" t="s">
        <v>8143</v>
      </c>
    </row>
    <row r="2573" spans="1:17" hidden="1">
      <c r="A2573" s="33" t="s">
        <v>9283</v>
      </c>
      <c r="B2573" s="33" t="s">
        <v>9284</v>
      </c>
      <c r="C2573" s="33" t="s">
        <v>1891</v>
      </c>
      <c r="D2573" s="33" t="s">
        <v>53</v>
      </c>
      <c r="E2573" s="33" t="s">
        <v>6609</v>
      </c>
      <c r="G2573" s="33" t="s">
        <v>41</v>
      </c>
      <c r="H2573" s="33" t="s">
        <v>3696</v>
      </c>
      <c r="I2573" s="33" t="s">
        <v>3696</v>
      </c>
      <c r="J2573" s="33" t="s">
        <v>9285</v>
      </c>
      <c r="K2573" s="33" t="s">
        <v>6611</v>
      </c>
      <c r="L2573" s="33" t="s">
        <v>3696</v>
      </c>
      <c r="M2573" s="33" t="str">
        <f>_xlfn.XLOOKUP(Tabela14[[#This Row],[Responsável]],Organograma!H:H,Organograma!G:G,"")</f>
        <v>GRSS - Gerenciamento de Resíduos de Serviço de Saúde</v>
      </c>
      <c r="N2573" s="33" t="s">
        <v>42</v>
      </c>
      <c r="Q2573" s="33" t="s">
        <v>8143</v>
      </c>
    </row>
    <row r="2574" spans="1:17" hidden="1">
      <c r="A2574" s="33" t="s">
        <v>9286</v>
      </c>
      <c r="B2574" s="33" t="s">
        <v>9287</v>
      </c>
      <c r="C2574" s="33" t="s">
        <v>1891</v>
      </c>
      <c r="D2574" s="33" t="s">
        <v>53</v>
      </c>
      <c r="E2574" s="33" t="s">
        <v>6609</v>
      </c>
      <c r="G2574" s="33" t="s">
        <v>41</v>
      </c>
      <c r="H2574" s="33" t="s">
        <v>3696</v>
      </c>
      <c r="I2574" s="33" t="s">
        <v>3696</v>
      </c>
      <c r="J2574" s="33" t="s">
        <v>9288</v>
      </c>
      <c r="K2574" s="33" t="s">
        <v>6611</v>
      </c>
      <c r="L2574" s="33" t="s">
        <v>3696</v>
      </c>
      <c r="M2574" s="33" t="str">
        <f>_xlfn.XLOOKUP(Tabela14[[#This Row],[Responsável]],Organograma!H:H,Organograma!G:G,"")</f>
        <v>GRSS - Gerenciamento de Resíduos de Serviço de Saúde</v>
      </c>
      <c r="N2574" s="33" t="s">
        <v>42</v>
      </c>
      <c r="Q2574" s="33" t="s">
        <v>8143</v>
      </c>
    </row>
    <row r="2575" spans="1:17" hidden="1">
      <c r="A2575" s="33" t="s">
        <v>9289</v>
      </c>
      <c r="B2575" s="33" t="s">
        <v>9290</v>
      </c>
      <c r="C2575" s="33" t="s">
        <v>1891</v>
      </c>
      <c r="D2575" s="33" t="s">
        <v>89</v>
      </c>
      <c r="E2575" s="33" t="s">
        <v>6609</v>
      </c>
      <c r="G2575" s="33" t="s">
        <v>41</v>
      </c>
      <c r="H2575" s="33" t="s">
        <v>3696</v>
      </c>
      <c r="I2575" s="33" t="s">
        <v>3696</v>
      </c>
      <c r="J2575" s="33" t="s">
        <v>9291</v>
      </c>
      <c r="K2575" s="33" t="s">
        <v>6611</v>
      </c>
      <c r="L2575" s="33" t="s">
        <v>3696</v>
      </c>
      <c r="M2575" s="33" t="str">
        <f>_xlfn.XLOOKUP(Tabela14[[#This Row],[Responsável]],Organograma!H:H,Organograma!G:G,"")</f>
        <v>P.S - Pronto Socorro</v>
      </c>
      <c r="N2575" s="33" t="s">
        <v>42</v>
      </c>
      <c r="Q2575" s="33" t="s">
        <v>8143</v>
      </c>
    </row>
    <row r="2576" spans="1:17" hidden="1">
      <c r="A2576" s="33" t="s">
        <v>9292</v>
      </c>
      <c r="B2576" s="33" t="s">
        <v>9293</v>
      </c>
      <c r="C2576" s="33" t="s">
        <v>1891</v>
      </c>
      <c r="D2576" s="33" t="s">
        <v>89</v>
      </c>
      <c r="E2576" s="33" t="s">
        <v>6609</v>
      </c>
      <c r="G2576" s="33" t="s">
        <v>41</v>
      </c>
      <c r="H2576" s="33" t="s">
        <v>3696</v>
      </c>
      <c r="I2576" s="33" t="s">
        <v>3696</v>
      </c>
      <c r="J2576" s="33" t="s">
        <v>9294</v>
      </c>
      <c r="K2576" s="33" t="s">
        <v>6611</v>
      </c>
      <c r="L2576" s="33" t="s">
        <v>3696</v>
      </c>
      <c r="M2576" s="33" t="str">
        <f>_xlfn.XLOOKUP(Tabela14[[#This Row],[Responsável]],Organograma!H:H,Organograma!G:G,"")</f>
        <v>P.S - Pronto Socorro</v>
      </c>
      <c r="N2576" s="33" t="s">
        <v>42</v>
      </c>
      <c r="Q2576" s="33" t="s">
        <v>8143</v>
      </c>
    </row>
    <row r="2577" spans="1:17" hidden="1">
      <c r="A2577" s="33" t="s">
        <v>9295</v>
      </c>
      <c r="B2577" s="33" t="s">
        <v>9296</v>
      </c>
      <c r="C2577" s="33" t="s">
        <v>1891</v>
      </c>
      <c r="D2577" s="33" t="s">
        <v>89</v>
      </c>
      <c r="E2577" s="33" t="s">
        <v>6609</v>
      </c>
      <c r="G2577" s="33" t="s">
        <v>41</v>
      </c>
      <c r="H2577" s="33" t="s">
        <v>3696</v>
      </c>
      <c r="I2577" s="33" t="s">
        <v>3696</v>
      </c>
      <c r="J2577" s="33" t="s">
        <v>9297</v>
      </c>
      <c r="K2577" s="33" t="s">
        <v>6611</v>
      </c>
      <c r="L2577" s="33" t="s">
        <v>3696</v>
      </c>
      <c r="M2577" s="33" t="str">
        <f>_xlfn.XLOOKUP(Tabela14[[#This Row],[Responsável]],Organograma!H:H,Organograma!G:G,"")</f>
        <v>P.S - Pronto Socorro</v>
      </c>
      <c r="N2577" s="33" t="s">
        <v>42</v>
      </c>
      <c r="Q2577" s="33" t="s">
        <v>8143</v>
      </c>
    </row>
    <row r="2578" spans="1:17">
      <c r="A2578" s="33" t="s">
        <v>8150</v>
      </c>
      <c r="B2578" s="33" t="s">
        <v>8151</v>
      </c>
      <c r="C2578" s="33" t="s">
        <v>1891</v>
      </c>
      <c r="D2578" s="33" t="s">
        <v>4068</v>
      </c>
      <c r="E2578" s="33" t="s">
        <v>7018</v>
      </c>
      <c r="G2578" s="33" t="s">
        <v>41</v>
      </c>
      <c r="H2578" s="33" t="s">
        <v>8141</v>
      </c>
      <c r="I2578" s="33" t="s">
        <v>8141</v>
      </c>
      <c r="J2578" s="33" t="s">
        <v>8152</v>
      </c>
      <c r="K2578" s="33" t="s">
        <v>6737</v>
      </c>
      <c r="L2578" s="33" t="s">
        <v>2428</v>
      </c>
      <c r="M2578" s="33" t="s">
        <v>61</v>
      </c>
      <c r="N2578" s="33" t="s">
        <v>42</v>
      </c>
      <c r="Q2578" s="33" t="s">
        <v>8143</v>
      </c>
    </row>
    <row r="2579" spans="1:17" hidden="1">
      <c r="A2579" s="33" t="s">
        <v>9301</v>
      </c>
      <c r="B2579" s="33" t="s">
        <v>9302</v>
      </c>
      <c r="C2579" s="33" t="s">
        <v>1785</v>
      </c>
      <c r="D2579" s="33" t="s">
        <v>4419</v>
      </c>
      <c r="E2579" s="33" t="s">
        <v>3857</v>
      </c>
      <c r="F2579" s="33" t="s">
        <v>1787</v>
      </c>
      <c r="G2579" s="33" t="s">
        <v>1788</v>
      </c>
      <c r="H2579" s="33" t="s">
        <v>3633</v>
      </c>
      <c r="I2579" s="33" t="s">
        <v>3633</v>
      </c>
      <c r="J2579" s="33" t="s">
        <v>9303</v>
      </c>
      <c r="K2579" s="33" t="s">
        <v>3859</v>
      </c>
      <c r="L2579" s="33" t="s">
        <v>3633</v>
      </c>
      <c r="M2579" s="33" t="s">
        <v>1083</v>
      </c>
      <c r="Q2579" s="33" t="s">
        <v>9304</v>
      </c>
    </row>
    <row r="2580" spans="1:17" hidden="1">
      <c r="A2580" s="33" t="s">
        <v>9305</v>
      </c>
      <c r="B2580" s="33" t="s">
        <v>9306</v>
      </c>
      <c r="C2580" s="33" t="s">
        <v>4151</v>
      </c>
      <c r="D2580" s="33" t="s">
        <v>4419</v>
      </c>
      <c r="E2580" s="33" t="s">
        <v>3857</v>
      </c>
      <c r="F2580" s="33" t="s">
        <v>1787</v>
      </c>
      <c r="G2580" s="33" t="s">
        <v>4152</v>
      </c>
      <c r="H2580" s="33" t="s">
        <v>5779</v>
      </c>
      <c r="I2580" s="33" t="s">
        <v>5779</v>
      </c>
      <c r="J2580" s="33" t="s">
        <v>9307</v>
      </c>
      <c r="K2580" s="33" t="s">
        <v>3859</v>
      </c>
      <c r="L2580" s="33" t="s">
        <v>5779</v>
      </c>
      <c r="M2580" s="33" t="s">
        <v>69</v>
      </c>
      <c r="Q2580" s="33" t="s">
        <v>9304</v>
      </c>
    </row>
    <row r="2581" spans="1:17" hidden="1">
      <c r="A2581" s="33" t="s">
        <v>9304</v>
      </c>
      <c r="B2581" s="33" t="s">
        <v>9308</v>
      </c>
      <c r="C2581" s="33" t="s">
        <v>4151</v>
      </c>
      <c r="D2581" s="33" t="s">
        <v>4419</v>
      </c>
      <c r="E2581" s="33" t="s">
        <v>3857</v>
      </c>
      <c r="F2581" s="33" t="s">
        <v>1787</v>
      </c>
      <c r="G2581" s="33" t="s">
        <v>4152</v>
      </c>
      <c r="H2581" s="33" t="s">
        <v>5779</v>
      </c>
      <c r="I2581" s="33" t="s">
        <v>5779</v>
      </c>
      <c r="J2581" s="33" t="s">
        <v>9309</v>
      </c>
      <c r="K2581" s="33" t="s">
        <v>3859</v>
      </c>
      <c r="L2581" s="33" t="s">
        <v>5779</v>
      </c>
      <c r="M2581" s="33" t="s">
        <v>1355</v>
      </c>
      <c r="Q2581" s="33" t="s">
        <v>9304</v>
      </c>
    </row>
    <row r="2582" spans="1:17" hidden="1">
      <c r="A2582" s="33" t="s">
        <v>9304</v>
      </c>
      <c r="B2582" s="33" t="s">
        <v>9310</v>
      </c>
      <c r="C2582" s="33" t="s">
        <v>4151</v>
      </c>
      <c r="D2582" s="33" t="s">
        <v>4419</v>
      </c>
      <c r="E2582" s="33" t="s">
        <v>3857</v>
      </c>
      <c r="F2582" s="33" t="s">
        <v>1787</v>
      </c>
      <c r="G2582" s="33" t="s">
        <v>4152</v>
      </c>
      <c r="H2582" s="33" t="s">
        <v>3820</v>
      </c>
      <c r="I2582" s="33" t="s">
        <v>3820</v>
      </c>
      <c r="J2582" s="33" t="s">
        <v>9311</v>
      </c>
      <c r="K2582" s="33" t="s">
        <v>3859</v>
      </c>
      <c r="L2582" s="33" t="s">
        <v>3820</v>
      </c>
      <c r="M2582" s="33" t="s">
        <v>1142</v>
      </c>
      <c r="Q2582" s="33" t="s">
        <v>9304</v>
      </c>
    </row>
    <row r="2583" spans="1:17" hidden="1">
      <c r="A2583" s="33" t="s">
        <v>9304</v>
      </c>
      <c r="B2583" s="33" t="s">
        <v>9312</v>
      </c>
      <c r="C2583" s="33" t="s">
        <v>4151</v>
      </c>
      <c r="D2583" s="33" t="s">
        <v>4419</v>
      </c>
      <c r="E2583" s="33" t="s">
        <v>3857</v>
      </c>
      <c r="F2583" s="33" t="s">
        <v>1787</v>
      </c>
      <c r="G2583" s="33" t="s">
        <v>4152</v>
      </c>
      <c r="H2583" s="33" t="s">
        <v>3820</v>
      </c>
      <c r="I2583" s="33" t="s">
        <v>3820</v>
      </c>
      <c r="J2583" s="33" t="s">
        <v>9313</v>
      </c>
      <c r="K2583" s="33" t="s">
        <v>3859</v>
      </c>
      <c r="L2583" s="33" t="s">
        <v>3820</v>
      </c>
      <c r="M2583" s="33" t="s">
        <v>1142</v>
      </c>
      <c r="Q2583" s="33" t="s">
        <v>9304</v>
      </c>
    </row>
    <row r="2584" spans="1:17" hidden="1">
      <c r="A2584" s="33" t="s">
        <v>9304</v>
      </c>
      <c r="B2584" s="33" t="s">
        <v>9314</v>
      </c>
      <c r="C2584" s="33" t="s">
        <v>4151</v>
      </c>
      <c r="D2584" s="33" t="s">
        <v>4419</v>
      </c>
      <c r="E2584" s="33" t="s">
        <v>3857</v>
      </c>
      <c r="F2584" s="33" t="s">
        <v>1787</v>
      </c>
      <c r="G2584" s="33" t="s">
        <v>4152</v>
      </c>
      <c r="H2584" s="33" t="s">
        <v>3820</v>
      </c>
      <c r="I2584" s="33" t="s">
        <v>3820</v>
      </c>
      <c r="J2584" s="33" t="s">
        <v>9315</v>
      </c>
      <c r="K2584" s="33" t="s">
        <v>3859</v>
      </c>
      <c r="L2584" s="33" t="s">
        <v>3820</v>
      </c>
      <c r="M2584" s="33" t="s">
        <v>1402</v>
      </c>
      <c r="Q2584" s="33" t="s">
        <v>9304</v>
      </c>
    </row>
    <row r="2585" spans="1:17" hidden="1">
      <c r="A2585" s="33" t="s">
        <v>9304</v>
      </c>
      <c r="B2585" s="33" t="s">
        <v>9316</v>
      </c>
      <c r="C2585" s="33" t="s">
        <v>4151</v>
      </c>
      <c r="D2585" s="33" t="s">
        <v>4419</v>
      </c>
      <c r="E2585" s="33" t="s">
        <v>3857</v>
      </c>
      <c r="F2585" s="33" t="s">
        <v>1787</v>
      </c>
      <c r="G2585" s="33" t="s">
        <v>4152</v>
      </c>
      <c r="H2585" s="33" t="s">
        <v>3820</v>
      </c>
      <c r="I2585" s="33" t="s">
        <v>3820</v>
      </c>
      <c r="J2585" s="33" t="s">
        <v>9317</v>
      </c>
      <c r="K2585" s="33" t="s">
        <v>3859</v>
      </c>
      <c r="L2585" s="33" t="s">
        <v>3820</v>
      </c>
      <c r="M2585" s="33" t="s">
        <v>1402</v>
      </c>
      <c r="Q2585" s="33" t="s">
        <v>9304</v>
      </c>
    </row>
    <row r="2586" spans="1:17" hidden="1">
      <c r="A2586" s="33" t="s">
        <v>9304</v>
      </c>
      <c r="B2586" s="33" t="s">
        <v>9318</v>
      </c>
      <c r="C2586" s="33" t="s">
        <v>4151</v>
      </c>
      <c r="D2586" s="33" t="s">
        <v>4419</v>
      </c>
      <c r="E2586" s="33" t="s">
        <v>3857</v>
      </c>
      <c r="F2586" s="33" t="s">
        <v>1787</v>
      </c>
      <c r="G2586" s="33" t="s">
        <v>4152</v>
      </c>
      <c r="H2586" s="33" t="s">
        <v>3820</v>
      </c>
      <c r="I2586" s="33" t="s">
        <v>3820</v>
      </c>
      <c r="J2586" s="33" t="s">
        <v>9319</v>
      </c>
      <c r="K2586" s="33" t="s">
        <v>3859</v>
      </c>
      <c r="L2586" s="33" t="s">
        <v>3820</v>
      </c>
      <c r="M2586" s="33" t="s">
        <v>3310</v>
      </c>
      <c r="Q2586" s="33" t="s">
        <v>9304</v>
      </c>
    </row>
    <row r="2587" spans="1:17" hidden="1">
      <c r="A2587" s="33" t="s">
        <v>9304</v>
      </c>
      <c r="B2587" s="33" t="s">
        <v>9320</v>
      </c>
      <c r="C2587" s="33" t="s">
        <v>4151</v>
      </c>
      <c r="D2587" s="33" t="s">
        <v>4419</v>
      </c>
      <c r="E2587" s="33" t="s">
        <v>3857</v>
      </c>
      <c r="F2587" s="33" t="s">
        <v>1787</v>
      </c>
      <c r="G2587" s="33" t="s">
        <v>4152</v>
      </c>
      <c r="H2587" s="33" t="s">
        <v>3820</v>
      </c>
      <c r="I2587" s="33" t="s">
        <v>3820</v>
      </c>
      <c r="J2587" s="33" t="s">
        <v>9321</v>
      </c>
      <c r="K2587" s="33" t="s">
        <v>3859</v>
      </c>
      <c r="L2587" s="33" t="s">
        <v>3820</v>
      </c>
      <c r="M2587" s="33" t="s">
        <v>3310</v>
      </c>
      <c r="Q2587" s="33" t="s">
        <v>9304</v>
      </c>
    </row>
    <row r="2588" spans="1:17" hidden="1">
      <c r="A2588" s="33" t="s">
        <v>9304</v>
      </c>
      <c r="B2588" s="33" t="s">
        <v>9322</v>
      </c>
      <c r="C2588" s="33" t="s">
        <v>4151</v>
      </c>
      <c r="D2588" s="33" t="s">
        <v>4419</v>
      </c>
      <c r="E2588" s="33" t="s">
        <v>3857</v>
      </c>
      <c r="F2588" s="33" t="s">
        <v>1787</v>
      </c>
      <c r="G2588" s="33" t="s">
        <v>4152</v>
      </c>
      <c r="H2588" s="33" t="s">
        <v>3820</v>
      </c>
      <c r="I2588" s="33" t="s">
        <v>3820</v>
      </c>
      <c r="J2588" s="33" t="s">
        <v>9323</v>
      </c>
      <c r="K2588" s="33" t="s">
        <v>3859</v>
      </c>
      <c r="L2588" s="33" t="s">
        <v>3820</v>
      </c>
      <c r="M2588" s="33" t="s">
        <v>1402</v>
      </c>
      <c r="Q2588" s="33" t="s">
        <v>9304</v>
      </c>
    </row>
    <row r="2589" spans="1:17" hidden="1">
      <c r="A2589" s="33" t="s">
        <v>9304</v>
      </c>
      <c r="B2589" s="33" t="s">
        <v>9324</v>
      </c>
      <c r="C2589" s="33" t="s">
        <v>4151</v>
      </c>
      <c r="D2589" s="33" t="s">
        <v>4419</v>
      </c>
      <c r="E2589" s="33" t="s">
        <v>3857</v>
      </c>
      <c r="F2589" s="33" t="s">
        <v>1787</v>
      </c>
      <c r="G2589" s="33" t="s">
        <v>4152</v>
      </c>
      <c r="H2589" s="33" t="s">
        <v>3820</v>
      </c>
      <c r="I2589" s="33" t="s">
        <v>3820</v>
      </c>
      <c r="J2589" s="33" t="s">
        <v>9325</v>
      </c>
      <c r="K2589" s="33" t="s">
        <v>3859</v>
      </c>
      <c r="L2589" s="33" t="s">
        <v>3820</v>
      </c>
      <c r="M2589" s="33" t="s">
        <v>3284</v>
      </c>
      <c r="Q2589" s="33" t="s">
        <v>9304</v>
      </c>
    </row>
    <row r="2590" spans="1:17" hidden="1">
      <c r="A2590" s="33" t="s">
        <v>9304</v>
      </c>
      <c r="B2590" s="33" t="s">
        <v>9326</v>
      </c>
      <c r="C2590" s="33" t="s">
        <v>4151</v>
      </c>
      <c r="D2590" s="33" t="s">
        <v>4419</v>
      </c>
      <c r="E2590" s="33" t="s">
        <v>3857</v>
      </c>
      <c r="F2590" s="33" t="s">
        <v>1787</v>
      </c>
      <c r="G2590" s="33" t="s">
        <v>4152</v>
      </c>
      <c r="H2590" s="33" t="s">
        <v>3820</v>
      </c>
      <c r="I2590" s="33" t="s">
        <v>3820</v>
      </c>
      <c r="J2590" s="33" t="s">
        <v>9327</v>
      </c>
      <c r="K2590" s="33" t="s">
        <v>3859</v>
      </c>
      <c r="L2590" s="33" t="s">
        <v>3820</v>
      </c>
      <c r="M2590" s="33" t="s">
        <v>3310</v>
      </c>
      <c r="Q2590" s="33" t="s">
        <v>9304</v>
      </c>
    </row>
    <row r="2591" spans="1:17" hidden="1">
      <c r="A2591" s="33" t="s">
        <v>9304</v>
      </c>
      <c r="B2591" s="33" t="s">
        <v>9328</v>
      </c>
      <c r="C2591" s="33" t="s">
        <v>4151</v>
      </c>
      <c r="D2591" s="33" t="s">
        <v>4419</v>
      </c>
      <c r="E2591" s="33" t="s">
        <v>3857</v>
      </c>
      <c r="F2591" s="33" t="s">
        <v>1787</v>
      </c>
      <c r="G2591" s="33" t="s">
        <v>4152</v>
      </c>
      <c r="H2591" s="33" t="s">
        <v>3820</v>
      </c>
      <c r="I2591" s="33" t="s">
        <v>3820</v>
      </c>
      <c r="J2591" s="33" t="s">
        <v>9329</v>
      </c>
      <c r="K2591" s="33" t="s">
        <v>3859</v>
      </c>
      <c r="L2591" s="33" t="s">
        <v>3820</v>
      </c>
      <c r="M2591" s="33" t="s">
        <v>69</v>
      </c>
      <c r="Q2591" s="33" t="s">
        <v>9304</v>
      </c>
    </row>
    <row r="2592" spans="1:17" hidden="1">
      <c r="A2592" s="33" t="s">
        <v>9304</v>
      </c>
      <c r="B2592" s="33" t="s">
        <v>9330</v>
      </c>
      <c r="C2592" s="33" t="s">
        <v>4151</v>
      </c>
      <c r="D2592" s="33" t="s">
        <v>4419</v>
      </c>
      <c r="E2592" s="33" t="s">
        <v>3857</v>
      </c>
      <c r="F2592" s="33" t="s">
        <v>1787</v>
      </c>
      <c r="G2592" s="33" t="s">
        <v>4152</v>
      </c>
      <c r="H2592" s="33" t="s">
        <v>3820</v>
      </c>
      <c r="I2592" s="33" t="s">
        <v>3820</v>
      </c>
      <c r="J2592" s="33" t="s">
        <v>9331</v>
      </c>
      <c r="K2592" s="33" t="s">
        <v>3859</v>
      </c>
      <c r="L2592" s="33" t="s">
        <v>3820</v>
      </c>
      <c r="M2592" s="33" t="s">
        <v>69</v>
      </c>
      <c r="Q2592" s="33" t="s">
        <v>9304</v>
      </c>
    </row>
    <row r="2593" spans="1:17" hidden="1">
      <c r="A2593" s="33" t="s">
        <v>9304</v>
      </c>
      <c r="B2593" s="33" t="s">
        <v>9332</v>
      </c>
      <c r="C2593" s="33" t="s">
        <v>4151</v>
      </c>
      <c r="D2593" s="33" t="s">
        <v>4419</v>
      </c>
      <c r="E2593" s="33" t="s">
        <v>3857</v>
      </c>
      <c r="F2593" s="33" t="s">
        <v>1787</v>
      </c>
      <c r="G2593" s="33" t="s">
        <v>4152</v>
      </c>
      <c r="H2593" s="33" t="s">
        <v>3820</v>
      </c>
      <c r="I2593" s="33" t="s">
        <v>3820</v>
      </c>
      <c r="J2593" s="33" t="s">
        <v>9333</v>
      </c>
      <c r="K2593" s="33" t="s">
        <v>3859</v>
      </c>
      <c r="L2593" s="33" t="s">
        <v>3820</v>
      </c>
      <c r="M2593" s="33" t="s">
        <v>1402</v>
      </c>
      <c r="Q2593" s="33" t="s">
        <v>9304</v>
      </c>
    </row>
    <row r="2594" spans="1:17" hidden="1">
      <c r="A2594" s="33" t="s">
        <v>9304</v>
      </c>
      <c r="B2594" s="33" t="s">
        <v>9334</v>
      </c>
      <c r="C2594" s="33" t="s">
        <v>4151</v>
      </c>
      <c r="D2594" s="33" t="s">
        <v>4419</v>
      </c>
      <c r="E2594" s="33" t="s">
        <v>3857</v>
      </c>
      <c r="F2594" s="33" t="s">
        <v>1787</v>
      </c>
      <c r="G2594" s="33" t="s">
        <v>4152</v>
      </c>
      <c r="H2594" s="33" t="s">
        <v>1152</v>
      </c>
      <c r="I2594" s="33" t="s">
        <v>1152</v>
      </c>
      <c r="J2594" s="33" t="s">
        <v>9335</v>
      </c>
      <c r="K2594" s="33" t="s">
        <v>3859</v>
      </c>
      <c r="L2594" s="33" t="s">
        <v>1152</v>
      </c>
      <c r="M2594" s="33" t="s">
        <v>1402</v>
      </c>
      <c r="Q2594" s="33" t="s">
        <v>9304</v>
      </c>
    </row>
    <row r="2595" spans="1:17" hidden="1">
      <c r="A2595" s="33" t="s">
        <v>9304</v>
      </c>
      <c r="B2595" s="33" t="s">
        <v>9336</v>
      </c>
      <c r="C2595" s="33" t="s">
        <v>4151</v>
      </c>
      <c r="D2595" s="33" t="s">
        <v>4419</v>
      </c>
      <c r="E2595" s="33" t="s">
        <v>3857</v>
      </c>
      <c r="F2595" s="33" t="s">
        <v>1787</v>
      </c>
      <c r="G2595" s="33" t="s">
        <v>4152</v>
      </c>
      <c r="H2595" s="33" t="s">
        <v>1152</v>
      </c>
      <c r="I2595" s="33" t="s">
        <v>1152</v>
      </c>
      <c r="J2595" s="33" t="s">
        <v>9337</v>
      </c>
      <c r="K2595" s="33" t="s">
        <v>3859</v>
      </c>
      <c r="L2595" s="33" t="s">
        <v>1152</v>
      </c>
      <c r="M2595" s="33" t="s">
        <v>1355</v>
      </c>
      <c r="Q2595" s="33" t="s">
        <v>9304</v>
      </c>
    </row>
    <row r="2596" spans="1:17" hidden="1">
      <c r="A2596" s="33" t="s">
        <v>9304</v>
      </c>
      <c r="B2596" s="33" t="s">
        <v>9338</v>
      </c>
      <c r="C2596" s="33" t="s">
        <v>4151</v>
      </c>
      <c r="D2596" s="33" t="s">
        <v>4419</v>
      </c>
      <c r="E2596" s="33" t="s">
        <v>3857</v>
      </c>
      <c r="F2596" s="33" t="s">
        <v>1787</v>
      </c>
      <c r="G2596" s="33" t="s">
        <v>4152</v>
      </c>
      <c r="H2596" s="33" t="s">
        <v>1152</v>
      </c>
      <c r="I2596" s="33" t="s">
        <v>1152</v>
      </c>
      <c r="J2596" s="33" t="s">
        <v>9339</v>
      </c>
      <c r="K2596" s="33" t="s">
        <v>3859</v>
      </c>
      <c r="L2596" s="33" t="s">
        <v>1152</v>
      </c>
      <c r="M2596" s="33" t="s">
        <v>3284</v>
      </c>
      <c r="Q2596" s="33" t="s">
        <v>9304</v>
      </c>
    </row>
    <row r="2597" spans="1:17" hidden="1">
      <c r="A2597" s="33" t="s">
        <v>9304</v>
      </c>
      <c r="B2597" s="33" t="s">
        <v>9340</v>
      </c>
      <c r="C2597" s="33" t="s">
        <v>4151</v>
      </c>
      <c r="D2597" s="33" t="s">
        <v>4419</v>
      </c>
      <c r="E2597" s="33" t="s">
        <v>3857</v>
      </c>
      <c r="F2597" s="33" t="s">
        <v>1787</v>
      </c>
      <c r="G2597" s="33" t="s">
        <v>4152</v>
      </c>
      <c r="H2597" s="33" t="s">
        <v>1152</v>
      </c>
      <c r="I2597" s="33" t="s">
        <v>1152</v>
      </c>
      <c r="J2597" s="33" t="s">
        <v>9341</v>
      </c>
      <c r="K2597" s="33" t="s">
        <v>3859</v>
      </c>
      <c r="L2597" s="33" t="s">
        <v>1152</v>
      </c>
      <c r="M2597" s="33" t="s">
        <v>1402</v>
      </c>
      <c r="Q2597" s="33" t="s">
        <v>9304</v>
      </c>
    </row>
    <row r="2598" spans="1:17" hidden="1">
      <c r="A2598" s="33" t="s">
        <v>9304</v>
      </c>
      <c r="B2598" s="33" t="s">
        <v>9342</v>
      </c>
      <c r="C2598" s="33" t="s">
        <v>4151</v>
      </c>
      <c r="D2598" s="33" t="s">
        <v>4419</v>
      </c>
      <c r="E2598" s="33" t="s">
        <v>3857</v>
      </c>
      <c r="F2598" s="33" t="s">
        <v>1787</v>
      </c>
      <c r="G2598" s="33" t="s">
        <v>4152</v>
      </c>
      <c r="H2598" s="33" t="s">
        <v>1152</v>
      </c>
      <c r="I2598" s="33" t="s">
        <v>1152</v>
      </c>
      <c r="J2598" s="33" t="s">
        <v>9343</v>
      </c>
      <c r="K2598" s="33" t="s">
        <v>3859</v>
      </c>
      <c r="L2598" s="33" t="s">
        <v>1152</v>
      </c>
      <c r="M2598" s="33" t="s">
        <v>3284</v>
      </c>
      <c r="Q2598" s="33" t="s">
        <v>9304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Organograma</vt:lpstr>
      <vt:lpstr>AÇÕES</vt:lpstr>
      <vt:lpstr>INDICADORES</vt:lpstr>
      <vt:lpstr>NOTIFICAÇÕES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HGP</dc:creator>
  <cp:lastModifiedBy>Administrativo 1º andar - 02</cp:lastModifiedBy>
  <dcterms:created xsi:type="dcterms:W3CDTF">2026-04-14T19:54:38Z</dcterms:created>
  <dcterms:modified xsi:type="dcterms:W3CDTF">2026-05-20T19:56:51Z</dcterms:modified>
</cp:coreProperties>
</file>